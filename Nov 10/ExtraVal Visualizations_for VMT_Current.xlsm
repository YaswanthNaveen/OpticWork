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defaultThemeVersion="164011"/>
  <mc:AlternateContent xmlns:mc="http://schemas.openxmlformats.org/markup-compatibility/2006">
    <mc:Choice Requires="x15">
      <x15ac:absPath xmlns:x15ac="http://schemas.microsoft.com/office/spreadsheetml/2010/11/ac" url="C:\Users\saiprpa1\OneDrive - Novartis Pharma AG\TA\Work\GDD Non drug project portfolio\Data\Input files\Current\"/>
    </mc:Choice>
  </mc:AlternateContent>
  <bookViews>
    <workbookView xWindow="0" yWindow="2400" windowWidth="16440" windowHeight="6580" firstSheet="3" activeTab="3"/>
  </bookViews>
  <sheets>
    <sheet name="Master List April 30" sheetId="3" state="hidden" r:id="rId1"/>
    <sheet name="ExtraVal vetted only" sheetId="4" state="hidden" r:id="rId2"/>
    <sheet name="Input for Visualization" sheetId="16" state="hidden" r:id="rId3"/>
    <sheet name="Portfolio ExtraVal" sheetId="9" r:id="rId4"/>
    <sheet name="Project Spend Category" sheetId="13" state="hidden" r:id="rId5"/>
    <sheet name="Frontier data VMT" sheetId="8" state="hidden" r:id="rId6"/>
    <sheet name="3X3 Data" sheetId="14" r:id="rId7"/>
    <sheet name="Non-drug Project Portfolio 3x3" sheetId="10" state="hidden" r:id="rId8"/>
    <sheet name="GLF-DU Digital Project Map (2)" sheetId="12" state="hidden" r:id="rId9"/>
    <sheet name="Value by GLF-DU" sheetId="11" state="hidden" r:id="rId10"/>
  </sheets>
  <definedNames>
    <definedName name="_xlnm._FilterDatabase" localSheetId="1" hidden="1">'ExtraVal vetted only'!$A$1:$AW$462</definedName>
    <definedName name="_xlnm._FilterDatabase" localSheetId="5" hidden="1">'Frontier data VMT'!$P$1:$T$40</definedName>
    <definedName name="_xlnm._FilterDatabase" localSheetId="0" hidden="1">'Master List April 30'!$A$1:$AW$462</definedName>
    <definedName name="_xlnm._FilterDatabase" localSheetId="3" hidden="1">'Portfolio ExtraVal'!$A$2:$FG$41</definedName>
    <definedName name="_xlnm._FilterDatabase" localSheetId="9" hidden="1">'Value by GLF-DU'!$A$1:$AJ$72</definedName>
  </definedNames>
  <calcPr calcId="162913"/>
  <pivotCaches>
    <pivotCache cacheId="4"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8" i="9" l="1"/>
  <c r="AA48" i="9"/>
  <c r="AB48" i="9" s="1"/>
  <c r="AC48" i="9" s="1"/>
  <c r="X48" i="9"/>
  <c r="Q48" i="9"/>
  <c r="AA46" i="9" l="1"/>
  <c r="X46" i="9"/>
  <c r="Q46" i="9"/>
  <c r="B46" i="9"/>
  <c r="AA47" i="9"/>
  <c r="X47" i="9"/>
  <c r="Q47" i="9"/>
  <c r="B47" i="9"/>
  <c r="AB46" i="9" l="1"/>
  <c r="AC46" i="9" s="1"/>
  <c r="AB47" i="9"/>
  <c r="AC47" i="9" s="1"/>
  <c r="AA44" i="9"/>
  <c r="X44" i="9"/>
  <c r="Q44" i="9"/>
  <c r="B44" i="9"/>
  <c r="AB44" i="9" l="1"/>
  <c r="AC44" i="9" s="1"/>
  <c r="AA45" i="9"/>
  <c r="X45" i="9"/>
  <c r="Q45" i="9"/>
  <c r="B45" i="9"/>
  <c r="AB45" i="9" l="1"/>
  <c r="AC45" i="9" s="1"/>
  <c r="AA43" i="9"/>
  <c r="X43" i="9"/>
  <c r="Q43" i="9"/>
  <c r="B43" i="9"/>
  <c r="AA42" i="9"/>
  <c r="X42" i="9"/>
  <c r="Q42" i="9"/>
  <c r="B42" i="9"/>
  <c r="AB43" i="9" l="1"/>
  <c r="AC43" i="9" s="1"/>
  <c r="AB42" i="9"/>
  <c r="AC42" i="9" s="1"/>
  <c r="AA40" i="9" l="1"/>
  <c r="X40" i="9"/>
  <c r="AA41" i="9" l="1"/>
  <c r="X41" i="9"/>
  <c r="Q41" i="9"/>
  <c r="B41" i="9"/>
  <c r="Q40" i="9"/>
  <c r="B40" i="9"/>
  <c r="AB40" i="9" l="1"/>
  <c r="AC40" i="9" s="1"/>
  <c r="AB41" i="9"/>
  <c r="AC41" i="9" s="1"/>
  <c r="B39" i="9" l="1"/>
  <c r="D42" i="8"/>
  <c r="F21" i="8" l="1"/>
  <c r="J2" i="8"/>
  <c r="J3" i="8" s="1"/>
  <c r="J4" i="8" s="1"/>
  <c r="J5" i="8" s="1"/>
  <c r="J6" i="8" s="1"/>
  <c r="J7" i="8" s="1"/>
  <c r="J8" i="8" s="1"/>
  <c r="J9" i="8" s="1"/>
  <c r="J10" i="8" s="1"/>
  <c r="J11" i="8" s="1"/>
  <c r="J12" i="8" s="1"/>
  <c r="J13" i="8" s="1"/>
  <c r="J14" i="8" s="1"/>
  <c r="J15" i="8" s="1"/>
  <c r="J16" i="8" s="1"/>
  <c r="J17" i="8" s="1"/>
  <c r="J18" i="8" s="1"/>
  <c r="J19" i="8" s="1"/>
  <c r="J20" i="8" s="1"/>
  <c r="J22" i="8" s="1"/>
  <c r="H2" i="8"/>
  <c r="H3" i="8" s="1"/>
  <c r="H4" i="8" s="1"/>
  <c r="H5" i="8" s="1"/>
  <c r="H6" i="8" s="1"/>
  <c r="H7" i="8" s="1"/>
  <c r="H8" i="8" s="1"/>
  <c r="H9" i="8" s="1"/>
  <c r="H10" i="8" s="1"/>
  <c r="H11" i="8" s="1"/>
  <c r="H12" i="8" s="1"/>
  <c r="H13" i="8" s="1"/>
  <c r="H14" i="8" s="1"/>
  <c r="H15" i="8" s="1"/>
  <c r="H16" i="8" s="1"/>
  <c r="H17" i="8" s="1"/>
  <c r="H18" i="8" s="1"/>
  <c r="H19" i="8" s="1"/>
  <c r="H20" i="8" s="1"/>
  <c r="H22" i="8" s="1"/>
  <c r="AA38" i="9"/>
  <c r="X38" i="9"/>
  <c r="Q38" i="9"/>
  <c r="B38" i="9"/>
  <c r="AB38" i="9" l="1"/>
  <c r="AC38" i="9" s="1"/>
  <c r="AA39" i="9"/>
  <c r="X39" i="9"/>
  <c r="Q39" i="9"/>
  <c r="AA37" i="9"/>
  <c r="X37" i="9"/>
  <c r="Q37" i="9"/>
  <c r="B37" i="9"/>
  <c r="AB39" i="9" l="1"/>
  <c r="AC39" i="9" s="1"/>
  <c r="AB37" i="9"/>
  <c r="AC37" i="9" s="1"/>
  <c r="B36" i="9" l="1"/>
  <c r="B35" i="9"/>
  <c r="H23" i="8" l="1"/>
  <c r="H24" i="8" s="1"/>
  <c r="H25" i="8" s="1"/>
  <c r="H26" i="8" s="1"/>
  <c r="H27" i="8" s="1"/>
  <c r="H28" i="8" s="1"/>
  <c r="H29" i="8" s="1"/>
  <c r="H30" i="8" s="1"/>
  <c r="H31" i="8" s="1"/>
  <c r="H32" i="8" s="1"/>
  <c r="H33" i="8" s="1"/>
  <c r="H34" i="8" s="1"/>
  <c r="H35" i="8" s="1"/>
  <c r="H36" i="8" s="1"/>
  <c r="H37" i="8" s="1"/>
  <c r="H38" i="8" s="1"/>
  <c r="H39" i="8" s="1"/>
  <c r="H40" i="8" s="1"/>
  <c r="H21" i="8"/>
  <c r="J21" i="8"/>
  <c r="AA6" i="9"/>
  <c r="AA7" i="9"/>
  <c r="AA8" i="9"/>
  <c r="AA9" i="9"/>
  <c r="AA4" i="9"/>
  <c r="AA13" i="9"/>
  <c r="AA14" i="9"/>
  <c r="AA11" i="9"/>
  <c r="AA15" i="9"/>
  <c r="AA16" i="9"/>
  <c r="AA17" i="9"/>
  <c r="AA18" i="9"/>
  <c r="AA19" i="9"/>
  <c r="AA20" i="9"/>
  <c r="AA21" i="9"/>
  <c r="AA22" i="9"/>
  <c r="AA23" i="9"/>
  <c r="AA24" i="9"/>
  <c r="AA25" i="9"/>
  <c r="AA26" i="9"/>
  <c r="AA10" i="9"/>
  <c r="AA27" i="9"/>
  <c r="AA28" i="9"/>
  <c r="AA29" i="9"/>
  <c r="AA30" i="9"/>
  <c r="AA12" i="9"/>
  <c r="AA3" i="9"/>
  <c r="AA31" i="9"/>
  <c r="AA32" i="9"/>
  <c r="AA33" i="9"/>
  <c r="AA34" i="9"/>
  <c r="AA35" i="9"/>
  <c r="AA36" i="9"/>
  <c r="AA5" i="9"/>
  <c r="X36" i="9"/>
  <c r="X35" i="9"/>
  <c r="Q35" i="9"/>
  <c r="Q36" i="9"/>
  <c r="J23" i="8" l="1"/>
  <c r="J24" i="8" s="1"/>
  <c r="J25" i="8" s="1"/>
  <c r="J26" i="8" s="1"/>
  <c r="J27" i="8" s="1"/>
  <c r="J28" i="8" s="1"/>
  <c r="J29" i="8" s="1"/>
  <c r="J30" i="8" s="1"/>
  <c r="J31" i="8" s="1"/>
  <c r="J32" i="8" s="1"/>
  <c r="J33" i="8" s="1"/>
  <c r="J34" i="8" s="1"/>
  <c r="J35" i="8" s="1"/>
  <c r="J36" i="8" s="1"/>
  <c r="J37" i="8" s="1"/>
  <c r="J38" i="8" s="1"/>
  <c r="J39" i="8" s="1"/>
  <c r="J40" i="8" s="1"/>
  <c r="L17" i="14"/>
  <c r="L15" i="14"/>
  <c r="L16" i="14"/>
  <c r="AB36" i="9"/>
  <c r="AC36" i="9" s="1"/>
  <c r="AB35" i="9"/>
  <c r="AC35" i="9" s="1"/>
  <c r="H50" i="8" l="1"/>
  <c r="B6" i="9"/>
  <c r="B7" i="9"/>
  <c r="B8" i="9"/>
  <c r="B9" i="9"/>
  <c r="B4" i="9"/>
  <c r="B13" i="9"/>
  <c r="B14" i="9"/>
  <c r="B11" i="9"/>
  <c r="B15" i="9"/>
  <c r="B16" i="9"/>
  <c r="B17" i="9"/>
  <c r="B18" i="9"/>
  <c r="B19" i="9"/>
  <c r="B20" i="9"/>
  <c r="B21" i="9"/>
  <c r="B22" i="9"/>
  <c r="B23" i="9"/>
  <c r="B24" i="9"/>
  <c r="B25" i="9"/>
  <c r="B26" i="9"/>
  <c r="B10" i="9"/>
  <c r="B27" i="9"/>
  <c r="B28" i="9"/>
  <c r="B29" i="9"/>
  <c r="B30" i="9"/>
  <c r="B12" i="9"/>
  <c r="B3" i="9"/>
  <c r="B31" i="9"/>
  <c r="B32" i="9"/>
  <c r="B34" i="9"/>
  <c r="B5" i="9"/>
  <c r="X34" i="9" l="1"/>
  <c r="Q34" i="9"/>
  <c r="AB34" i="9" l="1"/>
  <c r="AC34" i="9" s="1"/>
  <c r="X33" i="9" l="1"/>
  <c r="Q33" i="9"/>
  <c r="AB33" i="9" l="1"/>
  <c r="AC33" i="9" s="1"/>
  <c r="O71" i="11" l="1"/>
  <c r="V7" i="11"/>
  <c r="N35" i="11" l="1"/>
  <c r="L34" i="11"/>
  <c r="N32" i="11"/>
  <c r="N30" i="11"/>
  <c r="L27" i="11"/>
  <c r="L26" i="11"/>
  <c r="L25" i="11"/>
  <c r="L12" i="11"/>
  <c r="L15" i="11"/>
  <c r="N20" i="11"/>
  <c r="L18" i="11"/>
  <c r="N17" i="11"/>
  <c r="L16" i="11"/>
  <c r="N4" i="11"/>
  <c r="M2" i="11"/>
  <c r="N3" i="11"/>
  <c r="L5" i="11"/>
  <c r="N6" i="11"/>
  <c r="M7" i="11"/>
  <c r="N8" i="11"/>
  <c r="N9" i="11"/>
  <c r="N10" i="11"/>
  <c r="L11" i="11"/>
  <c r="L13" i="11"/>
  <c r="L14" i="11"/>
  <c r="N19" i="11"/>
  <c r="L21" i="11"/>
  <c r="M22" i="11"/>
  <c r="L23" i="11"/>
  <c r="L24" i="11"/>
  <c r="N28" i="11"/>
  <c r="N29" i="11"/>
  <c r="N31" i="11"/>
  <c r="L33" i="11"/>
  <c r="N36" i="11"/>
  <c r="O72" i="11"/>
  <c r="O55" i="11" l="1"/>
  <c r="V8" i="11" l="1"/>
  <c r="V9" i="11"/>
  <c r="V10" i="11"/>
  <c r="V11" i="11"/>
  <c r="V12" i="11"/>
  <c r="V13" i="11"/>
  <c r="V14" i="11"/>
  <c r="V15" i="11"/>
  <c r="X5" i="9" l="1"/>
  <c r="AB5" i="9" l="1"/>
  <c r="Q6" i="9"/>
  <c r="Q7" i="9"/>
  <c r="Q8" i="9"/>
  <c r="Q9" i="9"/>
  <c r="Q4" i="9"/>
  <c r="Q13" i="9"/>
  <c r="Q14" i="9"/>
  <c r="Q11" i="9"/>
  <c r="Q15" i="9"/>
  <c r="Q16" i="9"/>
  <c r="Q17" i="9"/>
  <c r="Q18" i="9"/>
  <c r="Q19" i="9"/>
  <c r="Q20" i="9"/>
  <c r="Q21" i="9"/>
  <c r="Q22" i="9"/>
  <c r="Q23" i="9"/>
  <c r="Q24" i="9"/>
  <c r="Q25" i="9"/>
  <c r="Q26" i="9"/>
  <c r="Q10" i="9"/>
  <c r="Q27" i="9"/>
  <c r="Q28" i="9"/>
  <c r="Q29" i="9"/>
  <c r="Q30" i="9"/>
  <c r="Q12" i="9"/>
  <c r="Q3" i="9"/>
  <c r="Q31" i="9"/>
  <c r="Q32" i="9"/>
  <c r="Q5" i="9"/>
  <c r="X6" i="9"/>
  <c r="X7" i="9"/>
  <c r="AB7" i="9" s="1"/>
  <c r="X8" i="9"/>
  <c r="AB8" i="9" s="1"/>
  <c r="X9" i="9"/>
  <c r="X4" i="9"/>
  <c r="AB4" i="9" s="1"/>
  <c r="X13" i="9"/>
  <c r="AB13" i="9" s="1"/>
  <c r="X14" i="9"/>
  <c r="X11" i="9"/>
  <c r="X15" i="9"/>
  <c r="X16" i="9"/>
  <c r="AB16" i="9" s="1"/>
  <c r="X17" i="9"/>
  <c r="X18" i="9"/>
  <c r="X19" i="9"/>
  <c r="X20" i="9"/>
  <c r="AB20" i="9" s="1"/>
  <c r="X21" i="9"/>
  <c r="X22" i="9"/>
  <c r="X23" i="9"/>
  <c r="AB23" i="9" s="1"/>
  <c r="X24" i="9"/>
  <c r="AB24" i="9" s="1"/>
  <c r="X25" i="9"/>
  <c r="AB25" i="9" s="1"/>
  <c r="X26" i="9"/>
  <c r="X10" i="9"/>
  <c r="AB10" i="9" s="1"/>
  <c r="X27" i="9"/>
  <c r="X28" i="9"/>
  <c r="X29" i="9"/>
  <c r="X30" i="9"/>
  <c r="X12" i="9"/>
  <c r="AB12" i="9" s="1"/>
  <c r="X3" i="9"/>
  <c r="AB3" i="9" s="1"/>
  <c r="X31" i="9"/>
  <c r="X32" i="9"/>
  <c r="AB32" i="9" s="1"/>
  <c r="L10" i="14" l="1"/>
  <c r="L11" i="14"/>
  <c r="L9" i="14"/>
  <c r="AC16" i="9"/>
  <c r="AC20" i="9"/>
  <c r="AB15" i="9"/>
  <c r="AC15" i="9" s="1"/>
  <c r="AB6" i="9"/>
  <c r="AC6" i="9" s="1"/>
  <c r="AC13" i="9"/>
  <c r="AC10" i="9"/>
  <c r="AC4" i="9"/>
  <c r="AB11" i="9"/>
  <c r="AC11" i="9" s="1"/>
  <c r="AB29" i="9"/>
  <c r="AC29" i="9" s="1"/>
  <c r="AC32" i="9"/>
  <c r="AC3" i="9"/>
  <c r="AC25" i="9"/>
  <c r="AB14" i="9"/>
  <c r="AC14" i="9" s="1"/>
  <c r="AB22" i="9"/>
  <c r="AC22" i="9" s="1"/>
  <c r="AB30" i="9"/>
  <c r="AC30" i="9" s="1"/>
  <c r="AB19" i="9"/>
  <c r="AC19" i="9" s="1"/>
  <c r="AC12" i="9"/>
  <c r="AB21" i="9"/>
  <c r="AC21" i="9" s="1"/>
  <c r="AB28" i="9"/>
  <c r="AC28" i="9" s="1"/>
  <c r="AB17" i="9"/>
  <c r="AC17" i="9" s="1"/>
  <c r="AB26" i="9"/>
  <c r="AC26" i="9" s="1"/>
  <c r="AC24" i="9"/>
  <c r="AC8" i="9"/>
  <c r="AC23" i="9"/>
  <c r="AC7" i="9"/>
  <c r="AB27" i="9"/>
  <c r="AC27" i="9" s="1"/>
  <c r="AB9" i="9"/>
  <c r="AC9" i="9" s="1"/>
  <c r="AB18" i="9"/>
  <c r="AC18" i="9" s="1"/>
  <c r="AB31" i="9"/>
  <c r="AC31" i="9" s="1"/>
  <c r="F11" i="14"/>
  <c r="F10" i="14"/>
  <c r="F9" i="14"/>
  <c r="C15" i="14" l="1"/>
  <c r="D6" i="10" s="1"/>
  <c r="E15" i="14"/>
  <c r="F6" i="10" s="1"/>
  <c r="D15" i="14"/>
  <c r="E6" i="10" s="1"/>
  <c r="E17" i="14"/>
  <c r="F8" i="10" s="1"/>
  <c r="C17" i="14"/>
  <c r="D8" i="10" s="1"/>
  <c r="D17" i="14"/>
  <c r="E8" i="10" s="1"/>
  <c r="D7" i="12"/>
  <c r="I7" i="12"/>
  <c r="E7" i="12"/>
  <c r="F7" i="12"/>
  <c r="J7" i="12"/>
  <c r="K7" i="12"/>
  <c r="H7" i="12"/>
  <c r="L7" i="12"/>
  <c r="G7" i="12"/>
  <c r="M4" i="12"/>
  <c r="M6" i="12"/>
  <c r="M5" i="12"/>
  <c r="M3" i="12"/>
  <c r="O70" i="11"/>
  <c r="O69" i="11"/>
  <c r="O68" i="11"/>
  <c r="O67" i="11"/>
  <c r="O66" i="11"/>
  <c r="O65" i="11"/>
  <c r="O64" i="11"/>
  <c r="O63" i="11"/>
  <c r="O62" i="11"/>
  <c r="O61" i="11"/>
  <c r="O60" i="11"/>
  <c r="O59" i="11"/>
  <c r="O58" i="11"/>
  <c r="O57" i="11"/>
  <c r="O56" i="11"/>
  <c r="O54" i="11"/>
  <c r="O53" i="11"/>
  <c r="O52" i="11"/>
  <c r="O51" i="11"/>
  <c r="O50" i="11"/>
  <c r="O49" i="11"/>
  <c r="O48" i="11"/>
  <c r="O47" i="11"/>
  <c r="O46" i="11"/>
  <c r="O45" i="11"/>
  <c r="O44" i="11"/>
  <c r="O43" i="11"/>
  <c r="O42" i="11"/>
  <c r="O41" i="11"/>
  <c r="O40" i="11"/>
  <c r="M7" i="12" l="1"/>
  <c r="AC5" i="9" l="1"/>
  <c r="E16" i="14" l="1"/>
  <c r="F7" i="10" s="1"/>
  <c r="C16" i="14"/>
  <c r="D7" i="10" s="1"/>
  <c r="D16" i="14"/>
  <c r="E7" i="10" s="1"/>
  <c r="R9" i="14"/>
  <c r="R10" i="14"/>
  <c r="R11" i="14"/>
  <c r="D44" i="8"/>
  <c r="F50" i="8"/>
  <c r="U458" i="4" l="1"/>
  <c r="U385" i="4"/>
</calcChain>
</file>

<file path=xl/sharedStrings.xml><?xml version="1.0" encoding="utf-8"?>
<sst xmlns="http://schemas.openxmlformats.org/spreadsheetml/2006/main" count="20225" uniqueCount="1837">
  <si>
    <t>ID1</t>
  </si>
  <si>
    <t>Name</t>
  </si>
  <si>
    <t>GFL</t>
  </si>
  <si>
    <t>Project ID</t>
  </si>
  <si>
    <t>Work ID</t>
  </si>
  <si>
    <t>ClarityID</t>
  </si>
  <si>
    <t>WBS</t>
  </si>
  <si>
    <t>Category</t>
  </si>
  <si>
    <t>VC Lever</t>
  </si>
  <si>
    <t>Digital Focus Area</t>
  </si>
  <si>
    <t>Funding Stage</t>
  </si>
  <si>
    <t>Project Status</t>
  </si>
  <si>
    <t>Finance_Guidance</t>
  </si>
  <si>
    <t>Work Actual Start</t>
  </si>
  <si>
    <t>Work Actual/Schedule Finish</t>
  </si>
  <si>
    <t>Project Parent</t>
  </si>
  <si>
    <t>Clarity Name</t>
  </si>
  <si>
    <t>ROCE</t>
  </si>
  <si>
    <t>eNPV</t>
  </si>
  <si>
    <t>NPV w_o_cost</t>
  </si>
  <si>
    <t>old_Master_LT_cost</t>
  </si>
  <si>
    <t>PoS</t>
  </si>
  <si>
    <t>Owner</t>
  </si>
  <si>
    <t>old_master_GDD_approved</t>
  </si>
  <si>
    <t>old_master_GDD_proposed</t>
  </si>
  <si>
    <t>old_master_IT_approved</t>
  </si>
  <si>
    <t>old_master_IT_proposed</t>
  </si>
  <si>
    <t>old_master_Total_OPEX</t>
  </si>
  <si>
    <t>old_master_Total_CAPEX</t>
  </si>
  <si>
    <t>old_master_Total_cash</t>
  </si>
  <si>
    <t>old_master_prob_OPEX_approved</t>
  </si>
  <si>
    <t>old_master_prob_OPEX_proposed</t>
  </si>
  <si>
    <t>old_master_prob_OPEX_total</t>
  </si>
  <si>
    <t>Investment Approval</t>
  </si>
  <si>
    <t>Subunit</t>
  </si>
  <si>
    <t>Program Manager</t>
  </si>
  <si>
    <t>Program owner</t>
  </si>
  <si>
    <t>Project Manager</t>
  </si>
  <si>
    <t>Work Package Manager</t>
  </si>
  <si>
    <t>Project Stage</t>
  </si>
  <si>
    <t>Forecast Planner</t>
  </si>
  <si>
    <t>Feb YTD</t>
  </si>
  <si>
    <t>Mar YTD</t>
  </si>
  <si>
    <t>Fin Mar YTD</t>
  </si>
  <si>
    <t>LT Today cost</t>
  </si>
  <si>
    <t>FC 2020</t>
  </si>
  <si>
    <t>LF 1</t>
  </si>
  <si>
    <t>March Status</t>
  </si>
  <si>
    <t>1 IRP Governance, QM &amp; Sustainability</t>
  </si>
  <si>
    <t/>
  </si>
  <si>
    <t>G4006285</t>
  </si>
  <si>
    <t>Strategy Approved</t>
  </si>
  <si>
    <t>Touati-Tliba, Mebarka-Mounira</t>
  </si>
  <si>
    <t>2 Scientific Regulatory Operational Methodology</t>
  </si>
  <si>
    <t>G4007549</t>
  </si>
  <si>
    <t>2019 DU Use Cases - IT investment</t>
  </si>
  <si>
    <t>G4004336</t>
  </si>
  <si>
    <t>Proposed Plan</t>
  </si>
  <si>
    <t>Hamilton, David</t>
  </si>
  <si>
    <t>4 IRP for Major depressive disorder</t>
  </si>
  <si>
    <t>G4007551</t>
  </si>
  <si>
    <t>6 IRP in Nash</t>
  </si>
  <si>
    <t>G4007553</t>
  </si>
  <si>
    <t>7 IRP in Neurofibromatosis</t>
  </si>
  <si>
    <t>G4007554</t>
  </si>
  <si>
    <t>Academic/ External Collaborations</t>
  </si>
  <si>
    <t>G4004839</t>
  </si>
  <si>
    <t>Leboulanger, Benoit</t>
  </si>
  <si>
    <t>ACT Implementation</t>
  </si>
  <si>
    <t>Finance</t>
  </si>
  <si>
    <t>Compliance</t>
  </si>
  <si>
    <t>P3 - Gen Meds Other</t>
  </si>
  <si>
    <t>Kolesnyk, Bogdan</t>
  </si>
  <si>
    <t>Ongoing</t>
  </si>
  <si>
    <t>G4007657</t>
  </si>
  <si>
    <t>IDEAL</t>
  </si>
  <si>
    <t>Nurture</t>
  </si>
  <si>
    <t>ACT implementation</t>
  </si>
  <si>
    <t>Active</t>
  </si>
  <si>
    <t>Pending</t>
  </si>
  <si>
    <t>ADAM</t>
  </si>
  <si>
    <t>GDO</t>
  </si>
  <si>
    <t>5.2 Scope &amp; Seek</t>
  </si>
  <si>
    <t>G4008423</t>
  </si>
  <si>
    <t>Addit Langua for PVI</t>
  </si>
  <si>
    <t>5.1 Proposal</t>
  </si>
  <si>
    <t>Patient Safety &amp; CMO</t>
  </si>
  <si>
    <t>G4004874</t>
  </si>
  <si>
    <t>Value Creation</t>
  </si>
  <si>
    <t>Grow</t>
  </si>
  <si>
    <t>Additional Languages for PVI</t>
  </si>
  <si>
    <t>DIT_GDD_PS_PVI_Remediation_and_Addl_Languages</t>
  </si>
  <si>
    <t>Basi, Mark Gargan</t>
  </si>
  <si>
    <t>different name in Finance</t>
  </si>
  <si>
    <t xml:space="preserve"> </t>
  </si>
  <si>
    <t>Fujihara, Satoko</t>
  </si>
  <si>
    <t>5.3 Solve</t>
  </si>
  <si>
    <t>ADR identification optimization</t>
  </si>
  <si>
    <t>G3004169</t>
  </si>
  <si>
    <t>Vaidyaram, Suchitra</t>
  </si>
  <si>
    <t>Adv Anal Use Cases</t>
  </si>
  <si>
    <t>CD&amp;A</t>
  </si>
  <si>
    <t>Salemi, Valerie</t>
  </si>
  <si>
    <t>Advanced Visual Analytics (AVA)</t>
  </si>
  <si>
    <t>X</t>
  </si>
  <si>
    <t>4C</t>
  </si>
  <si>
    <t>Seed</t>
  </si>
  <si>
    <t>n/a: only Business</t>
  </si>
  <si>
    <t>Russell</t>
  </si>
  <si>
    <t>Advocacy partnership</t>
  </si>
  <si>
    <t>N/A</t>
  </si>
  <si>
    <t>Kessler, Felix</t>
  </si>
  <si>
    <t>AEs in Digital Age</t>
  </si>
  <si>
    <t>G4007825</t>
  </si>
  <si>
    <t>Agile Operating Procedures (AOP) Umbrella</t>
  </si>
  <si>
    <t>G3002598</t>
  </si>
  <si>
    <t>Merlini, Chiara</t>
  </si>
  <si>
    <t>Alcon Subm Doc Mgmt</t>
  </si>
  <si>
    <t>Andreea Acalovschi (ACALOAN1)</t>
  </si>
  <si>
    <t>Edwards, Colin</t>
  </si>
  <si>
    <t>Alcon Submission Document Management</t>
  </si>
  <si>
    <t>G4003526</t>
  </si>
  <si>
    <t>Williams, Jason</t>
  </si>
  <si>
    <t>Algorithm library &amp; Analytics Pipeline</t>
  </si>
  <si>
    <t>G4005450</t>
  </si>
  <si>
    <t>Analytics CTT Support</t>
  </si>
  <si>
    <t>G4005458</t>
  </si>
  <si>
    <t>AOP</t>
  </si>
  <si>
    <t>AOP Pilot</t>
  </si>
  <si>
    <t>G4004339</t>
  </si>
  <si>
    <t>API Modelling</t>
  </si>
  <si>
    <t>TRD</t>
  </si>
  <si>
    <t>Michel</t>
  </si>
  <si>
    <t>Robinson, Stephanie</t>
  </si>
  <si>
    <t>Bibione, Guillermo</t>
  </si>
  <si>
    <t>Argus 8</t>
  </si>
  <si>
    <t>G3002614</t>
  </si>
  <si>
    <t>Argus</t>
  </si>
  <si>
    <t>DIT_GDD_CS_AUROrA</t>
  </si>
  <si>
    <t>Gama, Sara</t>
  </si>
  <si>
    <t>Van Veen, Elizabeth</t>
  </si>
  <si>
    <t>Argus 8  AUROrA</t>
  </si>
  <si>
    <t>ARONDA_Migration</t>
  </si>
  <si>
    <t>G4006250</t>
  </si>
  <si>
    <t>Artemis</t>
  </si>
  <si>
    <t>Woods, Gwen</t>
  </si>
  <si>
    <t>G4005291</t>
  </si>
  <si>
    <t>Reduce time to market</t>
  </si>
  <si>
    <t>AVA</t>
  </si>
  <si>
    <t>Robinson, Douglas</t>
  </si>
  <si>
    <t>AVA General</t>
  </si>
  <si>
    <t>G4002815</t>
  </si>
  <si>
    <t>BD&amp;L DD CoE for Global Development Quality</t>
  </si>
  <si>
    <t>G3002966</t>
  </si>
  <si>
    <t>Patterson, Shari</t>
  </si>
  <si>
    <t xml:space="preserve">BD&amp;L DD CoE Umbrella </t>
  </si>
  <si>
    <t>De Melio, Karen</t>
  </si>
  <si>
    <t>BD&amp;L DD CoE Umbrella</t>
  </si>
  <si>
    <t>G3002792</t>
  </si>
  <si>
    <t>Wirtz, Karen</t>
  </si>
  <si>
    <t>BD&amp;L DD CoE WS#1 Document Excellence</t>
  </si>
  <si>
    <t>G3002967</t>
  </si>
  <si>
    <t>Ravi, Ajith</t>
  </si>
  <si>
    <t>BD&amp;L DD CoE WS#2 Training</t>
  </si>
  <si>
    <t>G3002968</t>
  </si>
  <si>
    <t>BD&amp;L DD CoE WS#3 DD Process Re-design</t>
  </si>
  <si>
    <t>G3002969</t>
  </si>
  <si>
    <t>BD&amp;L DD CoE WS#4 CMC Integration</t>
  </si>
  <si>
    <t>G3002970</t>
  </si>
  <si>
    <t>BD&amp;L DD CoE WS#5 People</t>
  </si>
  <si>
    <t>G3002789</t>
  </si>
  <si>
    <t>BD&amp;L DD CoE WS#6 Operational Excellence</t>
  </si>
  <si>
    <t>G3002790</t>
  </si>
  <si>
    <t>BD&amp;L UnifiedSolution</t>
  </si>
  <si>
    <t>BD&amp;L_Unified solution</t>
  </si>
  <si>
    <t>G4003581</t>
  </si>
  <si>
    <t>Ayre, Gareth</t>
  </si>
  <si>
    <t>Benevolent AI</t>
  </si>
  <si>
    <t>G4004983</t>
  </si>
  <si>
    <t>BioPh Dev Transform</t>
  </si>
  <si>
    <t>P2 SZ Biopharma</t>
  </si>
  <si>
    <t>Pawlak, Daniela</t>
  </si>
  <si>
    <t>Biopharma Dev. General Transformation - Umbrella</t>
  </si>
  <si>
    <t>G4001299</t>
  </si>
  <si>
    <t>Wenzel, Kerstin</t>
  </si>
  <si>
    <t>Biopharma Development Communication</t>
  </si>
  <si>
    <t>G4007692</t>
  </si>
  <si>
    <t>Bouniol, Thomas</t>
  </si>
  <si>
    <t>Mitu, Marius Silviu</t>
  </si>
  <si>
    <t>Brexit</t>
  </si>
  <si>
    <t>BREXIT</t>
  </si>
  <si>
    <t>G4000817</t>
  </si>
  <si>
    <t>BREXIT Central Labs</t>
  </si>
  <si>
    <t>Business Process Re-engineerin</t>
  </si>
  <si>
    <t>Calypso (Verily) - Screening Studies</t>
  </si>
  <si>
    <t>G4003505</t>
  </si>
  <si>
    <t>CARE</t>
  </si>
  <si>
    <t>DIT_GDD_Project Calypso - Verily collaboration</t>
  </si>
  <si>
    <t>8%</t>
  </si>
  <si>
    <t>Max</t>
  </si>
  <si>
    <t>Chaghasbanian, Harut</t>
  </si>
  <si>
    <t>Schillag, Lennart</t>
  </si>
  <si>
    <t>Carnegie Mellon University machine learning collaboration</t>
  </si>
  <si>
    <t>Oncology</t>
  </si>
  <si>
    <t>CAR-T AI with CMU</t>
  </si>
  <si>
    <t>G4004498</t>
  </si>
  <si>
    <t>Enright, Linda</t>
  </si>
  <si>
    <t>Change Control development initiative</t>
  </si>
  <si>
    <t>G3002579</t>
  </si>
  <si>
    <t>Change Control Initiative</t>
  </si>
  <si>
    <t>5.4 Sustain</t>
  </si>
  <si>
    <t>Clin Sys Landscape Evolution</t>
  </si>
  <si>
    <t>G4004296</t>
  </si>
  <si>
    <t>Bertolazzi, Rosa</t>
  </si>
  <si>
    <t>Clin System Evolution</t>
  </si>
  <si>
    <t>Clinical DM Auto</t>
  </si>
  <si>
    <t>G4007751</t>
  </si>
  <si>
    <t>R&amp;D cost efficiency</t>
  </si>
  <si>
    <t>Proposed</t>
  </si>
  <si>
    <t>Clone Strategy 2.0</t>
  </si>
  <si>
    <t>G4002401</t>
  </si>
  <si>
    <t>Murawsky, Michael</t>
  </si>
  <si>
    <t>Acalovschi, Andreea</t>
  </si>
  <si>
    <t>CMO Results to Pts</t>
  </si>
  <si>
    <t>G4004972</t>
  </si>
  <si>
    <t>COMPaQ-MetA</t>
  </si>
  <si>
    <t>Compaq-Meta</t>
  </si>
  <si>
    <t>G4008372</t>
  </si>
  <si>
    <t>72%</t>
  </si>
  <si>
    <t>CRISP</t>
  </si>
  <si>
    <t>Wolf, Rebecca</t>
  </si>
  <si>
    <t>CRISP General</t>
  </si>
  <si>
    <t>G4006023</t>
  </si>
  <si>
    <t>DIT_GDO_CRISP</t>
  </si>
  <si>
    <t>64%</t>
  </si>
  <si>
    <t>CSR Toolkit</t>
  </si>
  <si>
    <t>Sun, John</t>
  </si>
  <si>
    <t>G3002624</t>
  </si>
  <si>
    <t xml:space="preserve">CTA Hub </t>
  </si>
  <si>
    <t>DARWIN 3.0</t>
  </si>
  <si>
    <t>STRIDE DARWIN 3.0 (Impact Evolution)</t>
  </si>
  <si>
    <t>DIT_GDD_CS_IMPACT_EVOLUTION</t>
  </si>
  <si>
    <t>Quintans, Javier</t>
  </si>
  <si>
    <t>DARWIN 3.0 (STRIDE)</t>
  </si>
  <si>
    <t>G4004847</t>
  </si>
  <si>
    <t>Maintenance</t>
  </si>
  <si>
    <t>Data Governanc</t>
  </si>
  <si>
    <t>Data Hub 2.0</t>
  </si>
  <si>
    <t>G4004715</t>
  </si>
  <si>
    <t>Manara, Stéphane</t>
  </si>
  <si>
    <t>Data Review</t>
  </si>
  <si>
    <t>G4008530</t>
  </si>
  <si>
    <t>Kanago, Sudha</t>
  </si>
  <si>
    <t>Muha, Roxana</t>
  </si>
  <si>
    <t>Data42</t>
  </si>
  <si>
    <t>Reduce attrition (increase PoS)</t>
  </si>
  <si>
    <t>Asma, Cem  Ozan</t>
  </si>
  <si>
    <t>G4003553</t>
  </si>
  <si>
    <t>DIT_GDD_CS_DATA42</t>
  </si>
  <si>
    <t>15%</t>
  </si>
  <si>
    <t>DataFlow24 Innovation</t>
  </si>
  <si>
    <t>G4004459</t>
  </si>
  <si>
    <t>Krishna Gopalan</t>
  </si>
  <si>
    <t>DataHub 2.0 with MDM</t>
  </si>
  <si>
    <t>DataHub 2.0 with MDM umbrella</t>
  </si>
  <si>
    <t>G4004463</t>
  </si>
  <si>
    <t>not approved</t>
  </si>
  <si>
    <t>DaVinci Ops Evolution</t>
  </si>
  <si>
    <t>G4004458</t>
  </si>
  <si>
    <t>49%</t>
  </si>
  <si>
    <t>Mounier, Anne</t>
  </si>
  <si>
    <t>DaVinci OpsEvolution</t>
  </si>
  <si>
    <t>DBL risk Indicators</t>
  </si>
  <si>
    <t>G3002622</t>
  </si>
  <si>
    <t>Saposnik, Sandra</t>
  </si>
  <si>
    <t>DDN001A1 General</t>
  </si>
  <si>
    <t>T3002604</t>
  </si>
  <si>
    <t>Garin, Alexandre</t>
  </si>
  <si>
    <t>DDO001B (FocalView)</t>
  </si>
  <si>
    <t>DDO001B (same code as FocalView)</t>
  </si>
  <si>
    <t>Ophta</t>
  </si>
  <si>
    <t>DDO001D (UNR app)</t>
  </si>
  <si>
    <t>two projects in Finance, different name in Finance</t>
  </si>
  <si>
    <t>Decentralized/Virtual Trials (S37)</t>
  </si>
  <si>
    <t>G3002573</t>
  </si>
  <si>
    <t>DESIRE</t>
  </si>
  <si>
    <t>G4004868</t>
  </si>
  <si>
    <t>Roux, Estelle</t>
  </si>
  <si>
    <t>Digital</t>
  </si>
  <si>
    <t>Digital Companions</t>
  </si>
  <si>
    <t>G4004876</t>
  </si>
  <si>
    <t>Digital Endpoints</t>
  </si>
  <si>
    <t>D&amp;D</t>
  </si>
  <si>
    <t>G4008172</t>
  </si>
  <si>
    <t>Increase sales</t>
  </si>
  <si>
    <t>12%</t>
  </si>
  <si>
    <t>Digital Evidence/ Endpoints</t>
  </si>
  <si>
    <t>G3002576</t>
  </si>
  <si>
    <t>DE&amp;E (digital endpoints)</t>
  </si>
  <si>
    <t>Roberts, Robin</t>
  </si>
  <si>
    <t>Steven, Naveen Nicodemus</t>
  </si>
  <si>
    <t>Digital Plant - Umbrella</t>
  </si>
  <si>
    <t>G3002639</t>
  </si>
  <si>
    <t>TRD Digital Plant</t>
  </si>
  <si>
    <t>DIT_GDD_Digital_Plant_MES GMT Rollout to TRD</t>
  </si>
  <si>
    <t>90%</t>
  </si>
  <si>
    <t>Different name in Finance</t>
  </si>
  <si>
    <t>Digital Plant (TRD)</t>
  </si>
  <si>
    <t>Digital Recr Use Cases</t>
  </si>
  <si>
    <t>Digital Recruitment - Trialspark</t>
  </si>
  <si>
    <t>G4003507</t>
  </si>
  <si>
    <t>Williams, Geoffrey Owen</t>
  </si>
  <si>
    <t>Digital Recruitment Umbrella</t>
  </si>
  <si>
    <t>G4003503</t>
  </si>
  <si>
    <t>Dossier Linkage Auto</t>
  </si>
  <si>
    <t>Dossier Linkage Automation</t>
  </si>
  <si>
    <t>G4003559</t>
  </si>
  <si>
    <t>eCTD Task Force</t>
  </si>
  <si>
    <t>eCTD Task Force for MRP/DCP/NP Submissions</t>
  </si>
  <si>
    <t>G3002601</t>
  </si>
  <si>
    <t>Puchakayala, Nirosha</t>
  </si>
  <si>
    <t>EDC ARGUS Integrat</t>
  </si>
  <si>
    <t>Pandiri, Madhu Kumar</t>
  </si>
  <si>
    <t>G4004750</t>
  </si>
  <si>
    <t>EDO MGT System</t>
  </si>
  <si>
    <t>Telischak, Julie</t>
  </si>
  <si>
    <t>EDO MGT SYSTEM</t>
  </si>
  <si>
    <t>G4005334</t>
  </si>
  <si>
    <t>EDO MGT System - HIVE (eCAR)</t>
  </si>
  <si>
    <t>DIT_GDD_EDO Mgt System</t>
  </si>
  <si>
    <t>EHR-EDC Integration</t>
  </si>
  <si>
    <t>G3003176</t>
  </si>
  <si>
    <t>eICF</t>
  </si>
  <si>
    <t>G3002591</t>
  </si>
  <si>
    <t>e-Narrative</t>
  </si>
  <si>
    <t>G3003178</t>
  </si>
  <si>
    <t>EPIC</t>
  </si>
  <si>
    <t>Portfolio Strategy</t>
  </si>
  <si>
    <t>Pallez, Claire</t>
  </si>
  <si>
    <t>EPIC Scope-Seek</t>
  </si>
  <si>
    <t>G4005870</t>
  </si>
  <si>
    <t>DIT_GDD_PS_EPIC</t>
  </si>
  <si>
    <t>51%</t>
  </si>
  <si>
    <t>Keller, Matthias</t>
  </si>
  <si>
    <t>EPIC Solve-Sustain</t>
  </si>
  <si>
    <t>G4006798</t>
  </si>
  <si>
    <t>Chandra, Mahesh</t>
  </si>
  <si>
    <t>eSAE Project</t>
  </si>
  <si>
    <t>G4007575</t>
  </si>
  <si>
    <t>eSAPIENS</t>
  </si>
  <si>
    <t>G3004221</t>
  </si>
  <si>
    <t>eSAPIENS II</t>
  </si>
  <si>
    <t>G4004749</t>
  </si>
  <si>
    <t>DIT_GDD_CS_eSAPIENS_II</t>
  </si>
  <si>
    <t>63%</t>
  </si>
  <si>
    <t>ETP 2.0</t>
  </si>
  <si>
    <t>G4002894</t>
  </si>
  <si>
    <t>Weber, Gernot</t>
  </si>
  <si>
    <t>EU Clinical Trial Regulation Implement</t>
  </si>
  <si>
    <t>G3002774</t>
  </si>
  <si>
    <t>EU PEARL General</t>
  </si>
  <si>
    <t>G4006822</t>
  </si>
  <si>
    <t>EU Policy 70 - RA process</t>
  </si>
  <si>
    <t>G3004232</t>
  </si>
  <si>
    <t>EU-PEARL</t>
  </si>
  <si>
    <t>eVisit task</t>
  </si>
  <si>
    <t>Expenses (NVS digital positioning)</t>
  </si>
  <si>
    <t>G4005495</t>
  </si>
  <si>
    <t>External stakeholder</t>
  </si>
  <si>
    <t>FastPDR Enhancements</t>
  </si>
  <si>
    <t>G4003560</t>
  </si>
  <si>
    <t>FDA/Novartis Data and Technology Collaboration</t>
  </si>
  <si>
    <t>fGSK Clone Migration</t>
  </si>
  <si>
    <t>G4004342</t>
  </si>
  <si>
    <t>Finance Dashboard</t>
  </si>
  <si>
    <t>G4004771</t>
  </si>
  <si>
    <t xml:space="preserve">GDD Finance Reporting and Dashboarding </t>
  </si>
  <si>
    <t>DIT_GDD_Finance_Reporting_and_Dashboarding</t>
  </si>
  <si>
    <t>Forecast Risk Manager</t>
  </si>
  <si>
    <t>G3002558</t>
  </si>
  <si>
    <t>Franco, Davide</t>
  </si>
  <si>
    <t>Forecast Risk Mgr</t>
  </si>
  <si>
    <t>FPO 2.0</t>
  </si>
  <si>
    <t>G4003952</t>
  </si>
  <si>
    <t>FPP Redesign</t>
  </si>
  <si>
    <t>G4005339</t>
  </si>
  <si>
    <t>Huesa Gonzalez, Ignacio</t>
  </si>
  <si>
    <t>FPP to FPFV cycle improvement</t>
  </si>
  <si>
    <t>G4005338</t>
  </si>
  <si>
    <t>Freenome Digital Classifiers 
(Freenome Collaboration)</t>
  </si>
  <si>
    <t>Freenome</t>
  </si>
  <si>
    <t>50%</t>
  </si>
  <si>
    <t>GAIN</t>
  </si>
  <si>
    <t>GAIN General</t>
  </si>
  <si>
    <t>G4003176</t>
  </si>
  <si>
    <t>GCS Global Sourcing</t>
  </si>
  <si>
    <t>G4005199</t>
  </si>
  <si>
    <t>GDD Challenge 2</t>
  </si>
  <si>
    <t xml:space="preserve">GDD Fix-it Challenge </t>
  </si>
  <si>
    <t>G4007700</t>
  </si>
  <si>
    <t>GDD OneMarketplace</t>
  </si>
  <si>
    <t>GDLIMS</t>
  </si>
  <si>
    <t>G3002644</t>
  </si>
  <si>
    <t xml:space="preserve">TRD Digital Labs </t>
  </si>
  <si>
    <t>DIT_GDD_GDLIMS</t>
  </si>
  <si>
    <t>GDO BPR</t>
  </si>
  <si>
    <t>GDO eSAE Enhan</t>
  </si>
  <si>
    <t>G4005049</t>
  </si>
  <si>
    <t>GDO Metadata Mgmt System Stabilization</t>
  </si>
  <si>
    <t>G4004971</t>
  </si>
  <si>
    <t>GDO Metadata Stab</t>
  </si>
  <si>
    <t>GDO Monit VR PoC</t>
  </si>
  <si>
    <t>G4005050</t>
  </si>
  <si>
    <t>GDO Processpedia</t>
  </si>
  <si>
    <t>Girard, Laurence Willema</t>
  </si>
  <si>
    <t>GDO Processpedia Execution</t>
  </si>
  <si>
    <t>G4005730</t>
  </si>
  <si>
    <t>57%</t>
  </si>
  <si>
    <t>GDO Processpedia Planning</t>
  </si>
  <si>
    <t>G4003405</t>
  </si>
  <si>
    <t>Buschardt, Anders</t>
  </si>
  <si>
    <t>GEMS</t>
  </si>
  <si>
    <t>G3002652</t>
  </si>
  <si>
    <t>GGO</t>
  </si>
  <si>
    <t>DIT_ GDD_GEMS_GGO_Programs</t>
  </si>
  <si>
    <t>GGO POPSYS end to end mgmt</t>
  </si>
  <si>
    <t>G4004335</t>
  </si>
  <si>
    <t>58%</t>
  </si>
  <si>
    <t>GGO Programs</t>
  </si>
  <si>
    <t>GGO Programs Umbrella</t>
  </si>
  <si>
    <t>Girasol</t>
  </si>
  <si>
    <t>G3002776</t>
  </si>
  <si>
    <t>Stober, Detlef</t>
  </si>
  <si>
    <t>GLASS - Global Allocation &amp; Site Selection</t>
  </si>
  <si>
    <t>G4000853</t>
  </si>
  <si>
    <t>BIRBE, NURIA</t>
  </si>
  <si>
    <t>GLIMS upgrade</t>
  </si>
  <si>
    <t>G3002651</t>
  </si>
  <si>
    <t>Global RA (CMC) Remediation Project</t>
  </si>
  <si>
    <t>G4002144</t>
  </si>
  <si>
    <t>Global RA LCM Reg Maintenance</t>
  </si>
  <si>
    <t>G4002157</t>
  </si>
  <si>
    <t>Google AI</t>
  </si>
  <si>
    <t>G4004116</t>
  </si>
  <si>
    <t>Granular CSR</t>
  </si>
  <si>
    <t>G4005304</t>
  </si>
  <si>
    <t>HARP to GPS Migration</t>
  </si>
  <si>
    <t>G4002404</t>
  </si>
  <si>
    <t>HC Ecosys Integr</t>
  </si>
  <si>
    <t>HC Ecosys Integration</t>
  </si>
  <si>
    <t>G4004980</t>
  </si>
  <si>
    <t>Horizon Evolution</t>
  </si>
  <si>
    <t>G4008176</t>
  </si>
  <si>
    <t>De Oto, Melanie</t>
  </si>
  <si>
    <t xml:space="preserve">ICH GCP E6 R2 </t>
  </si>
  <si>
    <t>Le Breton, Stephanie</t>
  </si>
  <si>
    <t>ICH GCP E6 R2</t>
  </si>
  <si>
    <t>G3002778</t>
  </si>
  <si>
    <t xml:space="preserve">ICRS enhancement </t>
  </si>
  <si>
    <t>ICRS enhancement</t>
  </si>
  <si>
    <t>G4004418</t>
  </si>
  <si>
    <t>DIT_GDD_GDO_ICRS_Update</t>
  </si>
  <si>
    <t>Thata, Raghuram</t>
  </si>
  <si>
    <t>iCS Enhancements - DSM BI Study Reports</t>
  </si>
  <si>
    <t>G3002811</t>
  </si>
  <si>
    <t>iCS Enhancements - QA Release and Medication</t>
  </si>
  <si>
    <t>G3002815</t>
  </si>
  <si>
    <t>iCS Enhancements - Supply and Logistic</t>
  </si>
  <si>
    <t>G3002814</t>
  </si>
  <si>
    <t>Jankovic, Branko</t>
  </si>
  <si>
    <t>iCS Enhancements - Umbrella</t>
  </si>
  <si>
    <t>G3002812</t>
  </si>
  <si>
    <t>TRD iCS Enhancements</t>
  </si>
  <si>
    <t xml:space="preserve">DIT_GDD_TRD_Master Data Management Planning </t>
  </si>
  <si>
    <t>iCS S&amp;L building the future</t>
  </si>
  <si>
    <t>G4005273</t>
  </si>
  <si>
    <t>DIT_GDD_iCS S&amp;L building the future II (E-CAR II)</t>
  </si>
  <si>
    <t>35%</t>
  </si>
  <si>
    <t>iCS Ware house &amp; Distribution</t>
  </si>
  <si>
    <t>G4005201</t>
  </si>
  <si>
    <t>IDD001D (Breezhaler)</t>
  </si>
  <si>
    <t>x</t>
  </si>
  <si>
    <t>two project in Finance</t>
  </si>
  <si>
    <t>IDD001F1 (ACDC)</t>
  </si>
  <si>
    <t>T4004277</t>
  </si>
  <si>
    <t>IDD001I1 (Digital Patient Support and Adherence Platform)</t>
  </si>
  <si>
    <t>Inform EDC Upgrade</t>
  </si>
  <si>
    <t>G4002403</t>
  </si>
  <si>
    <t>Internal Cost /Contractors</t>
  </si>
  <si>
    <t>G4005496</t>
  </si>
  <si>
    <t>IPL Enhancements</t>
  </si>
  <si>
    <t>G4007775</t>
  </si>
  <si>
    <t>Nussbaum, Marco</t>
  </si>
  <si>
    <t>IT</t>
  </si>
  <si>
    <t>JP PostierMigration</t>
  </si>
  <si>
    <t>G4004439</t>
  </si>
  <si>
    <t>MIURA, KAZUHARU</t>
  </si>
  <si>
    <t>KnowMan</t>
  </si>
  <si>
    <t>G4002893</t>
  </si>
  <si>
    <t>KnowMan Execution Phase</t>
  </si>
  <si>
    <t>G4005708</t>
  </si>
  <si>
    <t>KnowMan Planning Phase</t>
  </si>
  <si>
    <t>G4004530</t>
  </si>
  <si>
    <t>KPI Reporting</t>
  </si>
  <si>
    <t>G4004440</t>
  </si>
  <si>
    <t>Labeling - ‘Track and trace’ implementation</t>
  </si>
  <si>
    <t>G3002616</t>
  </si>
  <si>
    <t>Legacy GSK Oncology Umbrella</t>
  </si>
  <si>
    <t>G4002405</t>
  </si>
  <si>
    <t>LEGO (GSK Integration Data Migration)</t>
  </si>
  <si>
    <t>G3004222</t>
  </si>
  <si>
    <t>LJN452A</t>
  </si>
  <si>
    <t>IHD</t>
  </si>
  <si>
    <t>Low added tasks</t>
  </si>
  <si>
    <t>MarketPlace</t>
  </si>
  <si>
    <t>G4006726</t>
  </si>
  <si>
    <t>MDM</t>
  </si>
  <si>
    <t>G4004716</t>
  </si>
  <si>
    <t>Castro Reyes, Adriana</t>
  </si>
  <si>
    <t>MMS0001</t>
  </si>
  <si>
    <t>Peter Freund (FREUNPE1)</t>
  </si>
  <si>
    <t>Fabrizio Jr., Lawrence</t>
  </si>
  <si>
    <t>MMS0001 General</t>
  </si>
  <si>
    <t>P3004005</t>
  </si>
  <si>
    <t>Khandelwal, Rohit</t>
  </si>
  <si>
    <t>Mobility Product Collaboration - Evaluations</t>
  </si>
  <si>
    <t>G4004651</t>
  </si>
  <si>
    <t>Mobility Product Collaboration - Testing</t>
  </si>
  <si>
    <t>G4004653</t>
  </si>
  <si>
    <t>Mobility Product Data &amp; Digital</t>
  </si>
  <si>
    <t>G4004654</t>
  </si>
  <si>
    <t>Mobility Product Regulatory Assessment PH</t>
  </si>
  <si>
    <t>G4004658</t>
  </si>
  <si>
    <t>Mobility Product Technical Feasibility &amp; Dev</t>
  </si>
  <si>
    <t>T4004692</t>
  </si>
  <si>
    <t>Meier, Germano</t>
  </si>
  <si>
    <t>Dinev, Radoslav</t>
  </si>
  <si>
    <t>Mobility Product Use Case Testing</t>
  </si>
  <si>
    <t>G4004652</t>
  </si>
  <si>
    <t>Monitoring Automation &amp; DigiTilization (MADT)</t>
  </si>
  <si>
    <t>G4000854</t>
  </si>
  <si>
    <t>MOTION</t>
  </si>
  <si>
    <t>Klein, Valérie</t>
  </si>
  <si>
    <t>MOTION umbrella</t>
  </si>
  <si>
    <t>G4000851</t>
  </si>
  <si>
    <t>Kiese, Beate</t>
  </si>
  <si>
    <t>Mylan Data Migration</t>
  </si>
  <si>
    <t>G4007776</t>
  </si>
  <si>
    <t>DIT_GDD_CS_MylanArgusDataMigration</t>
  </si>
  <si>
    <t>NEO Enhancement</t>
  </si>
  <si>
    <t>G4004456</t>
  </si>
  <si>
    <t>Nerve L W3</t>
  </si>
  <si>
    <t>G4003573</t>
  </si>
  <si>
    <t>Nerve Live Wave 3 Umbrella</t>
  </si>
  <si>
    <t>Nerve Live Wave 4</t>
  </si>
  <si>
    <t>G4004255</t>
  </si>
  <si>
    <t>Multiple/most value in reduce time to market</t>
  </si>
  <si>
    <t>Nerve</t>
  </si>
  <si>
    <t>DIT_GDD_PSI_Nerve Wave 4</t>
  </si>
  <si>
    <t>New MAA NDA workstream</t>
  </si>
  <si>
    <t>New MAA/NDA process workstream</t>
  </si>
  <si>
    <t>G3002570</t>
  </si>
  <si>
    <t>New monitoring model</t>
  </si>
  <si>
    <t>NIBR Harmon</t>
  </si>
  <si>
    <t>NIBR Mobility Product Clinical Study PH</t>
  </si>
  <si>
    <t>G4004655</t>
  </si>
  <si>
    <t>NIRT Remediation</t>
  </si>
  <si>
    <t>G4005202</t>
  </si>
  <si>
    <t>NovaRIM 2.0 (STRIDE)</t>
  </si>
  <si>
    <t>RA</t>
  </si>
  <si>
    <t>Novartis</t>
  </si>
  <si>
    <t>Novartis Digital Recruitment</t>
  </si>
  <si>
    <t>G4005892</t>
  </si>
  <si>
    <t>Propsed</t>
  </si>
  <si>
    <t>NDR</t>
  </si>
  <si>
    <t>62%</t>
  </si>
  <si>
    <t>Hajjar, Eric</t>
  </si>
  <si>
    <t>different name in Finance, move from GDO</t>
  </si>
  <si>
    <t>OCRDC R5.2 upgrade</t>
  </si>
  <si>
    <t>G4003542</t>
  </si>
  <si>
    <t>OCRDC Upgrade</t>
  </si>
  <si>
    <t>OCRDC R5.2 upgrade (eCAR)</t>
  </si>
  <si>
    <t>Operations</t>
  </si>
  <si>
    <t>Optimus Enhancements</t>
  </si>
  <si>
    <t>G4004441</t>
  </si>
  <si>
    <t>Nature</t>
  </si>
  <si>
    <t>STRIDE Optimus Enhancements</t>
  </si>
  <si>
    <t>DIT_GDD_CS_Optimus Enhancement</t>
  </si>
  <si>
    <t>Origin 2.0</t>
  </si>
  <si>
    <t>G4004442</t>
  </si>
  <si>
    <t>Origin 2.0 (2019)</t>
  </si>
  <si>
    <t>OWKIN Breast Cancer</t>
  </si>
  <si>
    <t>Ko, Jennifer</t>
  </si>
  <si>
    <t>OWKIN Breast Cancer Part 1</t>
  </si>
  <si>
    <t>G4003534</t>
  </si>
  <si>
    <t xml:space="preserve">Panoptes </t>
  </si>
  <si>
    <t>Bauer, Andreas</t>
  </si>
  <si>
    <t>Panoptes</t>
  </si>
  <si>
    <t>G3002550</t>
  </si>
  <si>
    <t>PatCentRemoTrial</t>
  </si>
  <si>
    <t>G4004588</t>
  </si>
  <si>
    <t>Patient and provider Analysis</t>
  </si>
  <si>
    <t>G4004995</t>
  </si>
  <si>
    <t>Calvo Serra, Francesc</t>
  </si>
  <si>
    <t>Patient association</t>
  </si>
  <si>
    <t>Patient centricity in GDO</t>
  </si>
  <si>
    <t>G4003403</t>
  </si>
  <si>
    <t>Fernandez, Carole</t>
  </si>
  <si>
    <t>Patient Insights Nav</t>
  </si>
  <si>
    <t>PCRT</t>
  </si>
  <si>
    <t>DIT_GDD_PCRT</t>
  </si>
  <si>
    <t>29%</t>
  </si>
  <si>
    <t>People and Talent</t>
  </si>
  <si>
    <t>PIN MVP</t>
  </si>
  <si>
    <t>G4008417</t>
  </si>
  <si>
    <t>Platform Building</t>
  </si>
  <si>
    <t>G4005430</t>
  </si>
  <si>
    <t>PMS Innovation</t>
  </si>
  <si>
    <t>PoP CO</t>
  </si>
  <si>
    <t>PoP Co</t>
  </si>
  <si>
    <t>G4005277</t>
  </si>
  <si>
    <t>PreAdvance Integrati</t>
  </si>
  <si>
    <t>PreAdvance Integration</t>
  </si>
  <si>
    <t>G4008377</t>
  </si>
  <si>
    <t>PreDSIS</t>
  </si>
  <si>
    <t>G3004224</t>
  </si>
  <si>
    <t>McGregor, Robert Hugh Puckridg</t>
  </si>
  <si>
    <t>Productivity China</t>
  </si>
  <si>
    <t>Protocol Development Improvement</t>
  </si>
  <si>
    <t>G4005343</t>
  </si>
  <si>
    <t>PS China E2B R3 Submission</t>
  </si>
  <si>
    <t>G4005054</t>
  </si>
  <si>
    <t>PS China E2B(R3) Sub</t>
  </si>
  <si>
    <t>PS CommonWealth Vig.</t>
  </si>
  <si>
    <t>G4005048</t>
  </si>
  <si>
    <t>PS EMfASys</t>
  </si>
  <si>
    <t>PS EMfaSys</t>
  </si>
  <si>
    <t>G4004835</t>
  </si>
  <si>
    <t>DIT_GDD_CS_EMfASys</t>
  </si>
  <si>
    <t>PS JP eCPMS Vuln</t>
  </si>
  <si>
    <t>PS JP eCPMS Vulnerability</t>
  </si>
  <si>
    <t>G4004973</t>
  </si>
  <si>
    <t>PS Machine Learning</t>
  </si>
  <si>
    <t>G4004829</t>
  </si>
  <si>
    <t>PS NextGen SignDetec</t>
  </si>
  <si>
    <t>G4005055</t>
  </si>
  <si>
    <t>PS ORION</t>
  </si>
  <si>
    <t>G4004872</t>
  </si>
  <si>
    <t xml:space="preserve">PS RPA Safe PhaseII </t>
  </si>
  <si>
    <t>PS RPA Safe PhaseII</t>
  </si>
  <si>
    <t>G4004830</t>
  </si>
  <si>
    <t>PS RPA</t>
  </si>
  <si>
    <t>DIT_GDD_CS_RPA_Safety</t>
  </si>
  <si>
    <t>PS RPA Safety Phase I</t>
  </si>
  <si>
    <t>PSUR Automation</t>
  </si>
  <si>
    <t>G4008374</t>
  </si>
  <si>
    <t>Pt and provider anal</t>
  </si>
  <si>
    <t>Pt Centricity in GDO</t>
  </si>
  <si>
    <t>Pt Health Wallets</t>
  </si>
  <si>
    <t>G4004981</t>
  </si>
  <si>
    <t>QDM</t>
  </si>
  <si>
    <t>QDM General</t>
  </si>
  <si>
    <t>G4004755</t>
  </si>
  <si>
    <t>Baudou, Karine</t>
  </si>
  <si>
    <t>QDM PoS</t>
  </si>
  <si>
    <t>G4005271</t>
  </si>
  <si>
    <t>Quality agreements</t>
  </si>
  <si>
    <t>G3004233</t>
  </si>
  <si>
    <t>Quality check</t>
  </si>
  <si>
    <t xml:space="preserve">RA (CMC) Remediation </t>
  </si>
  <si>
    <t>RA 2019 GSG ComplUpd</t>
  </si>
  <si>
    <t>G4004522</t>
  </si>
  <si>
    <t>RA Auto PDF Q Check</t>
  </si>
  <si>
    <t>G4004525</t>
  </si>
  <si>
    <t>RA_Automated PDF Quality Checker</t>
  </si>
  <si>
    <t>RA Auto Subm Arch</t>
  </si>
  <si>
    <t>RA_China_eCTD_Submission</t>
  </si>
  <si>
    <t>DIT_GDD_RA_NovaRIM 2.0</t>
  </si>
  <si>
    <t>RA AutoCo TBL &amp; IPL</t>
  </si>
  <si>
    <t>G4004517</t>
  </si>
  <si>
    <t>RA AutoMeta ID M&amp;A</t>
  </si>
  <si>
    <t>G4004524</t>
  </si>
  <si>
    <t>RA China eCTD  Subm</t>
  </si>
  <si>
    <t>G4004518</t>
  </si>
  <si>
    <t>RA China eCTD Subm</t>
  </si>
  <si>
    <t>RA CMC DA ChK AutoM</t>
  </si>
  <si>
    <t>Global Regulatory Affairs</t>
  </si>
  <si>
    <t>G4005933</t>
  </si>
  <si>
    <t>RA CMC DA check automation</t>
  </si>
  <si>
    <t>DIT_GDD_RA CMC DA check automation</t>
  </si>
  <si>
    <t>RA CMC ServiceNow</t>
  </si>
  <si>
    <t>G4006747</t>
  </si>
  <si>
    <t>RA DeclaLetters Tool</t>
  </si>
  <si>
    <t>G4004529</t>
  </si>
  <si>
    <t>RA eCTD 4.0 Eval</t>
  </si>
  <si>
    <t>G4004519</t>
  </si>
  <si>
    <t>RA EU Clinical Trial Reg</t>
  </si>
  <si>
    <t>RA GDD Global Labeling Project</t>
  </si>
  <si>
    <t>G4002279</t>
  </si>
  <si>
    <t>RA GMP Request tool</t>
  </si>
  <si>
    <t>G4004527</t>
  </si>
  <si>
    <t>RA ImproPatientLabe</t>
  </si>
  <si>
    <t>G4004528</t>
  </si>
  <si>
    <t>RA JP HACT Migration</t>
  </si>
  <si>
    <t>G4004531</t>
  </si>
  <si>
    <t>RA JP Regiment Upgr</t>
  </si>
  <si>
    <t>G4004523</t>
  </si>
  <si>
    <t>RA LCM Reg Maint</t>
  </si>
  <si>
    <t>RA RegKnowMgmt Intel</t>
  </si>
  <si>
    <t>RA SALTO Reconfig</t>
  </si>
  <si>
    <t>G4004520</t>
  </si>
  <si>
    <t>RA_SALTO Reconfiguration</t>
  </si>
  <si>
    <t>RA Track and Trace</t>
  </si>
  <si>
    <t>RA_Automated Submission Archival Once Dispatched</t>
  </si>
  <si>
    <t>G4004526</t>
  </si>
  <si>
    <t>DIT_GDD_RA_Automated Submission Archival Once Dispatched</t>
  </si>
  <si>
    <t>RA_CDS Tracker Automation</t>
  </si>
  <si>
    <t>DIT_GDD_RA_CDS Tracker Automation</t>
  </si>
  <si>
    <t>RAMED</t>
  </si>
  <si>
    <t>G4006343</t>
  </si>
  <si>
    <t>DIT_GDD_RAMED</t>
  </si>
  <si>
    <t>Rapid Sensor Testing</t>
  </si>
  <si>
    <t>G4003651</t>
  </si>
  <si>
    <t>Registration renewal requirements support</t>
  </si>
  <si>
    <t>G3002690</t>
  </si>
  <si>
    <t>Registration renewal sup</t>
  </si>
  <si>
    <t>Remote SDV</t>
  </si>
  <si>
    <t>Remote SDV US</t>
  </si>
  <si>
    <t>Reorganisation R R</t>
  </si>
  <si>
    <t>Resource Cockpit</t>
  </si>
  <si>
    <t>G4002891</t>
  </si>
  <si>
    <t>Risk Based Monitoring (RBM)</t>
  </si>
  <si>
    <t>G3004234</t>
  </si>
  <si>
    <t>Safety Strategy Planning Tool (SSPT)</t>
  </si>
  <si>
    <t>G4003557</t>
  </si>
  <si>
    <t>SSPT</t>
  </si>
  <si>
    <t>DIT_GDD_CS_SSPT</t>
  </si>
  <si>
    <t>26%</t>
  </si>
  <si>
    <t>Science 37</t>
  </si>
  <si>
    <t>SENSE II</t>
  </si>
  <si>
    <t>G3004225</t>
  </si>
  <si>
    <t>Sensor Library</t>
  </si>
  <si>
    <t>G4005431</t>
  </si>
  <si>
    <t>Sensor Platform</t>
  </si>
  <si>
    <t xml:space="preserve">Simplify payment </t>
  </si>
  <si>
    <t>Site Payments</t>
  </si>
  <si>
    <t xml:space="preserve">SLC Optimization </t>
  </si>
  <si>
    <t>SLC Optimization Project</t>
  </si>
  <si>
    <t>G4002158</t>
  </si>
  <si>
    <t>Social Return of Inve</t>
  </si>
  <si>
    <t>SomaLogic</t>
  </si>
  <si>
    <t>Somalogic</t>
  </si>
  <si>
    <t>G4007527</t>
  </si>
  <si>
    <t>Pabbisetty, Vinod</t>
  </si>
  <si>
    <t>Split Second</t>
  </si>
  <si>
    <t>Start – Up Vendor Processes Improvement</t>
  </si>
  <si>
    <t>G4005341</t>
  </si>
  <si>
    <t>Strategy and Operation Sandoz Bio</t>
  </si>
  <si>
    <t>G4008360</t>
  </si>
  <si>
    <t>STRIDE</t>
  </si>
  <si>
    <t>STRIDE - Umbrella</t>
  </si>
  <si>
    <t>G3002957</t>
  </si>
  <si>
    <t>STRIDE D4P</t>
  </si>
  <si>
    <t>STRIDE_D4P</t>
  </si>
  <si>
    <t>DIT_STRIDE_D4P</t>
  </si>
  <si>
    <t>Blazovic, Tracey</t>
  </si>
  <si>
    <t>G3002964</t>
  </si>
  <si>
    <t>Saunders, Nancy</t>
  </si>
  <si>
    <t>STRIDE Darwin</t>
  </si>
  <si>
    <t>Jochim, Maryellen</t>
  </si>
  <si>
    <t>STRIDE DARWIN</t>
  </si>
  <si>
    <t>G3002958</t>
  </si>
  <si>
    <t>DIT_GDD_CS_STRIDE_DARWIN (ClinAdmin Replacement)</t>
  </si>
  <si>
    <t>STRIDE DaVinci</t>
  </si>
  <si>
    <t>G3002960</t>
  </si>
  <si>
    <t>DaVinci</t>
  </si>
  <si>
    <t>DIT_GDD_DV_Ops_Evolution</t>
  </si>
  <si>
    <t>STRIDE Dev Hub</t>
  </si>
  <si>
    <t>STRIDE Development Hub</t>
  </si>
  <si>
    <t>G3002962</t>
  </si>
  <si>
    <t>DIT_GDD_CS_STRIDE_Development Hub</t>
  </si>
  <si>
    <t>STRIDE Goldmine</t>
  </si>
  <si>
    <t>G3003946</t>
  </si>
  <si>
    <t>STRIDE Horizon</t>
  </si>
  <si>
    <t>Horizon</t>
  </si>
  <si>
    <t>DIT_GDD_PS_Horizon_Enhancements</t>
  </si>
  <si>
    <t>STRIDE NEO</t>
  </si>
  <si>
    <t>G3002959</t>
  </si>
  <si>
    <t>DIT_GDD_CS_STRIDE_NEO</t>
  </si>
  <si>
    <t>STRIDE NovaRIM</t>
  </si>
  <si>
    <t>G3002965</t>
  </si>
  <si>
    <t>NovaRIM</t>
  </si>
  <si>
    <t>DIT_GDD_DRA_NovaRIM</t>
  </si>
  <si>
    <t>22%</t>
  </si>
  <si>
    <t>STRIDE NovaRIM 2.0</t>
  </si>
  <si>
    <t>G4004848</t>
  </si>
  <si>
    <t>STRIDE Novartis Connect</t>
  </si>
  <si>
    <t>G3002961</t>
  </si>
  <si>
    <t>STRIDE NVS Connect</t>
  </si>
  <si>
    <t>DIT_GDD_CS_STRIDE_Novartis_Connect</t>
  </si>
  <si>
    <t>STRIDE OnePPM/Horizon</t>
  </si>
  <si>
    <t>G3002963</t>
  </si>
  <si>
    <t>D4P</t>
  </si>
  <si>
    <t>Study Coord Academy</t>
  </si>
  <si>
    <t>Subway Business Ops Support</t>
  </si>
  <si>
    <t>G4005891</t>
  </si>
  <si>
    <t>SUMMIT - SMQ Transformation</t>
  </si>
  <si>
    <t>G4002245</t>
  </si>
  <si>
    <t>SUMMIT: SQM</t>
  </si>
  <si>
    <t>Teckro</t>
  </si>
  <si>
    <t>Global Development Operations</t>
  </si>
  <si>
    <t>Campos, Susie</t>
  </si>
  <si>
    <t>Not Defined</t>
  </si>
  <si>
    <t>G4005180</t>
  </si>
  <si>
    <t>Telemedicine pilots</t>
  </si>
  <si>
    <t>Telemedicine Pilots</t>
  </si>
  <si>
    <t>G4004875</t>
  </si>
  <si>
    <t xml:space="preserve">TFQ </t>
  </si>
  <si>
    <t>TFQ (Trial Feedback Questionnaire)</t>
  </si>
  <si>
    <t>G3002578</t>
  </si>
  <si>
    <t>TMAD</t>
  </si>
  <si>
    <t>TMAD – TM Hub</t>
  </si>
  <si>
    <t>G4004443</t>
  </si>
  <si>
    <t>Crispim, Rodrigo</t>
  </si>
  <si>
    <t>TMO Business review</t>
  </si>
  <si>
    <t>TMO Super User</t>
  </si>
  <si>
    <t>TransCelerate</t>
  </si>
  <si>
    <t>TransCelerate Internal</t>
  </si>
  <si>
    <t>G4002210</t>
  </si>
  <si>
    <t>TransCelerate workstreams and sprints</t>
  </si>
  <si>
    <t>G4001603</t>
  </si>
  <si>
    <t>TRD BTD</t>
  </si>
  <si>
    <t>G4004586</t>
  </si>
  <si>
    <t>TRD Chrysalis</t>
  </si>
  <si>
    <t>G3002768</t>
  </si>
  <si>
    <t>TRD IT Ops Necessity</t>
  </si>
  <si>
    <t xml:space="preserve">DIT_GDD_TRD Chrysalis </t>
  </si>
  <si>
    <t>DeLaCastro, Daniella</t>
  </si>
  <si>
    <t>TRD CMC Data Mgmt</t>
  </si>
  <si>
    <t>G4005257</t>
  </si>
  <si>
    <t>TRD Codexis</t>
  </si>
  <si>
    <t>G4005256</t>
  </si>
  <si>
    <t>DIT_GDD_Digital_Lab_Codexis</t>
  </si>
  <si>
    <t>TRD Data Strategy</t>
  </si>
  <si>
    <t>DIT_GDD_TRD_Data Strategy ("TRD Data assets and insights")</t>
  </si>
  <si>
    <t>TRD DBCS Replacement</t>
  </si>
  <si>
    <t>G4005274</t>
  </si>
  <si>
    <t>TRD Digital Labs</t>
  </si>
  <si>
    <t>DIT_GDD_TRD_Digital_LAB_DATA HUB - "TIMS"</t>
  </si>
  <si>
    <t>TRD Digital Labs Initiative</t>
  </si>
  <si>
    <t>G4005254</t>
  </si>
  <si>
    <t>Nuture</t>
  </si>
  <si>
    <t>DIT_GDD_Digital Labs Initiative</t>
  </si>
  <si>
    <t>TRD ECM App Upgrade</t>
  </si>
  <si>
    <t>G4005276</t>
  </si>
  <si>
    <t>TRD GCDS Upgrade</t>
  </si>
  <si>
    <t>G4005258</t>
  </si>
  <si>
    <t>TRD ICS Landscape - Consolidated Changes</t>
  </si>
  <si>
    <t>G4005272</t>
  </si>
  <si>
    <t>TRD IT OPS Necessity Umbrella</t>
  </si>
  <si>
    <t>G4004590</t>
  </si>
  <si>
    <t>DIT_GDD_TRD_Performance_Taskforce</t>
  </si>
  <si>
    <t>Different name in Finance, not umbrella</t>
  </si>
  <si>
    <t>TRD Labs to W10 Upgrade</t>
  </si>
  <si>
    <t>G4004585</t>
  </si>
  <si>
    <t>TRD NCE API Modelling</t>
  </si>
  <si>
    <t>G4003494</t>
  </si>
  <si>
    <t>TRD Plant Mobile Maintenance</t>
  </si>
  <si>
    <t>G4005259</t>
  </si>
  <si>
    <t>TRD QA QP Release</t>
  </si>
  <si>
    <t>TRD QA_OE Compliance</t>
  </si>
  <si>
    <t>G4005275</t>
  </si>
  <si>
    <t>TRD Semantic Knowledge Rollout</t>
  </si>
  <si>
    <t>G4005260</t>
  </si>
  <si>
    <t>T-REX Enhancements</t>
  </si>
  <si>
    <t>G4004836</t>
  </si>
  <si>
    <t>DIT_GDD_T-REX_Enhancements</t>
  </si>
  <si>
    <t>TriNetX</t>
  </si>
  <si>
    <t>TriNetX Data-driven Protocol</t>
  </si>
  <si>
    <t>G3002791</t>
  </si>
  <si>
    <t>80%</t>
  </si>
  <si>
    <t>Umbrella Digital Lab Rollout 2018</t>
  </si>
  <si>
    <t>G3004231</t>
  </si>
  <si>
    <t>Umbrella Oxford BDI</t>
  </si>
  <si>
    <t>G4003495</t>
  </si>
  <si>
    <t>Advanced Analytics Use Cases</t>
  </si>
  <si>
    <t>19%</t>
  </si>
  <si>
    <t>Umbrella RA Cost Support To 2019 NBS IT Projects</t>
  </si>
  <si>
    <t>Umbrella Voyager</t>
  </si>
  <si>
    <t>G3002564</t>
  </si>
  <si>
    <t>DIT_GDD_Voyager - 2.1</t>
  </si>
  <si>
    <t>DIT_GDD_Voyager - 2.0</t>
  </si>
  <si>
    <t>University of Southern California Predictive Analytics
(USC collaboration)</t>
  </si>
  <si>
    <t>USC PM Collaboration</t>
  </si>
  <si>
    <t>P0 Oncology (Solid Tumors, all MA Onc projects)</t>
  </si>
  <si>
    <t>Wood, Robert</t>
  </si>
  <si>
    <t>USC/PM Collaboration</t>
  </si>
  <si>
    <t>B4005874</t>
  </si>
  <si>
    <t>Vendor Process Optimization (VPO)</t>
  </si>
  <si>
    <t>G4000852</t>
  </si>
  <si>
    <t>VOB  GPS II DaVinci</t>
  </si>
  <si>
    <t>G4005057</t>
  </si>
  <si>
    <t>VOB GPS II DaVinci</t>
  </si>
  <si>
    <t>Whodrug Upgrade</t>
  </si>
  <si>
    <t>G4003556</t>
  </si>
  <si>
    <t>Workstream Functional Alignment</t>
  </si>
  <si>
    <t>G4001303</t>
  </si>
  <si>
    <t>Gorgel-Werfel, Manuela</t>
  </si>
  <si>
    <t>Workstream Governance</t>
  </si>
  <si>
    <t>G4001302</t>
  </si>
  <si>
    <t>Workstream Processes</t>
  </si>
  <si>
    <t>G4001301</t>
  </si>
  <si>
    <t>Workstream Technology</t>
  </si>
  <si>
    <t>G4001304</t>
  </si>
  <si>
    <t>Garcia Prado, Franka</t>
  </si>
  <si>
    <t>X border CSM</t>
  </si>
  <si>
    <t>xEDI Remediation</t>
  </si>
  <si>
    <t>G4004353</t>
  </si>
  <si>
    <t>DHP</t>
  </si>
  <si>
    <t>Digital Labs Kneat</t>
  </si>
  <si>
    <t>CTRD upgrade</t>
  </si>
  <si>
    <t>Digital Labs Symphony</t>
  </si>
  <si>
    <t>Device Management</t>
  </si>
  <si>
    <t>PhysIQ</t>
  </si>
  <si>
    <t>Increase Sales</t>
  </si>
  <si>
    <t>IPGB</t>
  </si>
  <si>
    <t>RA Knowledge Management</t>
  </si>
  <si>
    <t>ACE</t>
  </si>
  <si>
    <t>Avatar</t>
  </si>
  <si>
    <t>UNR app</t>
  </si>
  <si>
    <t>VMT April 21 List</t>
  </si>
  <si>
    <t>Andromeda</t>
  </si>
  <si>
    <t>Digital Endpoint</t>
  </si>
  <si>
    <t>FocalView</t>
  </si>
  <si>
    <t>Oxford BDI</t>
  </si>
  <si>
    <t>Digital Plant</t>
  </si>
  <si>
    <t>iCS S&amp;L build future</t>
  </si>
  <si>
    <t>Calypso</t>
  </si>
  <si>
    <t>Probability of Success &amp; Feasibility</t>
  </si>
  <si>
    <t>3 &amp; 1</t>
  </si>
  <si>
    <t>3 &amp; 2</t>
  </si>
  <si>
    <t>3 &amp; 3</t>
  </si>
  <si>
    <t>2 &amp; 1</t>
  </si>
  <si>
    <t>2 &amp; 2</t>
  </si>
  <si>
    <t>2 &amp; 3</t>
  </si>
  <si>
    <t>1 &amp; 1</t>
  </si>
  <si>
    <t>1 &amp; 2</t>
  </si>
  <si>
    <t>1 &amp; 3</t>
  </si>
  <si>
    <t>Financial Attractiveness</t>
  </si>
  <si>
    <t>PoS Score</t>
  </si>
  <si>
    <t>&lt;/&gt;</t>
  </si>
  <si>
    <t>Value</t>
  </si>
  <si>
    <t>Score</t>
  </si>
  <si>
    <t>value translates to... If &gt; as...</t>
  </si>
  <si>
    <t>&gt;</t>
  </si>
  <si>
    <t>&lt;</t>
  </si>
  <si>
    <t xml:space="preserve">Financial Attractiveness Score** </t>
  </si>
  <si>
    <t>** Weightage - 66% eNPV score and 33% eROCE Score</t>
  </si>
  <si>
    <t>eNPV Score</t>
  </si>
  <si>
    <t>eROCE Score</t>
  </si>
  <si>
    <t>Projects</t>
  </si>
  <si>
    <t>Costs &amp; PoS</t>
  </si>
  <si>
    <t>Impact &amp; value</t>
  </si>
  <si>
    <t>Risk &amp; return</t>
  </si>
  <si>
    <t>NPV w/o costs</t>
  </si>
  <si>
    <t>eNPV w/o costs</t>
  </si>
  <si>
    <t>Total costs</t>
  </si>
  <si>
    <t>Internal costs</t>
  </si>
  <si>
    <t>External costs</t>
  </si>
  <si>
    <t>Capex / other</t>
  </si>
  <si>
    <t>Feasibility</t>
  </si>
  <si>
    <t>Feasibility score</t>
  </si>
  <si>
    <t>Feasibility rationale</t>
  </si>
  <si>
    <t>Probability</t>
  </si>
  <si>
    <t>PoS rationale</t>
  </si>
  <si>
    <t>Exp. Impact</t>
  </si>
  <si>
    <t>Impact rationale</t>
  </si>
  <si>
    <t>Auto-check</t>
  </si>
  <si>
    <t>Team check</t>
  </si>
  <si>
    <t>3X3 / Frontier Key</t>
  </si>
  <si>
    <t>Unique ID</t>
  </si>
  <si>
    <t>Project ID code</t>
  </si>
  <si>
    <t>WP ID code</t>
  </si>
  <si>
    <t>Project name</t>
  </si>
  <si>
    <t>Project sponsor</t>
  </si>
  <si>
    <t>Project status</t>
  </si>
  <si>
    <t>Project Lever</t>
  </si>
  <si>
    <t>Dominant Value Driver</t>
  </si>
  <si>
    <t>Project overview</t>
  </si>
  <si>
    <t>Total project costs</t>
  </si>
  <si>
    <t>Total internal costs</t>
  </si>
  <si>
    <t>Total external costs</t>
  </si>
  <si>
    <t>Total Capex / other</t>
  </si>
  <si>
    <t>Mean feasibility score</t>
  </si>
  <si>
    <t>Probability of Success</t>
  </si>
  <si>
    <t>% drugs impacted</t>
  </si>
  <si>
    <t>Total NPV w/o costs</t>
  </si>
  <si>
    <t>Total eNPV w/o costs</t>
  </si>
  <si>
    <t>NPV of failure (costs only)</t>
  </si>
  <si>
    <t>Total NPV with costs</t>
  </si>
  <si>
    <t>Total eNPV with costs</t>
  </si>
  <si>
    <t>Overall ROCE</t>
  </si>
  <si>
    <t>Overall eROCE</t>
  </si>
  <si>
    <t>Financial
Attractiveness Score</t>
  </si>
  <si>
    <t>Rounded Financial
Attractiveness Score</t>
  </si>
  <si>
    <t>Overall ROI</t>
  </si>
  <si>
    <t>Overall eROI</t>
  </si>
  <si>
    <t>Risk - SD(NPV)</t>
  </si>
  <si>
    <t>Risk - %SD/eNPV</t>
  </si>
  <si>
    <t>Reduce Int. R&amp;D costs</t>
  </si>
  <si>
    <t>Reduce Ext. R&amp;D costs</t>
  </si>
  <si>
    <t>Reduce attrition rate</t>
  </si>
  <si>
    <t>Reduce time to Approval</t>
  </si>
  <si>
    <t>Extend time to peak/LoE</t>
  </si>
  <si>
    <t>Increase adoption</t>
  </si>
  <si>
    <t>Increase unit volume</t>
  </si>
  <si>
    <t>Increase net sales price</t>
  </si>
  <si>
    <t>Reduce M&amp;S costs</t>
  </si>
  <si>
    <t>Reduce COGS/unit</t>
  </si>
  <si>
    <t>Total costs - 2019</t>
  </si>
  <si>
    <t>Total costs - 2020</t>
  </si>
  <si>
    <t>Total costs - 2021</t>
  </si>
  <si>
    <t>Total costs - 2022</t>
  </si>
  <si>
    <t>Total costs - 2023</t>
  </si>
  <si>
    <t>Total costs - 2024</t>
  </si>
  <si>
    <t>Total costs - 2025</t>
  </si>
  <si>
    <t>Total costs - 2026</t>
  </si>
  <si>
    <t>Total costs - 2027</t>
  </si>
  <si>
    <t>Total costs - 2028</t>
  </si>
  <si>
    <t>Internal costs - 2019</t>
  </si>
  <si>
    <t>Internal costs - 2020</t>
  </si>
  <si>
    <t>Internal costs - 2021</t>
  </si>
  <si>
    <t>Internal costs - 2022</t>
  </si>
  <si>
    <t>Internal costs - 2023</t>
  </si>
  <si>
    <t>Internal costs - 2024</t>
  </si>
  <si>
    <t>Internal costs - 2025</t>
  </si>
  <si>
    <t>Internal costs - 2026</t>
  </si>
  <si>
    <t>Internal costs - 2027</t>
  </si>
  <si>
    <t>Internal costs - 2028</t>
  </si>
  <si>
    <t>External costs - 2019</t>
  </si>
  <si>
    <t>External costs - 2020</t>
  </si>
  <si>
    <t>External costs - 2021</t>
  </si>
  <si>
    <t>External costs - 2022</t>
  </si>
  <si>
    <t>External costs - 2023</t>
  </si>
  <si>
    <t>External costs - 2024</t>
  </si>
  <si>
    <t>External costs - 2025</t>
  </si>
  <si>
    <t>External costs - 2026</t>
  </si>
  <si>
    <t>External costs - 2027</t>
  </si>
  <si>
    <t>External costs - 2028</t>
  </si>
  <si>
    <t>Capex / other - 2019</t>
  </si>
  <si>
    <t>Capex / other - 2020</t>
  </si>
  <si>
    <t>Capex / other - 2021</t>
  </si>
  <si>
    <t>Capex / other - 2022</t>
  </si>
  <si>
    <t>Capex / other - 2023</t>
  </si>
  <si>
    <t>Capex / other - 2024</t>
  </si>
  <si>
    <t>Capex / other - 2025</t>
  </si>
  <si>
    <t>Capex / other - 2026</t>
  </si>
  <si>
    <t>Capex / other - 2027</t>
  </si>
  <si>
    <t>Capex / other - 2028</t>
  </si>
  <si>
    <t>Internal experience - rating</t>
  </si>
  <si>
    <t>Vendor experience - rating</t>
  </si>
  <si>
    <t>Project simplicity - rating</t>
  </si>
  <si>
    <t>Financial feasibility - rating</t>
  </si>
  <si>
    <t>Internal experience - score</t>
  </si>
  <si>
    <t>Vendor experience - score</t>
  </si>
  <si>
    <t>Project simplicity - score</t>
  </si>
  <si>
    <t>Financial feasibility - score</t>
  </si>
  <si>
    <t>Internal experience - rationale</t>
  </si>
  <si>
    <t>Vendor experience - rationale</t>
  </si>
  <si>
    <t>Project simplicity - rationale</t>
  </si>
  <si>
    <t>Financial feasibility - rationale</t>
  </si>
  <si>
    <t>Technical success - PoS</t>
  </si>
  <si>
    <t>Clinical success - PoS</t>
  </si>
  <si>
    <t>Regulatory success - PoS</t>
  </si>
  <si>
    <t>Integration success - PoS</t>
  </si>
  <si>
    <t>Adoption success - PoS</t>
  </si>
  <si>
    <t>Technical success - rationale</t>
  </si>
  <si>
    <t>Clinical success - rationale</t>
  </si>
  <si>
    <t>Regulatory success - rationale</t>
  </si>
  <si>
    <t>Integration success - rationale</t>
  </si>
  <si>
    <t>Adoption success - rationale</t>
  </si>
  <si>
    <t>% drugs impacted - %impact</t>
  </si>
  <si>
    <t>Reduce Int. R&amp;D costs - %impact</t>
  </si>
  <si>
    <t>Reduce Ext. R&amp;D costs - %impact</t>
  </si>
  <si>
    <t>Reduce attrition rate - %impact</t>
  </si>
  <si>
    <t>Reduce time to Approval - %impact</t>
  </si>
  <si>
    <t>Extend time to peak/LoE - %impact</t>
  </si>
  <si>
    <t>Increase adoption - %impact</t>
  </si>
  <si>
    <t>Increase unit volume - %impact</t>
  </si>
  <si>
    <t>Increase net sales price - %impact</t>
  </si>
  <si>
    <t>Reduce M&amp;S costs - %impact</t>
  </si>
  <si>
    <t>Reduce COGS/unit - %impact</t>
  </si>
  <si>
    <t>% drugs impacted - rationale</t>
  </si>
  <si>
    <t>Reduce Int. R&amp;D costs - rationale</t>
  </si>
  <si>
    <t>Reduce Ext. R&amp;D costs - rationale</t>
  </si>
  <si>
    <t>Reduce attrition rate - rationale</t>
  </si>
  <si>
    <t>Reduce time to Approval - rationale</t>
  </si>
  <si>
    <t>Extend time to peak/LoE - rationale</t>
  </si>
  <si>
    <t>Increase adoption - rationale</t>
  </si>
  <si>
    <t>Increase unit volume - rationale</t>
  </si>
  <si>
    <t>Increase net sales price - rationale</t>
  </si>
  <si>
    <t>Reduce M&amp;S costs - rationale</t>
  </si>
  <si>
    <t>Reduce COGS/unit - rationale</t>
  </si>
  <si>
    <t>Auto-check - Project integration</t>
  </si>
  <si>
    <t>Auto-check - Project information</t>
  </si>
  <si>
    <t>Auto-check - Project costs</t>
  </si>
  <si>
    <t>Auto-check - Feasibility ratings</t>
  </si>
  <si>
    <t>Auto-check - PoS estimates</t>
  </si>
  <si>
    <t>Auto-check - Impact estimates</t>
  </si>
  <si>
    <t>Auto-check - Full Auto-check</t>
  </si>
  <si>
    <t>Auto-check - Updated by</t>
  </si>
  <si>
    <t>Auto-check - Date</t>
  </si>
  <si>
    <t>Team check - Auto-check sign off</t>
  </si>
  <si>
    <t>Team check - Project information</t>
  </si>
  <si>
    <t>Team check - Full project costs</t>
  </si>
  <si>
    <t>Team check - Feasibility ratings</t>
  </si>
  <si>
    <t>Team check - PoS estimates</t>
  </si>
  <si>
    <t>Team check - Impact estimates</t>
  </si>
  <si>
    <t>Team check - Complete picture</t>
  </si>
  <si>
    <t>Team check - Team alignment</t>
  </si>
  <si>
    <t>Team check - Full team check</t>
  </si>
  <si>
    <t>Team check - Updated by</t>
  </si>
  <si>
    <t>Team check - Date</t>
  </si>
  <si>
    <t>Yes</t>
  </si>
  <si>
    <t>Increase potential P&amp;L in case of approval</t>
  </si>
  <si>
    <t>Novartis Digital Recruiting aims to accelerate clinical trials by using online, direct to patient opportunities to direct more patients to our trials. The majority of clinical trials in the industry fail to meet their projected timing today, mostly due to recruiting shortfalls.</t>
  </si>
  <si>
    <t>High</t>
  </si>
  <si>
    <t>medium</t>
  </si>
  <si>
    <t>Medium</t>
  </si>
  <si>
    <t>Pull downs not working... Internal team has extensive experience from other companies, past efforts, and current pilots</t>
  </si>
  <si>
    <t>vendors have extensive experience in their relative fields</t>
  </si>
  <si>
    <t>Project requires significant review by data privacy, and working with the teams far ahead of recruitment</t>
  </si>
  <si>
    <t>minimal investment</t>
  </si>
  <si>
    <t>Some risk to timeline. No risk to feasibility</t>
  </si>
  <si>
    <t>No risk to feasibility</t>
  </si>
  <si>
    <t>Review of 2020 Portfolio of study starts identified 19 studies that were extremely ammenable to digital recruiting approach</t>
  </si>
  <si>
    <t>Increases study costs; -0.75% ~ 1.5m per study; assume half is reallocated from non-effective existing spend = $750k</t>
  </si>
  <si>
    <t>Some projects would be accelerated by 3mo or more, while some projects will be accelerated less (avg 1.5m = 3.5%)</t>
  </si>
  <si>
    <t>data42</t>
  </si>
  <si>
    <t>Increase drug development PoS</t>
  </si>
  <si>
    <t>data42 is a GDD&amp;NIBR light-house program that will reduce the distance between data and users (data scientists, scientists, clinicians and other decision makers) to increase understanding of biology and medicine in order to enhance R&amp;D decision making. It will enable that vision by building scalable infrastructure and a powerful technology platform with state of the art products and analytics.</t>
  </si>
  <si>
    <t>Leadership team is in place, key talent allocated from across NIBR, GDD, NBS, CDO, however: still many open positions.</t>
  </si>
  <si>
    <t>Key vendor relationships in place, some talent is hard to find even among vendors</t>
  </si>
  <si>
    <t>There are dependencies (e.g. IT infrastructure) and a broad set of stakeholders and activities with need of alignment, e.g. Formula 1, GDD D&amp;D, CDO</t>
  </si>
  <si>
    <t>The CAR has been approved and budget secured within GDO</t>
  </si>
  <si>
    <t>data42 combines proven and new solutions at a large scale, often in innovative ways</t>
  </si>
  <si>
    <t>data42 products have varying degrees of medical/clinical uncertainty, e.g. low for Discovery and high for endotyping and other questions</t>
  </si>
  <si>
    <t>All work is non-GxP/exploratory and patient privacy is protected</t>
  </si>
  <si>
    <t>Low reliance on integration with external systems; most data are internal</t>
  </si>
  <si>
    <t>data42 products are responding to acute needs across the organization and provide new capabilities that will help drive adoption</t>
  </si>
  <si>
    <t>NA</t>
  </si>
  <si>
    <t>Enabling generation of evidence and actionable insights across disease areas, so high degree of penetration expected, but not all products identified yet</t>
  </si>
  <si>
    <t>Reducing trials and trial size will have an impact on R&amp;D costs</t>
  </si>
  <si>
    <t>Better design through better understanding of disease, disease progression, chemical properties has potential to increase success rate from 8% to 16%, i.e. reduce attrition</t>
  </si>
  <si>
    <t>All above has potential to reduce time on clinical development, in turn reducing time to approval</t>
  </si>
  <si>
    <t>Reducing time to approval, increasing speed has potential to extend time on peak/extend time to LoE</t>
  </si>
  <si>
    <t xml:space="preserve">Increasing price through stronger differentiation of labels (better targeted TPPs, novel endpoints); identification/prioritization of new indiciations included here as well (though these would be separate new eNPVs)
</t>
  </si>
  <si>
    <t>Lawson, Maxwell</t>
  </si>
  <si>
    <t>G4010577</t>
  </si>
  <si>
    <t>Nerve SENSE4</t>
  </si>
  <si>
    <t xml:space="preserve">SENSE is a predictive risk identification solution, built on the Nerve Live platform, providing all associates worldwide working on global clinical trials with transparent planning information and predictive data-driven insights. It has been live since December 2018 and continues to be developed iteratively. Major integrations and improvements are planned until and including 2021, in synergy with the clinical trial process and system landscape evolution
- Critical system integrations, either becoming available or being-developed, e.g. ETP, Dynamo, Nucleus, NVS Connect
- Building out TM/TMO country / site startup tracking and prediction functionality for accelerated trial start-up
- Extending it to project-related activities, detecting submission risk
- Adding more cost / external vendor management features
- Maximize portfolio-wide study-types, and applicabiliy incl. GMA, non-investigational, NIBR multi-cohort, AAA, Avexis, Med Co. etc.
- Plugging in new predictive algorithms for e.g. event-driven or multi-part studies
This project is for building this next wave of functionality (SENSE v4.x) over a 1y period from Q2 2020 to Q2 2021.
</t>
  </si>
  <si>
    <t>Project team running effectively since 2 years</t>
  </si>
  <si>
    <t>Same vendor involved since 2 years, very good experience so far</t>
  </si>
  <si>
    <t>Well understood problem space, some dependencies on other projects and further research needed on data science</t>
  </si>
  <si>
    <t>Planned budget, continuation of SENSE 3.x with same costs, not approved by GDD as of yet</t>
  </si>
  <si>
    <t>Well established solution which is being further enhanced, but lots of new requirements</t>
  </si>
  <si>
    <t>No dependency on clinical data</t>
  </si>
  <si>
    <t>Existing since 2018, with no regulatory hurdles, although potential new use cases may reopen the discussion (planned to be non-GxP, but ongoing discussion)</t>
  </si>
  <si>
    <t>No (new) external integrations planned</t>
  </si>
  <si>
    <t>Clear pull from users, but still need to increase usage/deploy to new functions and how to best integrate in existing &amp; new processes / workflows</t>
  </si>
  <si>
    <t>Applies broadly for study and project/program management, except for some rare operationally very different cases</t>
  </si>
  <si>
    <t xml:space="preserve">Unquantified upside: we expect SENSE4x will lead to shorter, more efficient studies.
Increased transparency and predictive risk identification in SENSE will lead to sites and countries open for less time, less rescue sites and therefore overall shorter studies.
Will lead to paying less for both internal and external resources, in direct proportion to reduced study duration. 
This will mainly be due SENSE4x new country and site startup views and models as well as the broader reach in terms of number of studies. 
We estimate we can shave on average 1% of study time and therefore ~0.5% off internal and external running costs (considering there are also non time-dependent costs) from the SENSE version 4 work in 2020-2021.
</t>
  </si>
  <si>
    <t>Same logic as above (Int. R&amp;D costs)</t>
  </si>
  <si>
    <t>No impact expected</t>
  </si>
  <si>
    <t>Assuming 50% of studies have an issue that creates a 6 week delay on that study or a second-order study; with SENSE we can reduce this by 50%; attribute 25% of this to new functionality = 0.2%
Additional commentary: The main benefit we expect overall is to reduce time spent in development due to earlier risk identification and therefore shorter studies as well as less time lost in transitions. Better transparency within the CTT, now with additional views and predictive models on the country and site startup activities as well as the drug supply piece we hope will also lead to more informed discussions and less time spent in reactive fire-fighting. These combined impacts will affect all studies in scope and we expect to shorten study duration by 1-3 weeks on average. Assuming an average of 3 consecutive studies per approval, that would conservatively equate to 3 weeks saved on the development lifetime per drug (~1% of 4 years). This will additionally be compounded by us adding the project-level modelling and tracking, thus further adding coherence to the program teams and reducing the time in-between studies. We are not considering this in the model, to err on the conservative side, but this just adds to our confidence of achieving the 1% reduction in development time to approval.</t>
  </si>
  <si>
    <t>McGregor, Robert</t>
  </si>
  <si>
    <t>G4010578</t>
  </si>
  <si>
    <t>Nerve DYNAMO 2.0</t>
  </si>
  <si>
    <t>The project aim to implemenat the next v2.0 of DYNAMO building on the v1.0 in delivery by mid. 2020</t>
  </si>
  <si>
    <t>Experience team from the first version deployment</t>
  </si>
  <si>
    <t>Same vendor which worked on v1.0 which is also engaged in other Nerve Live projects</t>
  </si>
  <si>
    <t>Extracting and understandig finance data and logic can be complex</t>
  </si>
  <si>
    <t>v2.0 approval to be requested</t>
  </si>
  <si>
    <t>Will be based on the already developed v1.0</t>
  </si>
  <si>
    <t>na</t>
  </si>
  <si>
    <t>wil be based on the already launched v1.0</t>
  </si>
  <si>
    <t>all drug program need foreacst for planning porpuose</t>
  </si>
  <si>
    <t>Reduce the stop-and-go of projects through improved financial forecasting, resulting in reduction of 1 months delay on approximately 5% of projects overall = .12%</t>
  </si>
  <si>
    <t>G4010579</t>
  </si>
  <si>
    <t>Nerve MetricsGDD</t>
  </si>
  <si>
    <t>Measure KPIs for various activities under GDO 
Integrate with NERVE modules for use of KPIs for predictions.
Standard platform which can be used all KPI computations</t>
  </si>
  <si>
    <t>Low</t>
  </si>
  <si>
    <t>There is prior experience from Mind project. Internal team on both business and ITwith background / expertise is available</t>
  </si>
  <si>
    <t>Established vendors in the space are available.</t>
  </si>
  <si>
    <t>There are less dependencies on other workstreams. Data needed for computations might not be all available in a structured manner</t>
  </si>
  <si>
    <t>Project / Funding approval to be secured</t>
  </si>
  <si>
    <t>Technical approach is clear</t>
  </si>
  <si>
    <t>no clinical impact</t>
  </si>
  <si>
    <t>no regulatory impact</t>
  </si>
  <si>
    <t>clarify approach to integrate where data for KPI is manually processed</t>
  </si>
  <si>
    <t>GDO LT and teams dependent on metrics solution</t>
  </si>
  <si>
    <t>All studies will benefit from monitoring well defined metrics and KPIs</t>
  </si>
  <si>
    <t>5 FTE = 1mUSD saving over 3.5 years (3.5m/9600m = 0.04 %)</t>
  </si>
  <si>
    <t>No influence</t>
  </si>
  <si>
    <t>G4010600</t>
  </si>
  <si>
    <t>Nerve ETP</t>
  </si>
  <si>
    <t>Reduce R&amp;D Costs</t>
  </si>
  <si>
    <t>Update ETP to support activity based algorithms &amp; timesheet recording (see RP). Provide e2e view with DYNAMO.</t>
  </si>
  <si>
    <t>Funded until Q2 2020</t>
  </si>
  <si>
    <t>Version 3.0 of mature solution with minor adjustments</t>
  </si>
  <si>
    <t>Existing since 2018, with no regulatory hurdles</t>
  </si>
  <si>
    <t>All internal systems</t>
  </si>
  <si>
    <t>Strong commitment from business function; strong push from NIBR for integration in their processes</t>
  </si>
  <si>
    <t>Required pre-IMB for all GDD studies and BD&amp;L assessments</t>
  </si>
  <si>
    <t>Commitment of early pricing team to save 35mn for 2020 (internal + external); risk adjust commitment and assume 5mn can be attributed to new functionality; over 3.5 years = 17.5mn (0.2%)</t>
  </si>
  <si>
    <t>Reductions included in line above</t>
  </si>
  <si>
    <t>G4010591</t>
  </si>
  <si>
    <t>Nerve FPO</t>
  </si>
  <si>
    <t>So far FPO has focussed on enrolment performance based on historic data (FPO 1.0) and enriched this view for external sites by leveraging external data (FPO 2.0). The following release will incorporate the usage of patient heat maps delivered by the RWE group. This release is crucial for ARTEMIS.</t>
  </si>
  <si>
    <t>Mature solution, but challenges regarding availability of data identified to further mature</t>
  </si>
  <si>
    <t>Existing since 2018, with no regulatory hurdles; non-GxP</t>
  </si>
  <si>
    <t>All external data sources have been integrated in prior releases; dependency on ARTEMIS to deliver patient heatmaps</t>
  </si>
  <si>
    <t>ARTEMIS foresees FPO as central brain for overall feasibility and site selection process</t>
  </si>
  <si>
    <t>Support for all GDD Phase 2-4 studies with limitation for certain cohort studies</t>
  </si>
  <si>
    <t>Expected to reduce time spent in development by ~2 weeks due to earlier risk identification and better planned transitions; seeing 11 - 12 days from v1.0 (but without sufficient statistical significance to claim); assuming v1.0 is ~1 week and v2.0 is an incremental 1 week</t>
  </si>
  <si>
    <t>G4010145</t>
  </si>
  <si>
    <t>Nerve JARVIS</t>
  </si>
  <si>
    <t>CMO/PS</t>
  </si>
  <si>
    <t xml:space="preserve">Just a Rather Very Intelligent System (JARVIS) for patient safety. A centralized and integrated system to automate the current manually intensive processes to capture, measure, analyze and visualize all CMO&amp;PS metrics to provide real-time insight with forecasting capability. Also develop a predictive risk methodology and visualization for the Novartis PV system. Novartis PV systems handles large volumes of varied data spread across more than 15-20 systems and more than 10-15 non-systems, currently this data is largely under utilized. In most cases the way that this data is collated and distributed makes it difficult to clearly identify correlations and ensure that timely decisions &amp; actions are taken. 
</t>
  </si>
  <si>
    <t>We have experience implementing projects like this internally</t>
  </si>
  <si>
    <t>Vendors likely do not have a lot of experience with this customized solution</t>
  </si>
  <si>
    <t>Data integration and dashboarding solution should be fairly straightforward but come from diverse data sources with different data qualities.</t>
  </si>
  <si>
    <t>Costs have not been finalized yet. Not expected to exceed $1M. Break even in 2-3yrs.</t>
  </si>
  <si>
    <t>Existing tools and procedures which can be mirrored in the application; interface and algorithms not that complex, but integration/data ingestion/dependencies relatively complex</t>
  </si>
  <si>
    <t>No clinical dependency</t>
  </si>
  <si>
    <t>Regulatory requirement for compliance oversight.</t>
  </si>
  <si>
    <t>All internal systems/integrations</t>
  </si>
  <si>
    <t>Closes a recognized gap</t>
  </si>
  <si>
    <t>Pharmacovigilance reports are common to every drug and every clinical study so all drug projects will be impacted.</t>
  </si>
  <si>
    <t>Reduce 5 FTEs plus cost savings estimated at 1.25mn/year over 3.5 years = 4.4mn (.05%)</t>
  </si>
  <si>
    <t>2.6mn per year for 3.5 years from additional cost savings of reducing backfills for studies that are out of compliance; 8.9mn (0.13%)</t>
  </si>
  <si>
    <t>Unlikely to reduce attrition rate</t>
  </si>
  <si>
    <t>Unquantified upside: Minimize pre-approval GCP inspection findings which may reduce risk of delays to market</t>
  </si>
  <si>
    <t>Unlikely to affect this parameter</t>
  </si>
  <si>
    <t>Unquantified upside: Rapid label updates can improve reputation and give confidence to HCPs.</t>
  </si>
  <si>
    <t>No effect on unit volume</t>
  </si>
  <si>
    <t>No effect on sales price</t>
  </si>
  <si>
    <t>No effect on M&amp;S</t>
  </si>
  <si>
    <t>Unquantified upside: Reduced waste due to late label changes.</t>
  </si>
  <si>
    <t>Heard, David</t>
  </si>
  <si>
    <t>G4010590</t>
  </si>
  <si>
    <t>Nerve ResCockpit</t>
  </si>
  <si>
    <t>The project aim to implemenat the next v2.0 of RC building on the v1.0 and v1.1 delivered in 2019</t>
  </si>
  <si>
    <t>New vendor for v2.0 which is anyway engaged alreday in other Nerve module and support activities</t>
  </si>
  <si>
    <t>Data ecosystem and IT landscape is relative complex</t>
  </si>
  <si>
    <t>Will be based on the already developed v1.0; some challenges remaining with Horizon integration (which is also being changed in parallel)</t>
  </si>
  <si>
    <t>No external to NVS integrations</t>
  </si>
  <si>
    <t>TRD support all drug development project</t>
  </si>
  <si>
    <t>More efficient planning and tracking of resource utilization at an activity level results in 3% overall efficiency improvements for 1000 users (vs 2800 in TRD) = 30 FTEs at ~250k = 7.5mn; assuming one time benefit (consistent with Horizon). 7.5/9600 = .08%</t>
  </si>
  <si>
    <t>Additional external vendor rationalization savings through transparency at PO level of utilization, estimated at approximately 1mn (3.5mn over 3.5 years) = 3.5/6900=.05%</t>
  </si>
  <si>
    <t xml:space="preserve">PCRT leverages digital solutions to bring trials to patients and are tailored to the requirements of individual protocols.Includes hybrid models where some visits are conducted on site &amp; others remotely which can be leveraged by any research site. Digital capabilities and enabling services such as mobile nursing &amp; direct to patient IMP delivery facilitate remote visits
</t>
  </si>
  <si>
    <t>Has undergone leadership change and the team is currently being optimised</t>
  </si>
  <si>
    <t>Vendor identified and qualified (IQVIA, Science37), some vendors have limited experience and MSA in place with IQVIA</t>
  </si>
  <si>
    <t>Low dependency on other D&amp;D initiatives, but high dependency on trial timelines (and lead times are high relative to time trials typically have; need to be engaged at protocol writing time)</t>
  </si>
  <si>
    <t>Good understanding of costs associated with the approach and plan in place for building the toolkit.</t>
  </si>
  <si>
    <t>Vendor has been qualified and components of a decentralized model are not that technically complex (e.g. mobile nurses); all data capture still through Rave; IQVIA building on proven Salesforce platform; global but only in 'high tech' countries e.g. US, Scandanavia</t>
  </si>
  <si>
    <t>No dependence on underlying disease biology; selection process eliminates trials that are not clinically feasible</t>
  </si>
  <si>
    <t>Health authorities are broadly suppotive of the aprpoach. Cosortia place (IMI and CTTI). Some risk that health authorities will not accept protocols or data from studies</t>
  </si>
  <si>
    <t>Limited integration of IQVIA with sites; some integration around D2P shipping</t>
  </si>
  <si>
    <t>Significant effort required for clinical trial team adoption; some anticipated pull from patients, strong executive top-down support</t>
  </si>
  <si>
    <t>Modeling ambition of 6 assets by 2021</t>
  </si>
  <si>
    <t>Potentially increase cost to implement, partially offset by decreased dropout and faster drop out (net impact of extra $2.5m per trial = 2.8%)</t>
  </si>
  <si>
    <t>1.5 months faster enrollment (decreased burden, increased potential pool), based on 3.5 years to approval = 3.5%</t>
  </si>
  <si>
    <t>Objective: initiate a long-term strategic partnership with Verily on developing an E2E platform to transform trial execution and improve patient experience through a risk-mitigated milestone-based phased approach based on short-sprint low-risk pilot trials. Short term goals: reduced enrollment timelines, improved patient and site experience during enrollment.</t>
  </si>
  <si>
    <t>Highly engaged team with participation from all the key functions within GDO; adequately resourced</t>
  </si>
  <si>
    <t>Verily is developing solutions with sponsor inputs</t>
  </si>
  <si>
    <t>Some dependence (for future capabilities) on other projects (e.g. Medidata Rave)</t>
  </si>
  <si>
    <t>While overall partnership costs are defined, the cost schedule depends on development of specific modules</t>
  </si>
  <si>
    <t>Verily is building solutions in partnersjhip with sponsors (limited prior experience in interventional clinical trials); initial results encouraging</t>
  </si>
  <si>
    <t>Solution has low dependence/need for generating clinical evidence</t>
  </si>
  <si>
    <t>Scaling current capabilities outside of US and implementing some of the future capabilities within may be challenging</t>
  </si>
  <si>
    <t>Enabling end state requires integration with known external parties (e.g. EHR providers), but dependencies are known/piloted</t>
  </si>
  <si>
    <t>Solution is highly desirable (e.g. recruitment capabilities for trials with complex screening/pre-screening requirements)</t>
  </si>
  <si>
    <t>Assuming 8-10 trials/year at study state</t>
  </si>
  <si>
    <t>tbd</t>
  </si>
  <si>
    <t>Some projects would be accelerated by 3mo or more, while some projects will be accelerated less</t>
  </si>
  <si>
    <t xml:space="preserve">Improve protocol design by establishing TriNetX commercial solution as standard process to test I/E criteria for more robust protocols and fewer amendments. Cost is licensing fee.
</t>
  </si>
  <si>
    <t>Team has been operating for several years, super users in place</t>
  </si>
  <si>
    <t>Extensive experience with TriNetX</t>
  </si>
  <si>
    <t>No integrations</t>
  </si>
  <si>
    <t>Costs negotiated with TriNetX</t>
  </si>
  <si>
    <t>Established solution</t>
  </si>
  <si>
    <t>No clinical evidence required</t>
  </si>
  <si>
    <t>Non-GxP process</t>
  </si>
  <si>
    <t>No integration required</t>
  </si>
  <si>
    <t>Model has changed to a super user model (meaning that there are only a handful of end users), though clinicians still need to use the outputs to get value.</t>
  </si>
  <si>
    <t>Impacts all assets, though mostly useful only in modeling US</t>
  </si>
  <si>
    <t>Estimated impact of $5m per year based on improved I/E criteria, fewer protocol amendments. 5m x 3.6 years =18m impact on current portfolio, or 18mn / 9.6bn = 0.19%</t>
  </si>
  <si>
    <t>To design the digital plant concept as building block of the overall TRD-IT Strategy for “Smart TRD”. Execution CARs for funding of solution rollouts:
- Enhanced Collaboration (Enhance user experience to strengthen collaboration across locations)
- Knowledge Management (Intelligent search to retrieve relevant data across all document- and data-repositories)
- System Singularity (Simplify system access and reduce complexity)
- Improved Visibility (Enable user to a pro-active forward-looking working mode)
- Structured Information Handling (Reduce paper-handling deficiencies)
- Smart MES (Implement electronic batch-record mgt.)</t>
  </si>
  <si>
    <t>Digital plant affects all assets</t>
  </si>
  <si>
    <t>2.9m in reduced costs from lead time reduction, reducing ‘white space’ in manufacturing planning, increase number of produced batches, people reduce their ‘administrative’ / data gathering / chasing overhead. 2.9m x 3.6 years = 10.5m. 10.5mn/9.6bn = .11%</t>
  </si>
  <si>
    <t xml:space="preserve">Modelling &amp; Simulation applied to API physical form selection
Use of in silico computational tools to guide lab experiments and explore alternative possibilities to generate the optimal form of an API early in the development lifecycle
in silico input to initial salt screenings and risk assessments for selected forms 
</t>
  </si>
  <si>
    <t>Established team that has been operating for a while with new hires</t>
  </si>
  <si>
    <t>Mix of semi mature and novel vendors</t>
  </si>
  <si>
    <t>Parallel development and implementation in project portfolio</t>
  </si>
  <si>
    <t>2019 approved, 2020 Budget not yet approved</t>
  </si>
  <si>
    <t>Broad landscape of possible applications in product development</t>
  </si>
  <si>
    <t>No dependence on generating clinical evidence</t>
  </si>
  <si>
    <t>non-GxP</t>
  </si>
  <si>
    <t>Dependent on external vendors for success</t>
  </si>
  <si>
    <t>Mindset change to make risk based decision on modelling data</t>
  </si>
  <si>
    <t>currently only pre-phase 1</t>
  </si>
  <si>
    <t>Under discussion; assumed at 5 FTE per year (250k*5 FTE*3.6y =14.4m; 4.5m/9.6b = 0.47%</t>
  </si>
  <si>
    <t>Arnold, Michel</t>
  </si>
  <si>
    <t xml:space="preserve">Approval of Execution CAR to provide globally managed, Enterprise LIMS platform and governance. The Global Development Laboratory Information System (GDLIMS) project will involve expansion of the newly upgraded TRD GLIMS platform to include TRD Biologics laboratories as well as Digital Lab &amp; GLIMS enhancements for existing users - to drive business process harmonization, assure compliant and secure operations, deliver a global platform, governance and operating model and ensure participation of TRD Biologics in the future digital lab strategy /journey. More hard benefits will be realized from the enhancements. But unable to quantify now as Digital Labs POCs are testing functionality before full implementation in this project (i.e. instrument interfacing, digital data management full workflow).
</t>
  </si>
  <si>
    <t>GLIMS IT and Business knowledge available and supporting from NCE</t>
  </si>
  <si>
    <t>Labware has been a vendor with NVS for over 20 years</t>
  </si>
  <si>
    <t>Minimum dependencies on drug development projects; can run independent of other IT projects</t>
  </si>
  <si>
    <t>CAR documentation has been completed. Budget for 2020 requested for both TRD and IT</t>
  </si>
  <si>
    <t>Leveraging OOB Labware GLIMS v7 validated product, POC completed for Biologics functionality</t>
  </si>
  <si>
    <t>No dependencies on clinical</t>
  </si>
  <si>
    <t>Already proven solution production instance in operation in NCE</t>
  </si>
  <si>
    <t>low dependency on external vendor, 20 year proven working relationship</t>
  </si>
  <si>
    <t>User adoption rate will be high as this is replacing manual paper processes</t>
  </si>
  <si>
    <t>Will Support the lab business processes for NCE and Biologics</t>
  </si>
  <si>
    <t>Assumptions: 
10% time savings for Biologics lab based people who benefit from sample mgmt and will directly use instruments. 
5% time savings for Biologics Analytical Experts/project leads etc who won’t directly use instruments.
5% time savings for existing GLIMS Lab Users who use instruments, no other types of users included 
Total =$40,037,960 / 9.6bnGDD total drug budget in 3.6 years = 0.4% 
Users x days x time savings = total days per country x cost per country x 3.6 years
Biologics-Lab: Austria/Slovenia/Basel/ Germany: 310 users x 220 days x 0.10% time savings = 6820 days x $680 x 3.6 years = $16,852,160 (3.6 years = timeline for investment of 9.6Bn) 
Biologics-AE: Austria/Slovenia/Basel/ Germany: 300 users x 220 days x 0.05% time savings = 3300 days x $680 x 3.6 years = $8,078,400 
Existing users (1009 users, ~ 250 lab Basel, ~ 230 Lab India benefiting from instrument interfacing in the future) 
Basel: 250 Lab users x 220 days X 0.05% time savings = 2750 days x $1250 x 3.6 years = $12,375,000 (3.6 years = timeline for investment)
India: 230 users x 220 days x 0.05% time savings = 2530 x $300 x 3.6 years = $2,732,400
Total =$40,037,960 / 9.6bnGDD total drug budget in 3.6 years = 0.4%</t>
  </si>
  <si>
    <t>n/a</t>
  </si>
  <si>
    <t>Flanagan, LorrieAnn</t>
  </si>
  <si>
    <t>iCS Enhancements</t>
  </si>
  <si>
    <t>Enhance SAP, NIRT, iRelease. Introduce FIORI ( already in NOVARTIS landscape) to manage end to end stock transparency and stock alerts related to stock at clinics (sites), site replenishment parametrization
Reduce by 90% the usage of SIRT system to be more efficient and cost effective. Reduce supply issues and improve delivery KPI for shipments to clinic.</t>
  </si>
  <si>
    <t>Significant internal experience working in this space, although many resources have changed roles over the years</t>
  </si>
  <si>
    <t>Trusted vendors used internally already</t>
  </si>
  <si>
    <t>Some interdependencies with other projects</t>
  </si>
  <si>
    <t>Execution CARs in place and budget secured in TRD</t>
  </si>
  <si>
    <t>Improvements to existing systems, established platforms</t>
  </si>
  <si>
    <t>No need to demonstrate clinical evidence</t>
  </si>
  <si>
    <t>GCP/GMP compliance so some minor risk around audits</t>
  </si>
  <si>
    <t>Some external integrations required</t>
  </si>
  <si>
    <t>Some external user adoption</t>
  </si>
  <si>
    <t>Enterprise solution for all assets</t>
  </si>
  <si>
    <t>14.8 million (53 over 3.6 years; 53 mn / 6.9bn = 0.77%) in cost savings from improving inefficient and not cost effective Clinical Supply and IRT Study Management and dispensation to patients . Avoid excessive inventory at each warehouse. Re-supplies for patients in on-going studies are at stock out risk because clinical material flow is only manually synchronized with information on regulatory approval of changes, bearing the risk of use of unapproved batches.</t>
  </si>
  <si>
    <t>G4010804</t>
  </si>
  <si>
    <t>Kneat</t>
  </si>
  <si>
    <t xml:space="preserve">The current life cycle management of analytical instruments in Novartis Laboratories is paper based. TRD Labs will implement a global platform that provides end-to-end electronic solutions and 100% paperless test execution for Validation Lifecycle Management for Lab Instrumentation to address the following needs:
· Make the current instrument qualification and lifecycle process more structured, easier to perform and easier to manage and less vulnerable for data integrity errors.
· Conﬁgure a streamlined, completely paperless and globally transparent process in accordance to GMP standards by switching from paperwork to digital solution, allowing a better integration into a digital lab framework. As it is SaaS solution, they charge usage fees. These haven’t been yet negotiated but the latest numbers would be:
2020 for the Pilot : 50 concurrent seats each 5338 CHF
2021 roundabout 120 concurrent seats each 4789 CHF
</t>
  </si>
  <si>
    <t>Gained internal experience during multi-month successfull PoC</t>
  </si>
  <si>
    <t>KNEAT as vendor is specialised on the topic in scope</t>
  </si>
  <si>
    <t>Zero dependencies to other projects.</t>
  </si>
  <si>
    <t>Budget is in agreed Digtial Labs TRD Project Portfolio but for 2020 not yet approved by NBS IT</t>
  </si>
  <si>
    <t>based on a successfull POC. Some non-critical functionality not tested in PoC (e.g. Interface)</t>
  </si>
  <si>
    <t>No Dependency on clinical</t>
  </si>
  <si>
    <t>No direct impact on regulatory success.</t>
  </si>
  <si>
    <t>No integration with any other external vendors</t>
  </si>
  <si>
    <t>Basically a change for Business, but with high incentive (save time, get away from paper) to do so</t>
  </si>
  <si>
    <t>Will support all TRD Lab processes</t>
  </si>
  <si>
    <t xml:space="preserve">600 users do Instrument Lifecycle activities 5% of their time (= 6600 d/y. We can save 6600 x30% time (= 1980 d/y = 9 FTEs)
Those 600 user do Instrument Lifecycle activities 5% of their time  6600 days/year
6600 x30% time savings = 1980 days
1980 days x $680/day = $1.3456m/year savings
$1.3456m x 7.5 years = $10.098m
$10.098m / $9.6bn GDD total drug budget = &lt;0,01% (0,00105% total impact on “reduce internal R&amp;D cost” (which comes out to 0% on the sheet)
</t>
  </si>
  <si>
    <t>Koessl, Bernd</t>
  </si>
  <si>
    <t>GMT Rollout PHAD</t>
  </si>
  <si>
    <t>Rollout of Global Novartis standard MES (GMT) solution at TRD PHAD CH. The project is about upgrading the manufacturing execution system (MES) at the TRD PHAD site in CH. The MES system defines how production needs to be executed, guides the operator during execution and records executed results in the electronic batch-record.</t>
  </si>
  <si>
    <t>Novartis Global Competence Center team was re-organized and main knowledge left.</t>
  </si>
  <si>
    <t>WERUM is Novartis prefered vendor since more than 10 years.</t>
  </si>
  <si>
    <t>System is replacing a system in place, new interfaces with SAP and L2 are developped.</t>
  </si>
  <si>
    <t>CAR is approved for 2019 and 2020. The project is complex and need a deep involvment from business</t>
  </si>
  <si>
    <t>Vendor of application is supporting the rollout.</t>
  </si>
  <si>
    <t>Already one MES in production. This project is a replacement based on a Novartis Std Global solution.</t>
  </si>
  <si>
    <t>Image of a qualified and validated system. PQM involved in local rollout checking all ISRM aspects.</t>
  </si>
  <si>
    <t>replacement of a MES end of live</t>
  </si>
  <si>
    <t>one MES already in place since 6 years</t>
  </si>
  <si>
    <t>will support drug development</t>
  </si>
  <si>
    <t>New functionalities will lead to faster integration, faster review and release of batches with better quality.</t>
  </si>
  <si>
    <t>Batch review will be done based on review by exception</t>
  </si>
  <si>
    <t>G4010832</t>
  </si>
  <si>
    <t>Symphony</t>
  </si>
  <si>
    <t xml:space="preserve">Define the data structure we need and align with upcoming Health Authority (HA) requirements (as feasible in line with business process flows). Implement an end to end process that leverages TIMS to take curated attributed data (e.g Stability Data) for further visualization of data and status in “Symphony” and can be successfully consumed by “DocJockey” utilizing preselected use cases.
</t>
  </si>
  <si>
    <t>Virtual Document Authoring and business knowledge available and supporting from CoE</t>
  </si>
  <si>
    <t>Cognizant has VDA knowledge; ThermosFisher/Accenture engaged as part of strategic Digital Labs partnership and long term NVS partners</t>
  </si>
  <si>
    <t>Minimum dependencies on drug development projects, it is dependent on Digital Labs project TIMS</t>
  </si>
  <si>
    <t>CAR documentation has been completed. Budget for 2020 aligned and requested for both TRD and IT</t>
  </si>
  <si>
    <t>Dependency on TIMS, Dependency on VDA systems (either eSapiens or alternative D2 capability)</t>
  </si>
  <si>
    <t>Much of regulatory process is email/paper based - Business Process Flow mapping is part of this project and will need to account for this</t>
  </si>
  <si>
    <t>Timeline dependent on TIMS timeline for readiness to accept Symphony data</t>
  </si>
  <si>
    <t>Regulatory, QA, CHAD, IT aligned on need for this project</t>
  </si>
  <si>
    <t>Will support the CHAD business processes</t>
  </si>
  <si>
    <t xml:space="preserve">Conservative estimate of reduction in time for email exchanges on approvals and NKC 0.09%. Assumptions: 5% time savings for 250 users in CHAD @$1250/day/FTE over 3.6 years
Calculations:
• 250 users working 220/year WD = 55k days/year
• 55k x 0.05 time savings = 2750 days/year
• 2750 days = 12.5 FTEs (220 working days/FTE)
• 12.5 FTEs x 200k = 2.5m/year (average cost of an FTE is 200k, unless you can justify higher costs)
• 2.5m x 3.6 years = 9m
• $9m / $9.6b GDD total drug budget = 0.09% total impact on “reduce internal R&amp;D cost” 
</t>
  </si>
  <si>
    <t>Little, Brian</t>
  </si>
  <si>
    <t>G4009622</t>
  </si>
  <si>
    <t>SCS</t>
  </si>
  <si>
    <t>SCS seeks to establish a modular platform in combination with a smartphone application and smart packaging solutions to enhance patient education &amp; engagement, increase patient adherence, patient safety and supply chain flexibility. With that SCS aims to positively impact the clinical data quality, the efficacy and safety and thus the probability of success. The modular design would allow the clinical team to optimize services selected based on actual trial needs (Patient Adherence, Patient Education, Digital Label, Temperature Monitoring).</t>
  </si>
  <si>
    <t>The SCS team is already in place since beginning of 2018, core team consisting of different GCS Functions and being consulted by DIT &amp; QA, good understanding of the SCS solution, lots of alignments done across GCS with TMO, TM, QA, RA colleagues.</t>
  </si>
  <si>
    <t>General MSAs are in place for both vendors and individual amendments for SCS are in progress.</t>
  </si>
  <si>
    <t>No dependency on other initiative or drug project</t>
  </si>
  <si>
    <t>Project has planned the required budget for the seed phase and waiting for the VMT approval</t>
  </si>
  <si>
    <t>The hardware and software solution is already being used outside of Novartis. A customization for Novartis is not foreseen but rather to benefit from the industries input for enhancements.It is a cloud solution and does not required on premise installation.The eHLCCD</t>
  </si>
  <si>
    <t>The SCS solution has no dependence for generating clinical evidence.</t>
  </si>
  <si>
    <t>The SCS hardware and software solution has demonstrated regulatory acceptance for its intended purpose with no significant challenges to compliance, privacy, legal/IP. A positive feedback from the health authorities is outstanding for a flexible application of the digital label module that allows the usage of physical universal labels on the clincial finished good. There is no challenge foreseen reagrding compliance or data privacy. The SCS platform will only host blinded trial data and prior to pilot a 3 PAS assessment will be conducted.</t>
  </si>
  <si>
    <t>The integration of SCS will require the change of setting up and running clinical trials. Therefore, there will be some changes in role descriptions. The integration with other IT systems is optional but not mandatory.</t>
  </si>
  <si>
    <t>There is a strong pull from the clinical team (#1 rated project in TMO). The solution would require some process changes and will affect several line functions and &gt; 5000 users inside and outside of Novartis. The phased approach will make sure that all stakeholders are involved and have the opportunity to provide their feedback and comments to shape the SCS processes.</t>
  </si>
  <si>
    <t>All phase II and III programs with at home administration can benefit fully from Smart Clinical Supplies (portfolio 2019: 39/61 programs)</t>
  </si>
  <si>
    <t>n/A</t>
  </si>
  <si>
    <t>Increased process efficiencies through digital label as well as early interventions by investigators to identify discontinuation.</t>
  </si>
  <si>
    <t>Reduce attrition rate by increasing patient adherence, improving the clinical data quality and thus increasing the probability of proving efficacy of the drug in case the canditate is promising.</t>
  </si>
  <si>
    <t>Based on improved patient adherence, reduction of dropout rate and faster evidence of efficacy the assumption is that the time to approval can be reduced by 25 days</t>
  </si>
  <si>
    <t xml:space="preserve">SCS improves the overall adherence, with that the efficacy and safety of the drug and finally the probability of the cost- effectiveness ratio that increases the net sales price of the drug on the market
</t>
  </si>
  <si>
    <t>Osswald, Sina</t>
  </si>
  <si>
    <t>G4010805</t>
  </si>
  <si>
    <t>Luminata</t>
  </si>
  <si>
    <t xml:space="preserve">Require a unified, centralised informatics-based approach for end to end Impurity Knowledge (data) Management in TRD. A single source and format based on Spectrus DB, globally accessible to key customers across different functions/units &amp; for the whole product lifecycle, i.e. CHAD, ARD, RA-CMC, QA, PKS, NTO. Facilitate data input and comparison across different instrument vendors, and across Novartis TRD groups &amp; CMOs using agreed data standards (e.g. allotrope). Currently have manual data/information input, individual/local storage, low level of consistency/harmonisation, data integrity challenges, loss of data, repetition of work etc... 
</t>
  </si>
  <si>
    <t>IT and business knowledge available from pilot Luminata project. Successful experince of deployment other ACD applications.</t>
  </si>
  <si>
    <t>ACD labs is a market leader; ACD are long term NVS partners for TRD and NIBR (SpectrusDB, Chemist, Autochrom, LC simulator etc...).</t>
  </si>
  <si>
    <t>Commercially available, piloted in TRD and already established in multiple other companies (unique software capable of processing multiple instrument vendors's data formats, and using defined data standards (e.g. allotrope ADF format). Minimum dependencies on drug development projects, and other potentailly interlinked to Digital Labs projects (e.g. TIMS, Symphony)</t>
  </si>
  <si>
    <t>CAR documentation has been completed. Budget for 2020 aligned and requested for both TRD and IT.</t>
  </si>
  <si>
    <t>Commercially available, and can be implemented as a single application/database. Ability to interface to NIBR/other databases</t>
  </si>
  <si>
    <t>Much of impurities identification and management is manual, paper and excel based. Business Process Flow mapping and instructions/guidance are part of this project and will need to address this.</t>
  </si>
  <si>
    <t>Can be implemented as a single application/database. Additional potential integrations are time dependent on other NIBR (automated structural verification) and digital lab strategy and projects (e.g. TIMS, Symphony).</t>
  </si>
  <si>
    <t>CHAD, ARD and IT, QA and RA-CMC are aligned on need for this project.</t>
  </si>
  <si>
    <t>Will support multiple CHAD and TRD business processes. Plan to use for all development projects eventually, may still have some which won’t be impacted (e.g. in-licensed projects), &gt;60% of drugs impacted:</t>
  </si>
  <si>
    <t>0.01% estimate of reduction in resources - see comments section below*. 5-10% time savings resource savings for ~100 FTEs/experts = 5 FTEs x $200k = $1M/year ($1M / $9.6b GDD total drug budget = 0.01%</t>
  </si>
  <si>
    <t>0.1% reduction in time to approval (2 day -1 week reduction in Regulatory document/submission readiness over 5years = 0.1%). see comments section below**</t>
  </si>
  <si>
    <t>Boehm, Sandra</t>
  </si>
  <si>
    <t>A 5-year collaboration between Novartis and the University of Oxford's Big Data Institute (BDI) has been established since September 2018 (set-up of collaborative IT environment for 9 months followed by 5 year collaboration signed 30th August 2019) to understand complex diseases and improve the efficiency of targeted drug development though enabling better definition of populations, endpoints and subsequently influencing the design of upcoming programs. We have two flagship programs in the collaboration - Cosentyx IL-17 and Multiple Sclerosis. We are currently leveraging the expertize and experience from Oxford BDI in terms of data wrangling and data science and advanced analytics specifically machine learning and artificail intelligence through current exchanges (NVS to BDI and BDI folks to NVS). Activities on the MS program currently leverages rich anonymized data from &gt;35,000 patients across all MS indications, with 100,000 MRI brain scans, and 200,000 detailed neurological assessments and includes characterizing the disease across the full MS continuum, improving characterization of early Progressive MS and enabling prognosis of individual patients. Current activities on the IL-17 program leverages cross-indication anonymized data from more than 11,000 patients with clinical, genomics and MRI data to perform complex longitudinal analysis across the Cosentyx data, enable automation of spinal MRI scoring in order to remove large sources of inter reader and inter patient variability, and identify predictors of treatment response.</t>
  </si>
  <si>
    <t>Rotation of resources gives access to new skills, solid team from NS and IHD in place with GPH, GPCH and Analytics associates heavily involved</t>
  </si>
  <si>
    <t>No Vendor required - this is academic collaboration with well paved success in data wrangling, integration, analytics and interpretation</t>
  </si>
  <si>
    <t>Low dependence on other projects</t>
  </si>
  <si>
    <t>Financials are defined and clear - up to 3M per year - Contract approved at Deal LT</t>
  </si>
  <si>
    <t>Segmentation of spinal MRIs already available from Oxford for lower spine so extending to whole spine; in MS massive experience with facial MRI anonymization and segmentation</t>
  </si>
  <si>
    <t>Given we are building on existing algorithms and extending these the path is trodden and so clinical relevance is already existing</t>
  </si>
  <si>
    <t>Data Privacy, Legal and IP all agreed and approved at Deal LT. Outcomes may lead to new studies which would be GxP, Note NVS associates have access and system set up to share code etc so transferability to GxP possible</t>
  </si>
  <si>
    <t>No integration requried</t>
  </si>
  <si>
    <t>High interest in lessons learned from data wrangling and integration for data42 - Oxford collaboration paving the way</t>
  </si>
  <si>
    <t>learnings from flagship programs can be applied across the portfolio, but only modeling Cosentyx and MS</t>
  </si>
  <si>
    <t>Goal to create predictive disease models that will allow us to conduct more targeted drug development in these areas</t>
  </si>
  <si>
    <t>Faster identification of unique and reliable subgroups</t>
  </si>
  <si>
    <t>Able to identify compound specific effects</t>
  </si>
  <si>
    <t>Specialized precision medicine in return leads to increased adoption in these populations</t>
  </si>
  <si>
    <t>Helps us establish internally drugs that are safer, more effective, convenient, differentiated, appealing and valued by patients, doctors, payers and providers</t>
  </si>
  <si>
    <t>Given above the increase in sales follows</t>
  </si>
  <si>
    <t>set to zero to avoid double counting the increased sales</t>
  </si>
  <si>
    <t>Expertize shifts to internal hence greatly reducing cost</t>
  </si>
  <si>
    <t>GGO GEMS</t>
  </si>
  <si>
    <t>GEMS automates the workflows for managed access programs (MAPS), investigator initiates trials (IITs) and Grants end to end. It ensures a single port of entry for these external requests through an e-portal and electronic submission, and it simplifies the review, approval and follow up workflows in country organizations and global teams. CyberGrants has been selected due to their out-of the box solution for grants with little customization for MAPs and IITs required</t>
  </si>
  <si>
    <t>new vendor (CyberGrants) with new SaaS solution</t>
  </si>
  <si>
    <t>CyberGrants delivers system on Grants to 280+ customers, however has limited experience with MAPs and IITs</t>
  </si>
  <si>
    <t>out of the box solution with some customizations required for MAPs and IITs</t>
  </si>
  <si>
    <t>close to roll-out and within budget</t>
  </si>
  <si>
    <t>solution is successfully running outside Novartis and is close to roll-out with UAT completed for MAPs</t>
  </si>
  <si>
    <t>low dependence for generating clinical evidence</t>
  </si>
  <si>
    <t>impact regarding regulatory compliance to review and approve grants, MAPs and IITs, but mitigated</t>
  </si>
  <si>
    <t>low dependency on other external systems</t>
  </si>
  <si>
    <t>Users depend on use of system, with only little hurdles for adoption</t>
  </si>
  <si>
    <t>relevant to potentially all approved Novartis products in Innovative Medicines and Sandoz</t>
  </si>
  <si>
    <t>cost avoidance vs. manual tracking by CMO and approx. 100 country offices (IM and Sandoz) = 100 FTE: 100 x 150k x 3.6y</t>
  </si>
  <si>
    <t>no external costs</t>
  </si>
  <si>
    <t>not applicable</t>
  </si>
  <si>
    <t>Jose Brogeras</t>
  </si>
  <si>
    <t>Simplification and automation of the workflow, data retrieval and authoring for Periodic Safety Update Reports (PSURs; approx. 200 yearly) and Addendum Statements (approx. 400 yearly) to gain higher workforce efficiency, efficient resource planning and monitoring, and automated interfaces between systems.</t>
  </si>
  <si>
    <t>Strong internal teams currently exist for PSUR process. Solutions being looked at are existing inhouse ones</t>
  </si>
  <si>
    <t>There are potential inhouse solutions available. Going in position is that a vendor solution will not be required.</t>
  </si>
  <si>
    <t>Independent of other projects. Automated data interfaces with other systems out of scope for now (but part of longer term vision)</t>
  </si>
  <si>
    <t>Planning phase budget planned, not yet secured.</t>
  </si>
  <si>
    <t>There are solutions available that could potentially meet the needs (both inhouse within NVS as well as externally).</t>
  </si>
  <si>
    <t>Solution has no dependence/need for generating clinical evidence</t>
  </si>
  <si>
    <t>Solution has no dependence on regulatory acceptance</t>
  </si>
  <si>
    <t>Going in position is that this can be done in-house, using DPE capabilities, minimal dependency on external vendors.</t>
  </si>
  <si>
    <t>Solution will simplify the existing manual process and there is a strong business desire to automate and improve the PSUR process</t>
  </si>
  <si>
    <t>All marketed products would be impacted, as Novartis would need to submit PSUR to HAs for them</t>
  </si>
  <si>
    <t>7 FTE freed up for other value adding work (825K/year), effort (cost) avoidance for running inspection finding-related work ($432k/y)</t>
  </si>
  <si>
    <t>10 FTE (India location) hard savings (USD 230K/year) + 4 FTE freed up for value adding work (USD 92K/year)</t>
  </si>
  <si>
    <t>Not relevant</t>
  </si>
  <si>
    <t>Varghese, Anish</t>
  </si>
  <si>
    <t>On-going project to implement CVW Tracker application to replace current MSWord-based ‘Safety Strategy Planning Tool’ (SSPT). The IT application will serve the business needs to reinforce company compliance as well as increase productivity/efficiency of safety management teams.</t>
  </si>
  <si>
    <t>Internal expertise available in Safety Science team</t>
  </si>
  <si>
    <t>Experienced vendor currently hosting CVW Investigate module used by NVS</t>
  </si>
  <si>
    <t>Solution is not dependent on other projects for Release 1</t>
  </si>
  <si>
    <t>On-going project planned to go-live in May 2020.</t>
  </si>
  <si>
    <t>New application being co-developed by Commonwealth Informatics. Experience with CVW Investigate in production.</t>
  </si>
  <si>
    <t>No dependency on generating clinical evidence</t>
  </si>
  <si>
    <t>New application will standardize Safety Strategy Planning process; Customer Engagement Model defined.</t>
  </si>
  <si>
    <t>Future integration with Safety Data Hub and NovaRIM</t>
  </si>
  <si>
    <t>High engagement from business team on project to replace manual intensive process</t>
  </si>
  <si>
    <t>Safety Strategy required for all Novartis drugs</t>
  </si>
  <si>
    <t>Efficiency gains from system ensuring data quality and integrity</t>
  </si>
  <si>
    <t>Holloway, Russell</t>
  </si>
  <si>
    <t>Regulatory Information Management System (RIMS) to track submission, registration for both investigational and approved products for GDD and SDZ. System will support structured data submission to Health Authorities.</t>
  </si>
  <si>
    <t>Team has been in place and operating for 2+ years (UNO, UNIFY, NovaRIM)</t>
  </si>
  <si>
    <t>Limited precedent of building a platform of this scale</t>
  </si>
  <si>
    <t>High dependence on other systems, integrations (25+) and complex because of many RA and non-RA related processes</t>
  </si>
  <si>
    <t>Execution CAR has been approved and budget secured in RA GLF, targeting to end in 2020 but risks because of lack of business resources and delayed vendor deliverables</t>
  </si>
  <si>
    <t>Complex implementation but risk reduced since it has already been implementing for a while</t>
  </si>
  <si>
    <t>No clinical dependence</t>
  </si>
  <si>
    <t>Significant improvement over current fragmented system landscape (significantly reduces inspection risks)</t>
  </si>
  <si>
    <t>Integration with tech-ops systems, RSS, Clinical systems, Sandoz system</t>
  </si>
  <si>
    <t>Requires change management of 4,500 people including at country level</t>
  </si>
  <si>
    <t>Enterprise platform</t>
  </si>
  <si>
    <t>Process harmonization/simplification and simplification of complex system landscape not modeled</t>
  </si>
  <si>
    <t>Modeled as avoiding an EMA IDMP non-compliance penality of 5% of EU sales = ~1B, probabilized at 35% likelihood to $1bn (=7.3% of 6.9bn remaining)</t>
  </si>
  <si>
    <t>RAKM and RI</t>
  </si>
  <si>
    <t>Knowledge mapping exercises for RA teams (atleast 4-6 sessions in a year, indicating gaps and risk). Activities to close the gaps and manage risks would be part of the process. RI monitor roll out and automation of PPC workflow</t>
  </si>
  <si>
    <t>Very little to no experience of implmenting KM approaches in Novartis. Team is working with external consultant to drive implementation</t>
  </si>
  <si>
    <t>Trusted and experienced vendor (APQC) in place to help with implmentation of KM approaches in RA</t>
  </si>
  <si>
    <t>Solution is independent of any other initiatives/ projects</t>
  </si>
  <si>
    <t>IC approval for 2019- Planning phase in place. Project moving from planning to implementation in 2020, budget for 2020 under review</t>
  </si>
  <si>
    <t>KM approaches have been successfully implemented in various other organization outside of NVS and in some areas of NVS, where work is in progress</t>
  </si>
  <si>
    <t>KM has no dependency on any drug product project</t>
  </si>
  <si>
    <t>KM has low dependency on vendor</t>
  </si>
  <si>
    <t>KM Approachs can be suucessfully adopted in some areas, while would lack uptake in some areas</t>
  </si>
  <si>
    <t>Indirect impact on all assets across the portfolio</t>
  </si>
  <si>
    <t>Reduction of about 5 FTEs worth of work due to efficiency gains</t>
  </si>
  <si>
    <t>Not applicable</t>
  </si>
  <si>
    <t>Reduction in about 1 month of delay in submission work acorss regional countries due to ease of information available</t>
  </si>
  <si>
    <t>Ponde, Milind</t>
  </si>
  <si>
    <t>PS&amp;M</t>
  </si>
  <si>
    <t>There is limited visibility into our entire R&amp;D pipeline from research to commercial. An end-to-end portfolio management platform powered by AI and integrated data model is required to drive enterprise wide data driven decisions across the entire R&amp;D value chain &amp; Enable data driven resource allocation and optimize operations</t>
  </si>
  <si>
    <t>High experience in building Pipeline reports</t>
  </si>
  <si>
    <t>Highly experienced vendor - Pilot contracts in place - Long term contract pending Execution CAR</t>
  </si>
  <si>
    <t>Data integration dependencies</t>
  </si>
  <si>
    <t>Execution CAR in progress</t>
  </si>
  <si>
    <t>positive pilot outcome - proven technical feasibility - limited by integration dependencies. Mature solution that has been successfully implemented for this purpose before outside Novartis</t>
  </si>
  <si>
    <t>EPIC solution has no depency/need for generating clinical evidence</t>
  </si>
  <si>
    <t>EPIC solution has no depency on generating regulatory successes</t>
  </si>
  <si>
    <t>challenges of integrating with external parties are well understood and of low complexity</t>
  </si>
  <si>
    <t>Strong pull from end users to solve a clear gap, with little hurdle to adoption; users strongly dependent on solution after adopting.</t>
  </si>
  <si>
    <t>All projects shall be reflected in EPIC, all teams have to manually create decks to answer basic questions</t>
  </si>
  <si>
    <t>$31.5m = 72% (3.6yrs of the 5yrs vs baseline effort reduction as per CAR) of $43.7m 2020-24. $31.5m / $9.6bn remaining lifetime internal R&amp;D costs = 0.328%
Estimated based on reduced time of GPTs in preparing for tollgates (50 tollgates per year), on effort reduction to answer simple project/pipeline/portfolio questions, on the reduced time to prepare for KMR submission as well as analysis and reporting of results, on the reduced time to prepare for CI insights, on the reducted effort to prepare and produce visualizations for IMB Annual Portfolio Review, on the reducted search time due to enhanced transparency and visibility into project and portfolio information in a one stopp shop fashion (based on current active unique users in Atlas), reduction of SW &amp; licenses spend</t>
  </si>
  <si>
    <t>not modelled</t>
  </si>
  <si>
    <t>Not included in this scenario: if 0.1% impact is assumed The benefit value lever would be based on better target evaluation, earlier termination, and increased PoS based on better decision making due to higher insight creation leading to increased success rate. This would represents expected % reduction in attrition/failure rate of those drug projects that will be impacted if EPIC is successful.</t>
  </si>
  <si>
    <t>Based on increased R&amp;D strategic alignment - 1 month of white space reduction on total 10.7 year development time = 0.78%; then assume approximately 20 new project entries over course of next 3.6 years, so take 25% of 0.78% = 0.195%</t>
  </si>
  <si>
    <t>Digital Endpts</t>
  </si>
  <si>
    <t>Central team in GDD to support deployment of both established and novel digital endpoints. These involve activities of daily living, sleep, cognition, pain, cough, scratch, etc. Central team provides the services to select and deploy the sensors, and then to ingest, interpret and prepare the analysis of the output (depending on the objectives of the study).</t>
  </si>
  <si>
    <t>Significant well established expertise across NIBR and GDD</t>
  </si>
  <si>
    <t>Frequently work with relatively few well established vendors (e.g. Actigraph)</t>
  </si>
  <si>
    <t>Relatively few dependencies on other projects, though dependent on clinical trial timelines and data ingestion</t>
  </si>
  <si>
    <t>Relatively high level of control on financial variables for each trial (e.g. how many patients to include)</t>
  </si>
  <si>
    <t>Relatively little risk in being able to deploy the sensors or properly analyze the data</t>
  </si>
  <si>
    <t>Much more uncertainty on whether there will be the necessary signals of effect; e.g. whether the digital endpoint is viable</t>
  </si>
  <si>
    <t>Inclusion in label requires Regulators to agree to accept the data (though data could still be used with payers even if not in label)</t>
  </si>
  <si>
    <t>No external integration required beyond transferring data from sensor vendor</t>
  </si>
  <si>
    <t>Requires compliance from end users, but in a clinical setting this is well controlled by the site; not all sites may be quick adopters though</t>
  </si>
  <si>
    <t>Target of approximately 10 studies per year (at current funding levels; could be increased with increased funding)</t>
  </si>
  <si>
    <t>Approximate cost per study of $1mn (modeled as -0.011%)</t>
  </si>
  <si>
    <t>Data may eventually lead to opportunities to improve disease models, but not modeled</t>
  </si>
  <si>
    <t>More precise endpoints could eventually lead to smaller studies, but not modeled</t>
  </si>
  <si>
    <t>Improved differentiation will increase speed of adoptio, but not modeled to avoid double counting.</t>
  </si>
  <si>
    <t>Stronger data or label claims improve differentiation for payers and HCP promotion; frequently also the basis for building disease models that can power the decision support/recommendation model and other tools to increase the value proposition</t>
  </si>
  <si>
    <t>G4009619</t>
  </si>
  <si>
    <t>A "middleware" platform for building and integrating digital products such as SaMD solutions, virtual trial platforms, digital sensors, etc. It would have an application layer that allows software modules to be reused (both across products and as products move from exploratory to clinical to commercial settings). It would then also have a common backend that would scrub PHI and allow easy integration with Medidata, data42, etc as needed. It will be built iteratively as the products sitting on it are built, keeping the cost low (as the products bear most of the cost)</t>
  </si>
  <si>
    <t>Some expertise exists and a team is mostly in place, but we've not built such a platform before.</t>
  </si>
  <si>
    <t>Vendor is mature</t>
  </si>
  <si>
    <t>High dependency on the products that are being built</t>
  </si>
  <si>
    <t>Limited planning or understanding of potential cost models with the vendors</t>
  </si>
  <si>
    <t>Significant technical due diligence completed during seed phase.</t>
  </si>
  <si>
    <t>No requirement for clinical evidence</t>
  </si>
  <si>
    <t>Additional risk introduced by the platform is minimal; in fact this is likely reducing the overall risk profile substantially</t>
  </si>
  <si>
    <t>External integration with EHRs is likely out of scope for next few years, but eventually possible</t>
  </si>
  <si>
    <t>Use of platform by project teams would be mandated and controlled through IT, procurement, D&amp;D platforms, etc</t>
  </si>
  <si>
    <t>Target scale is 75% by 2023 for solutions, 100% taken for modeling purposes with absolut value driver cost difference input</t>
  </si>
  <si>
    <t>Based on cumulative cost difference between two options of 178 - 89 = 89mn over 3.6 years (89*6900)=1.3%); includes fully loaded costing</t>
  </si>
  <si>
    <t>15364-P4009424</t>
  </si>
  <si>
    <t>P4009424</t>
  </si>
  <si>
    <t>PhysIQ-ESCAPE</t>
  </si>
  <si>
    <t>DU</t>
  </si>
  <si>
    <t>Preliminary visualization of ESCAPE clinical trial data (e.g. symptoms data) now suggests that analyses of raw data collected by bio-sensors in this study may offer additional opportunity to detect novel candidate digital biomarkers. There is an opportunity to conduct analysis of bio-sensors’ data of ESCAPE study with a 3rd party vendor (physIQ).</t>
  </si>
  <si>
    <t>Part of a longer term collaboration between resp and D&amp;D</t>
  </si>
  <si>
    <t>PhysIQ well established in this space/industry; NVS approved vendor; Full qualification in progress</t>
  </si>
  <si>
    <t>Dependencies on drug program/s and trials</t>
  </si>
  <si>
    <t>Budget needs are planned; yet to be secured (and stage gated) with drug program budget</t>
  </si>
  <si>
    <t>Reasonable confidence that data can be collected and a machine learning model can be trained</t>
  </si>
  <si>
    <t>Unknown ability to detect or validate novel biomarkers clinically</t>
  </si>
  <si>
    <t>Unknown Regulatory acceptance of biomarkers that are potentially identified</t>
  </si>
  <si>
    <t>Final solution likely have dependency on a sensor/app integration</t>
  </si>
  <si>
    <t>A successful solution will likely drive pull from end users (HCP, Patients and Payors); Unknown adoption of new biomarkers by regulators</t>
  </si>
  <si>
    <t>The novel digital biomarker are likely to be key for DDAS strategies for multiple assets for Asthma and COPD indications (CSJ117, QBW251, NCJ424 and anti-IL-33).</t>
  </si>
  <si>
    <t>Actually increases costs, captured in section 2</t>
  </si>
  <si>
    <t>Estimated based on estimated up to one 1 year faster to peak sales for CSJ117 in Asthma as an example due to patient activation/responder/monitoring value proposition</t>
  </si>
  <si>
    <t>Estimated contribution based on CSJ117 (Asthma) net price (US) downside scenario 16k vs 20k base case scenario as well lower patient adherence</t>
  </si>
  <si>
    <t>G4010316</t>
  </si>
  <si>
    <t>EPICS</t>
  </si>
  <si>
    <t>EPICS is a business transformational program for our aspiration to move to the next stage of TRD Integrated Supply Chain and enable an unified, integrated &amp; connected supply chain planning platform to optimize the supply planning and production (including shelf life, regulatory requirement, internal and external production capacity, etc..), leveraging the same NTO platform and same data to create a real TRD supply chain integrated control tower.
EPICS program has in scope the implementation of Kinaxis RR (Rapid Response) as SC planning tool cloud-based to integrate clinical material supply with regulatory information.
Kinaxis RR enables Concurrent (continuous and real time) Planning across our multi-tier supply chain at SKU level , addressing the limitations of traditional sequential “siloed” planning as well as host of analytics.</t>
  </si>
  <si>
    <t>Resource needs confirmed with GLT. Final nominations from LF under process. Confident to freeze this well in time.</t>
  </si>
  <si>
    <t>RFP process already underway to identfiy among 3 vendors the final vendor. All 3 vendors participating are strategic partners to Novartis with one currently implementing Kinaxis in NTO and was part of the Preparation phase of EPICS.</t>
  </si>
  <si>
    <t>In alignment with NTO SPEED Initiative to share the same platform. Leveraging regulatory data from RDH via Novarim Integration.</t>
  </si>
  <si>
    <t>Project budget has been detailed and quantified. Initation to IT commitees is in progress.</t>
  </si>
  <si>
    <t>NTO under SPEED Program already has gone Live with Release 1 and on track for Release 2 in Q3 20 and Release 3 by Q2 21.</t>
  </si>
  <si>
    <t>The EPICS solution has no dependence for generating clinical evidence.</t>
  </si>
  <si>
    <t>Being a non-GxP planning solution, EPICS has demonstrated regulatory acceptance for its intended purpose with no significant challenges to compliance, privacy, legal/IP.</t>
  </si>
  <si>
    <t>EPICS will enable 3rd party vendor collaboration via the Kinaxis platform.</t>
  </si>
  <si>
    <t>TRD lacks a tactical planning system which is a clear gap today. There is a strong urge from the supply chain planning community to have a single source of truth which drives the tactical planning.</t>
  </si>
  <si>
    <t>All Programs with clinical material needs will benefit from the EPICS program</t>
  </si>
  <si>
    <t>Reduction in wastes / warehouse costs / expedites/ logistical costs, CO2 footprint and working capital will drive operational efficiencies of $82.8m (over 5 years Y1H2-Y6H1)</t>
  </si>
  <si>
    <t>G4010780</t>
  </si>
  <si>
    <t>RFID Syringe</t>
  </si>
  <si>
    <t>Enhance compliance of bulk product tracibility (from filling to labeling) by replacing the color code ring by an innovative solution: RFID technology in rigid neadl shield. Novartis would be the 1st in the world to implement this value and compliance adding solution</t>
  </si>
  <si>
    <t>Novartis has some RFID experience but its use in RNS is a fully new option (1st in world)</t>
  </si>
  <si>
    <t>Aptar, BD and Vetter have high experience in RFID. However, RFID in RNS is a fully new option</t>
  </si>
  <si>
    <t>Good preliminary results available</t>
  </si>
  <si>
    <t>Plan in place however budget to be approved</t>
  </si>
  <si>
    <t>Positive prliminary e-beam and HVLT tests performed</t>
  </si>
  <si>
    <t>Not needed</t>
  </si>
  <si>
    <t>First regulatory assessment done. As no changes in RNS dimension: EU best case: no impact on MD. US: best case CBE-0.</t>
  </si>
  <si>
    <t>Close interactions with main syringe suppliers. Engineering options defined</t>
  </si>
  <si>
    <t>Strong pull from NTO to close traceability gap. To be implemented for all biologics on all sites</t>
  </si>
  <si>
    <t>For all biologics and some injectables (commercialized and under Development) on all sites</t>
  </si>
  <si>
    <t>NA for the time being but this platform technology will be applicable in future pilot plant i.e. will have a small impact (more details after output of Phase 1)</t>
  </si>
  <si>
    <t>NA for the time being (more details after output of Phase 1)</t>
  </si>
  <si>
    <t>Not impact</t>
  </si>
  <si>
    <t>Inovative solution supporting 21 CFR 610.14. Platform technology also applicable in future pilot plant (more details after output of Phase 1)</t>
  </si>
  <si>
    <t>No impact with the current scope but future implementation of additional functions could have an impact (more details after Phase 1)</t>
  </si>
  <si>
    <t>NA for the time being. The future implementation of additional functions will have an impact</t>
  </si>
  <si>
    <t>Initial estimation. E.g., no training kits needed. More details after Phase 1.</t>
  </si>
  <si>
    <t xml:space="preserve">COGS will increase during implementation and decrease after the implementation of the technology for all commercialized products. Final data available after Phase 3.
</t>
  </si>
  <si>
    <t>Marschal, Philippe</t>
  </si>
  <si>
    <t>G4010813</t>
  </si>
  <si>
    <t>This model is for the specific investment of the ACE umbrella program, which is focused on delivering the strategy and operating model, including developing some shared standards.</t>
  </si>
  <si>
    <t>Significant team already working in this space and project staffed with experienced leaders</t>
  </si>
  <si>
    <t>Vendor work is mostly out of scope (that is more at a project level)</t>
  </si>
  <si>
    <t>Requires coordination across nearly every function, division, etc</t>
  </si>
  <si>
    <t>Costs for the 'umbrella' program of ACE are fairly limited; each drug and non-drug investment defended separately</t>
  </si>
  <si>
    <t>There is very little risk that we cannot share technical solutions across GPTs</t>
  </si>
  <si>
    <t>There are no clinical barriers to sharing platforms across GPTs</t>
  </si>
  <si>
    <t>There are no regulatory barriers to sharing platforms across GPTs</t>
  </si>
  <si>
    <t>There are no external integration barriers to working across GPTs</t>
  </si>
  <si>
    <t>There is a high likelihood of adoption of common platforms by GPTs due to the clear mandate, the lower cost and risk of implementation</t>
  </si>
  <si>
    <t>Modeling is done for 'optimized' scenario which assumes ramp up to 50% of portfolio by 2023</t>
  </si>
  <si>
    <t>Common platforms and standards will reduce FTEs for each program by ~2 FTE*3 years[avg duration of connected health program], or 1.5m/123m=1.2%</t>
  </si>
  <si>
    <t>Common platforms and standards will reduce costs for each program by ~20%*5mn average cost = 1.875m/89m=2.0%</t>
  </si>
  <si>
    <t>G4010614</t>
  </si>
  <si>
    <t>PIN Nurture</t>
  </si>
  <si>
    <t>Continuing the success of PIN MVP into Nurture. We are seeking 300k investment from D&amp;D to continue driving PIN forward. We have committed investment of 700k from other functions.</t>
  </si>
  <si>
    <t>Previous experience with PIN MVP, team to remain the same during Nurture</t>
  </si>
  <si>
    <t>Previous experience with current vendor Sinequa from MVP</t>
  </si>
  <si>
    <t>Not dependant on any drug related projects, no significant dependencies on other projects</t>
  </si>
  <si>
    <t>Nurture funding dependency on project and change management resources</t>
  </si>
  <si>
    <t>Technicals are simple to further develop. Partnership in place with Nerve Live team and DevIT</t>
  </si>
  <si>
    <t>No dependence on clinical evidence</t>
  </si>
  <si>
    <t>Health authorities actively encouraging to use patient insights more in drug development. Data privacy issues need to be assessed in detail: However no major issues expected.</t>
  </si>
  <si>
    <t>Low dependency on external vendors: plan to leverage existing partnerships</t>
  </si>
  <si>
    <t>Need to address adoption across the business, and in particular GDD. PIN represents a new way of working, and we need to engage users actively to adopt the PIN platform into their day to day work. Success has been increased from Seed phase due to positive user feedback and request for PIN</t>
  </si>
  <si>
    <t>The scope of Nurture is wider business rollout. The PIN platform is envisaged to impact the portfolio of assets with future patients insights expense (50% assumed) when fully deployed</t>
  </si>
  <si>
    <t>Drug projects spend $0.5-1.5m on collecting patient insights throughout the lifecycle, with an estimated average of $1m. Target reduced duplication &amp;
better efficiency of 26% (blended rate per phase of assets) = $24.5m. 24.5/6900 = 0.35%</t>
  </si>
  <si>
    <t>Not included: Upside from better patient insights used to better inform protocols. We would then expect to see an increased recruitment rate, which
results in faster trial completion timelines, which lead to a reduction in the time to approval.</t>
  </si>
  <si>
    <t>Not included: Upside with patient-focused drug development, we ideally have factored in patient needs and preferences into our protocols. This should
inform better label claims through patient-relevant endpoints measured throughout the trials</t>
  </si>
  <si>
    <t>G4010555</t>
  </si>
  <si>
    <t>Artemis Phase 2 (CLIP)</t>
  </si>
  <si>
    <t>WP G4010555: ARTEMIS goal: Engage the right patients, in the right trials, at the right sites through a data-driven approach at the right time. Enhanced collaborating with CD&amp;A, NIBR and GMA powered by patient heatmaps and a Clinical Intelligence Package App. The Strategic Planning &amp; Feasibility (SPF) function will provide the oversight and accountability for driving the identified efficiencies and reducing trial timelines</t>
  </si>
  <si>
    <t>Project Core and extended team formed. New organization, Strategic Planning &amp; Feasibility has been communicated.</t>
  </si>
  <si>
    <t>Vendor experiance Palantir proven on Data 42 (trial optimerizer product)</t>
  </si>
  <si>
    <t>Project has high level of interdependencies with projects /other functions but mitigated by SPF framework and CLIP use-case validation</t>
  </si>
  <si>
    <t>Phase 2 budget (this submission) has been planned in detail</t>
  </si>
  <si>
    <t>Ahead of plan, with 10 multi-country heatmaps deliverd by end-Q3 vs. planned end-Q4. CLIP prototype launched</t>
  </si>
  <si>
    <t>Heat maps and clinical intelligence package (CLIP) would support and document the decision-making in feasibility and allocation.</t>
  </si>
  <si>
    <t>No regulatory impact as is process acceleration supported by data.</t>
  </si>
  <si>
    <t>Data ingestion dependency on AMA agreement confirming US account data storage in Ireland.</t>
  </si>
  <si>
    <t>Adoption level ranges beyond GDO and into country level could be a challenge but current end-users are pulling for new solutions</t>
  </si>
  <si>
    <t>Phase 1 would demonstrate PoC with 8% portfolio impact by end of 2020. Full portfolio 100% by end of 2021 (end-state).</t>
  </si>
  <si>
    <t>Internal costs reduced through lower GDO site fixed cost, SIV cost and TRD drug supply frontloading costs.</t>
  </si>
  <si>
    <t>External costs reduced through fewer unproductive Sites; targeted selection of Investigators with higher patient potential.</t>
  </si>
  <si>
    <t xml:space="preserve">Shorter recruitment extension timelines (by 2 months), through accurate site allocation and increased patient committment.
</t>
  </si>
  <si>
    <t>Olivieri, Gianfranco</t>
  </si>
  <si>
    <t>Next Generation Case Intake</t>
  </si>
  <si>
    <t>Introducing a Intelligent Case Intake capability to digitize and automate data intake, by leveraging AI technologies to significantly reduce the effort for the global Safety Case Intake process and ensure long-term cost efficiency and sustainability for Patient Safety. Detailed analysis of NVS Safety landscape has been conducted, high level technical concept is existing, deeper analysis (Scoping and Conceptual Design) is required. Solution will leverage existing NVS microservice capabilities and further strenghten the digital landsape.</t>
  </si>
  <si>
    <t>Deep domain knowledge (Patient Safety) is given, skills in Machine Learning and System Automation are increasing</t>
  </si>
  <si>
    <t>Not yet assessed. Not mature COTS existing</t>
  </si>
  <si>
    <t>Some complexity given through multilanguage support requirements and NLP need</t>
  </si>
  <si>
    <t>Good business case with potential high ROI given</t>
  </si>
  <si>
    <t>Technology is well-advanced, combination of SME knowledge, proper training data and tech skills will lead to success. This is development of new system, no COTS existing. Similar technlogy has been used for AE Brain (in production)</t>
  </si>
  <si>
    <t>No dependency on generation of clinical evidence</t>
  </si>
  <si>
    <t>Assuming that exstining NVS platform (AE Brain) can be leveraged, regulatory risk should be low since this is a GxP compliant solution</t>
  </si>
  <si>
    <t>No dependence on external systems (e.g. site or hospital EHRs, etc)</t>
  </si>
  <si>
    <t>PV employees around the globe are very eager to improve processes and to adopt new technologies. PV and IT organization will guide the team through change process</t>
  </si>
  <si>
    <t>Automating of AE Intake/ Processing might impact entire NVS drug portfolio</t>
  </si>
  <si>
    <t>Estimated savings around 1.7mn over 3.6 years. 10mn/9600mn = 0.07%</t>
  </si>
  <si>
    <t>Estimated savings around 3.74mn over 3.6 years. 13.4mn/6900mn = 0.19%</t>
  </si>
  <si>
    <t>SONAR Phase 2</t>
  </si>
  <si>
    <t xml:space="preserve">enable GDD Business/Finance community to continue the delivery of SONAR product roadmap by establishing a Barcelona Hub, optimize and extend core of the product with the integration of additional data sources to bring benefits to wider user communities through excel based reporting, dashboarding as mobile, further leverage forecasting/predictive capabilities by applying data science. </t>
  </si>
  <si>
    <t>G4010820</t>
  </si>
  <si>
    <t>TRD BioSpace</t>
  </si>
  <si>
    <t>ioSpace is a collaborative initiative spanning across the whole TRD Biologics &amp; CGT organization aiming to uniformly make process, analytical and development data accessible across all sites as a foundational harmonizing layer for advanced visualization, integration and analysis platforms such as TRD TIMS and beyond. ​</t>
  </si>
  <si>
    <t>G4004628</t>
  </si>
  <si>
    <t>FocalView-UNR nVA App is stand-alone mobile medical research platform, providing opportunity for patients to participate in ophthalmology clinical trials from home. FocalView incorporates patient self-measurements to create more sensitive clinical trial endpoints, more accurate patient reported outcomes and reduces the frequency and burden of visits in clinical trials.</t>
  </si>
  <si>
    <t>G4012067</t>
  </si>
  <si>
    <t>Mosaic</t>
  </si>
  <si>
    <t>MOSAIC is an app platforming approach that harmonizes the digital experience, standardizes the architecture, and ensures maximum reuse of solutions across clinical and Connected Health programs. It will be created iteratively based on use cases and could include both buy &amp; build partners, but will always harmonize the front end. THIS MODEL IS SPECIFIC TO GDD eCOA USE CASE.</t>
  </si>
  <si>
    <t>G4011911</t>
  </si>
  <si>
    <t>Central Monitoring Intelligence</t>
  </si>
  <si>
    <t>Set up and deploy system and structure capabilities, including qualified personnel, to support centralized monitoring/ data surveillance activities that can complement and reduce the extent and/or frequency of on-site monitoring, and help distinguish between reliable data and potentially unreliable data</t>
  </si>
  <si>
    <t>G4010012</t>
  </si>
  <si>
    <t>MDM Adoption</t>
  </si>
  <si>
    <t>G4010702</t>
  </si>
  <si>
    <t>Digital Document Authoring</t>
  </si>
  <si>
    <t>Digital Document Authoring - Nurture Phase</t>
  </si>
  <si>
    <t>G4010834</t>
  </si>
  <si>
    <t>TRD SPINE</t>
  </si>
  <si>
    <t>TRD Data mgmt system enable making data interoperable according to FAIR principles for TRD data for ease of transfer of data between systems, starting with Lab use cases, and for use by other Digital lab tools, eg Submission documentation system, Management views and for performing data analytics and Predictive analytics in the future in the lab area. The data can also be used in a larger TRD space and then also feed into the even larger Data 42.</t>
  </si>
  <si>
    <t>Increase drug development POS</t>
  </si>
  <si>
    <r>
      <t xml:space="preserve">Increase potential P&amp;L in case of approval
</t>
    </r>
    <r>
      <rPr>
        <sz val="8"/>
        <color theme="0"/>
        <rFont val="Arial"/>
        <family val="2"/>
      </rPr>
      <t>(sales increase, time to peak sales/LoE, and net profit margin)</t>
    </r>
  </si>
  <si>
    <t xml:space="preserve">Column name v/s category - Pick maximum value </t>
  </si>
  <si>
    <t xml:space="preserve">Project name in main sheet </t>
  </si>
  <si>
    <t>Project Name</t>
  </si>
  <si>
    <t>eROCE</t>
  </si>
  <si>
    <t>cumulative eNPV</t>
  </si>
  <si>
    <t>Total costs in model</t>
  </si>
  <si>
    <t>cumulative eCost</t>
  </si>
  <si>
    <t>15522-G4010555</t>
  </si>
  <si>
    <t>16014-G4004530</t>
  </si>
  <si>
    <t>15821-G4010578</t>
  </si>
  <si>
    <t>DYNAMO 2.0</t>
  </si>
  <si>
    <t>15545-G4005870</t>
  </si>
  <si>
    <t>12497-G3002652</t>
  </si>
  <si>
    <t>15376-G4005892</t>
  </si>
  <si>
    <t>15821-G4010600</t>
  </si>
  <si>
    <t>ETP</t>
  </si>
  <si>
    <t>12527-G3002791</t>
  </si>
  <si>
    <t>15390-G4003553</t>
  </si>
  <si>
    <t>15481-G4008172</t>
  </si>
  <si>
    <t>15821-G4010577</t>
  </si>
  <si>
    <t>SENSE4</t>
  </si>
  <si>
    <t>15893-G4010813</t>
  </si>
  <si>
    <t>15821-G4010591</t>
  </si>
  <si>
    <t>FPO</t>
  </si>
  <si>
    <t>15412-G4004628</t>
  </si>
  <si>
    <t>15893-G4009619</t>
  </si>
  <si>
    <t>15070-G4010832</t>
  </si>
  <si>
    <t>16027-G4004588</t>
  </si>
  <si>
    <t>15383-G4003557</t>
  </si>
  <si>
    <t>12528-G4009622</t>
  </si>
  <si>
    <t>Smart Clinical Supplies</t>
  </si>
  <si>
    <t>Median</t>
  </si>
  <si>
    <t>15070-G4010805</t>
  </si>
  <si>
    <t>15377-G4003495</t>
  </si>
  <si>
    <t>16025-G4004848</t>
  </si>
  <si>
    <t>12591-G4010780</t>
  </si>
  <si>
    <t>15706-G4010614</t>
  </si>
  <si>
    <t>15821-G4010590</t>
  </si>
  <si>
    <t>15070-G3004231</t>
  </si>
  <si>
    <t>GMT Rollout</t>
  </si>
  <si>
    <t>12528-G3002812</t>
  </si>
  <si>
    <t>16024-G4004829</t>
  </si>
  <si>
    <t>15378-G4003494</t>
  </si>
  <si>
    <t>15821-G4010145</t>
  </si>
  <si>
    <t>Jarvis</t>
  </si>
  <si>
    <t>12528-G4010316</t>
  </si>
  <si>
    <t>15702-G4008374</t>
  </si>
  <si>
    <t>15070-G4010804</t>
  </si>
  <si>
    <t>15586-G4006343</t>
  </si>
  <si>
    <t>15376-G4003505</t>
  </si>
  <si>
    <t>12539-G3002639</t>
  </si>
  <si>
    <t>15821-G4010579</t>
  </si>
  <si>
    <t>Metrics in GDD</t>
  </si>
  <si>
    <t>Median drug projects (as of DCN May 11)</t>
  </si>
  <si>
    <t>Mean</t>
  </si>
  <si>
    <t>Count</t>
  </si>
  <si>
    <t>Non-drug Project Portfolio 3x3</t>
  </si>
  <si>
    <r>
      <rPr>
        <b/>
        <sz val="14"/>
        <color indexed="18"/>
        <rFont val="Arial"/>
        <family val="2"/>
      </rPr>
      <t>GLF/DU in the Lead →</t>
    </r>
    <r>
      <rPr>
        <b/>
        <sz val="14"/>
        <color indexed="8"/>
        <rFont val="Arial"/>
        <family val="2"/>
      </rPr>
      <t xml:space="preserve">
</t>
    </r>
    <r>
      <rPr>
        <b/>
        <sz val="14"/>
        <color indexed="23"/>
        <rFont val="Arial"/>
        <family val="2"/>
      </rPr>
      <t>Dominant Value Driver
↓</t>
    </r>
  </si>
  <si>
    <t>Regulatory Affairs</t>
  </si>
  <si>
    <t>DU's</t>
  </si>
  <si>
    <t>Data &amp; Digital</t>
  </si>
  <si>
    <t>CMO / Patient Safety</t>
  </si>
  <si>
    <t>Total Project Cost in model in $m</t>
  </si>
  <si>
    <t>Legend:</t>
  </si>
  <si>
    <r>
      <rPr>
        <b/>
        <sz val="16"/>
        <color indexed="18"/>
        <rFont val="Arial"/>
        <family val="2"/>
      </rPr>
      <t>GLF/DU in the Lead →</t>
    </r>
    <r>
      <rPr>
        <b/>
        <sz val="16"/>
        <color indexed="8"/>
        <rFont val="Arial"/>
        <family val="2"/>
      </rPr>
      <t xml:space="preserve">
</t>
    </r>
    <r>
      <rPr>
        <b/>
        <sz val="16"/>
        <color indexed="23"/>
        <rFont val="Arial"/>
        <family val="2"/>
      </rPr>
      <t>Dominant Value Driver
↓</t>
    </r>
  </si>
  <si>
    <t>Reduce R&amp;D costs</t>
  </si>
  <si>
    <t>projects known</t>
  </si>
  <si>
    <t>figure bar represents
distribution share ($ LTC)</t>
  </si>
  <si>
    <r>
      <t xml:space="preserve">Increase potential P&amp;L in case of approval
</t>
    </r>
    <r>
      <rPr>
        <sz val="11"/>
        <color rgb="FF000000"/>
        <rFont val="Arial"/>
        <family val="2"/>
      </rPr>
      <t>(sales increase, time to peak sales/LoE, and net profit margin)</t>
    </r>
  </si>
  <si>
    <t>no investment known</t>
  </si>
  <si>
    <r>
      <t xml:space="preserve">Increase potential P&amp;L in case of approval
</t>
    </r>
    <r>
      <rPr>
        <sz val="12"/>
        <color rgb="FF000000"/>
        <rFont val="Arial"/>
        <family val="2"/>
      </rPr>
      <t>(sales increase, time to peak sales/LoE, and net profit margin)</t>
    </r>
  </si>
  <si>
    <t>Compliance / Maintenance</t>
  </si>
  <si>
    <t>Tollgate project for review</t>
  </si>
  <si>
    <t>GLF / DU in the lead</t>
  </si>
  <si>
    <t>15443-G4004255</t>
  </si>
  <si>
    <t>11111-G2222222</t>
  </si>
  <si>
    <t>Increase potential P&amp;L in case of approval
(sales increase, time to peak sales/LoE, and net profit margin)</t>
  </si>
  <si>
    <t>11111-G3333333</t>
  </si>
  <si>
    <t>15063-G4002894</t>
  </si>
  <si>
    <t>Values</t>
  </si>
  <si>
    <t>15063-G4003952</t>
  </si>
  <si>
    <t xml:space="preserve"> Reduce R&amp;D Costs</t>
  </si>
  <si>
    <t xml:space="preserve"> Reduce attrition rate</t>
  </si>
  <si>
    <t xml:space="preserve"> Increase potential P&amp;L in case of approval</t>
  </si>
  <si>
    <t xml:space="preserve"> Compliance / Maintenance</t>
  </si>
  <si>
    <t>15522-G4005291</t>
  </si>
  <si>
    <t>ARTEMIS</t>
  </si>
  <si>
    <t>15063-G4002891</t>
  </si>
  <si>
    <t>15070-G3002644</t>
  </si>
  <si>
    <t>11111-G7777777</t>
  </si>
  <si>
    <t>(blank)</t>
  </si>
  <si>
    <t>11111-G8888888</t>
  </si>
  <si>
    <t>Grand Total</t>
  </si>
  <si>
    <t>11111-G9999999</t>
  </si>
  <si>
    <t>22222-G1111111</t>
  </si>
  <si>
    <t>16021-G4004749</t>
  </si>
  <si>
    <t>eSAPIENS-II</t>
  </si>
  <si>
    <t>22222-G2222222</t>
  </si>
  <si>
    <t>15372-G3002965</t>
  </si>
  <si>
    <t>15706-G4008417</t>
  </si>
  <si>
    <t>PIN</t>
  </si>
  <si>
    <t>15786-G4009619</t>
  </si>
  <si>
    <t>12518-G3002593</t>
  </si>
  <si>
    <t>22222-G3333333</t>
  </si>
  <si>
    <t>22222-G5555555</t>
  </si>
  <si>
    <t>15410-T4000041</t>
  </si>
  <si>
    <t>15443-G4004258</t>
  </si>
  <si>
    <t>15648-G4007657</t>
  </si>
  <si>
    <t>12506-G3002614</t>
  </si>
  <si>
    <t>15432-G4004296</t>
  </si>
  <si>
    <t>15701-G4008372</t>
  </si>
  <si>
    <t>15560-G4006023</t>
  </si>
  <si>
    <t>15464-G4004847</t>
  </si>
  <si>
    <t>15449-G4004458</t>
  </si>
  <si>
    <t>12625-G3003176</t>
  </si>
  <si>
    <t>15505-G4005049</t>
  </si>
  <si>
    <t>12497-G4004335</t>
  </si>
  <si>
    <t>15434-G4004418</t>
  </si>
  <si>
    <t>15659-G4007775</t>
  </si>
  <si>
    <t>15660-G4007776</t>
  </si>
  <si>
    <t>15381-G4003542</t>
  </si>
  <si>
    <t>15436-G4004441</t>
  </si>
  <si>
    <t>15647-G4008377</t>
  </si>
  <si>
    <t>16022-G4004835</t>
  </si>
  <si>
    <t>22222-G4444444</t>
  </si>
  <si>
    <t>Other CMO/PS compliance projects</t>
  </si>
  <si>
    <t>16019-G4004525</t>
  </si>
  <si>
    <t>16006-G4004518</t>
  </si>
  <si>
    <t>16011-G4004519</t>
  </si>
  <si>
    <t>16013-G4004531</t>
  </si>
  <si>
    <t>16007-G4004520</t>
  </si>
  <si>
    <t>15296-G4007682</t>
  </si>
  <si>
    <t>15367-G3002964</t>
  </si>
  <si>
    <t>15368-G3002958</t>
  </si>
  <si>
    <t>15370-G3002962</t>
  </si>
  <si>
    <t>15373-G3002961</t>
  </si>
  <si>
    <t>16026-G4004590</t>
  </si>
  <si>
    <t>15070-G4005258</t>
  </si>
  <si>
    <t>CDS Upgrade</t>
  </si>
  <si>
    <t>16023-G4004836</t>
  </si>
  <si>
    <t>Andromeda 2021</t>
  </si>
  <si>
    <t>Andromeda 2020</t>
  </si>
  <si>
    <t>Andromeda is a transformative enterprise capability for faster and more optimized decision making spanning Research, Development &amp; Commercial.</t>
  </si>
  <si>
    <t>G4012659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</si>
</sst>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_ * #,##0.00_ ;_ * \-#,##0.00_ ;_ * &quot;-&quot;??_ ;_ @_ "/>
    <numFmt numFmtId="165" formatCode="_ * #,##0.0_ ;_ * \-#,##0.0_ ;_ * &quot;-&quot;??_ ;_ @_ "/>
    <numFmt numFmtId="166" formatCode="0.0"/>
    <numFmt numFmtId="167" formatCode="_(* #,##0_);_(* \(#,##0\);_(* &quot;-&quot;??_);_(@_)"/>
    <numFmt numFmtId="168" formatCode="_ * #,##0_ ;_ * \-#,##0_ ;_ * &quot;-&quot;??_ ;_ @_ "/>
    <numFmt numFmtId="169" formatCode="#,##0.0"/>
    <numFmt numFmtId="170" formatCode="[$$-409]#,##0"/>
    <numFmt numFmtId="171" formatCode="#,##0.000"/>
  </numFmts>
  <fonts count="55">
    <font>
      <sz val="10"/>
      <color theme="1"/>
      <name val="Arial"/>
      <family val="2"/>
    </font>
    <font>
      <sz val="11"/>
      <color rgb="FF000000"/>
      <name val="Calibri"/>
      <family val="2"/>
    </font>
    <font>
      <sz val="10"/>
      <color theme="1"/>
      <name val="Arial"/>
      <family val="2"/>
    </font>
    <font>
      <sz val="10"/>
      <color rgb="FFFF0000"/>
      <name val="Arial"/>
      <family val="2"/>
    </font>
    <font>
      <b/>
      <sz val="10"/>
      <color theme="1"/>
      <name val="Arial"/>
      <family val="2"/>
    </font>
    <font>
      <sz val="10"/>
      <color indexed="8"/>
      <name val="Arial"/>
      <family val="2"/>
    </font>
    <font>
      <sz val="11"/>
      <color indexed="8"/>
      <name val="Calibri"/>
      <family val="2"/>
    </font>
    <font>
      <sz val="11"/>
      <name val="Calibri"/>
      <family val="2"/>
    </font>
    <font>
      <sz val="12"/>
      <color rgb="FF000000"/>
      <name val="Calibri"/>
      <family val="2"/>
    </font>
    <font>
      <sz val="11"/>
      <color indexed="8"/>
      <name val="Arial"/>
      <family val="2"/>
    </font>
    <font>
      <sz val="10"/>
      <color theme="5"/>
      <name val="Arial"/>
      <family val="2"/>
    </font>
    <font>
      <sz val="11"/>
      <color rgb="FFFF0000"/>
      <name val="Arial"/>
      <family val="2"/>
    </font>
    <font>
      <i/>
      <sz val="10"/>
      <color theme="1"/>
      <name val="Arial"/>
      <family val="2"/>
    </font>
    <font>
      <b/>
      <sz val="10"/>
      <color theme="0"/>
      <name val="Arial"/>
      <family val="2"/>
    </font>
    <font>
      <sz val="36"/>
      <color theme="1"/>
      <name val="Arial"/>
      <family val="2"/>
    </font>
    <font>
      <b/>
      <sz val="24"/>
      <color theme="1"/>
      <name val="Arial"/>
      <family val="2"/>
    </font>
    <font>
      <b/>
      <sz val="28"/>
      <color theme="1"/>
      <name val=" arial header"/>
    </font>
    <font>
      <b/>
      <sz val="36"/>
      <color theme="1"/>
      <name val=" arial header"/>
    </font>
    <font>
      <b/>
      <sz val="18"/>
      <color theme="1"/>
      <name val="Arial"/>
      <family val="2"/>
    </font>
    <font>
      <b/>
      <sz val="14"/>
      <color theme="1"/>
      <name val="Arial"/>
      <family val="2"/>
    </font>
    <font>
      <b/>
      <sz val="8"/>
      <color theme="1"/>
      <name val="Arial"/>
      <family val="2"/>
    </font>
    <font>
      <sz val="8"/>
      <color theme="0"/>
      <name val="Arial"/>
      <family val="2"/>
    </font>
    <font>
      <sz val="10"/>
      <name val="Arial"/>
      <family val="2"/>
    </font>
    <font>
      <b/>
      <sz val="12"/>
      <color rgb="FF000000"/>
      <name val="Arial"/>
      <family val="2"/>
    </font>
    <font>
      <b/>
      <sz val="13"/>
      <color theme="0"/>
      <name val="Arial"/>
      <family val="2"/>
    </font>
    <font>
      <b/>
      <sz val="12"/>
      <color theme="0" tint="-0.499984740745262"/>
      <name val="Arial"/>
      <family val="2"/>
    </font>
    <font>
      <b/>
      <sz val="14"/>
      <color theme="0" tint="-0.499984740745262"/>
      <name val="Arial"/>
      <family val="2"/>
    </font>
    <font>
      <sz val="11"/>
      <color rgb="FF000000"/>
      <name val="Arial"/>
      <family val="2"/>
    </font>
    <font>
      <b/>
      <sz val="8"/>
      <color theme="0"/>
      <name val="Arial"/>
      <family val="2"/>
    </font>
    <font>
      <sz val="14"/>
      <color theme="0" tint="-0.499984740745262"/>
      <name val="Arial"/>
      <family val="2"/>
    </font>
    <font>
      <b/>
      <sz val="14"/>
      <color theme="0"/>
      <name val="Arial"/>
      <family val="2"/>
    </font>
    <font>
      <b/>
      <sz val="10"/>
      <color theme="0" tint="-0.499984740745262"/>
      <name val="Arial"/>
      <family val="2"/>
    </font>
    <font>
      <sz val="14"/>
      <color theme="0"/>
      <name val="Arial"/>
      <family val="2"/>
    </font>
    <font>
      <b/>
      <sz val="16"/>
      <color rgb="FF000000"/>
      <name val="Arial"/>
      <family val="2"/>
    </font>
    <font>
      <b/>
      <sz val="16"/>
      <color indexed="18"/>
      <name val="Arial"/>
      <family val="2"/>
    </font>
    <font>
      <b/>
      <sz val="16"/>
      <color indexed="8"/>
      <name val="Arial"/>
      <family val="2"/>
    </font>
    <font>
      <b/>
      <sz val="16"/>
      <color indexed="23"/>
      <name val="Arial"/>
      <family val="2"/>
    </font>
    <font>
      <b/>
      <sz val="16"/>
      <color theme="0"/>
      <name val="Arial"/>
      <family val="2"/>
    </font>
    <font>
      <sz val="16"/>
      <color theme="0" tint="-4.9989318521683403E-2"/>
      <name val="Arial"/>
      <family val="2"/>
    </font>
    <font>
      <sz val="16"/>
      <color rgb="FF528FC6"/>
      <name val="Arial"/>
      <family val="2"/>
    </font>
    <font>
      <sz val="12"/>
      <color rgb="FF000000"/>
      <name val="Arial"/>
      <family val="2"/>
    </font>
    <font>
      <b/>
      <sz val="14"/>
      <color rgb="FF000000"/>
      <name val="Arial"/>
      <family val="2"/>
    </font>
    <font>
      <b/>
      <sz val="14"/>
      <color indexed="18"/>
      <name val="Arial"/>
      <family val="2"/>
    </font>
    <font>
      <b/>
      <sz val="14"/>
      <color indexed="8"/>
      <name val="Arial"/>
      <family val="2"/>
    </font>
    <font>
      <b/>
      <sz val="14"/>
      <color indexed="23"/>
      <name val="Arial"/>
      <family val="2"/>
    </font>
    <font>
      <b/>
      <sz val="14"/>
      <name val="Arial"/>
      <family val="2"/>
    </font>
    <font>
      <b/>
      <sz val="14"/>
      <color rgb="FFF96725"/>
      <name val="Arial"/>
      <family val="2"/>
    </font>
    <font>
      <b/>
      <sz val="28"/>
      <color theme="1"/>
      <name val="Arial"/>
      <family val="2"/>
    </font>
    <font>
      <sz val="9"/>
      <color rgb="FF528FC6"/>
      <name val="Arial"/>
      <family val="2"/>
    </font>
    <font>
      <b/>
      <i/>
      <sz val="10"/>
      <color rgb="FFFF0000"/>
      <name val="Arial"/>
      <family val="2"/>
    </font>
    <font>
      <sz val="8"/>
      <color theme="1"/>
      <name val="Arial"/>
      <family val="2"/>
    </font>
    <font>
      <b/>
      <u/>
      <sz val="8"/>
      <color theme="1"/>
      <name val="Arial"/>
      <family val="2"/>
    </font>
    <font>
      <sz val="8"/>
      <name val="Arial"/>
      <family val="2"/>
    </font>
    <font>
      <b/>
      <sz val="10"/>
      <color rgb="FFFF0000"/>
      <name val="Arial"/>
      <family val="2"/>
    </font>
    <font>
      <b/>
      <sz val="8"/>
      <name val="Arial"/>
      <family val="2"/>
    </font>
  </fonts>
  <fills count="43">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indexed="22"/>
        <bgColor indexed="0"/>
      </patternFill>
    </fill>
    <fill>
      <patternFill patternType="solid">
        <fgColor theme="8" tint="-0.249977111117893"/>
        <bgColor indexed="64"/>
      </patternFill>
    </fill>
    <fill>
      <patternFill patternType="solid">
        <fgColor theme="7" tint="0.39997558519241921"/>
        <bgColor indexed="64"/>
      </patternFill>
    </fill>
    <fill>
      <patternFill patternType="solid">
        <fgColor rgb="FFFFFF00"/>
        <bgColor indexed="64"/>
      </patternFill>
    </fill>
    <fill>
      <patternFill patternType="solid">
        <fgColor rgb="FF00B0F0"/>
        <bgColor indexed="64"/>
      </patternFill>
    </fill>
    <fill>
      <patternFill patternType="solid">
        <fgColor rgb="FF7030A0"/>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249977111117893"/>
        <bgColor indexed="64"/>
      </patternFill>
    </fill>
    <fill>
      <patternFill patternType="solid">
        <fgColor rgb="FF92D050"/>
        <bgColor indexed="64"/>
      </patternFill>
    </fill>
    <fill>
      <patternFill patternType="solid">
        <fgColor theme="5" tint="0.79998168889431442"/>
        <bgColor indexed="0"/>
      </patternFill>
    </fill>
    <fill>
      <patternFill patternType="solid">
        <fgColor theme="5" tint="0.39997558519241921"/>
        <bgColor indexed="0"/>
      </patternFill>
    </fill>
    <fill>
      <patternFill patternType="solid">
        <fgColor theme="4"/>
        <bgColor indexed="0"/>
      </patternFill>
    </fill>
    <fill>
      <patternFill patternType="solid">
        <fgColor rgb="FFFFC000"/>
        <bgColor indexed="0"/>
      </patternFill>
    </fill>
    <fill>
      <patternFill patternType="solid">
        <fgColor theme="7"/>
        <bgColor indexed="64"/>
      </patternFill>
    </fill>
    <fill>
      <patternFill patternType="solid">
        <fgColor rgb="FF00B050"/>
        <bgColor indexed="64"/>
      </patternFill>
    </fill>
    <fill>
      <patternFill patternType="solid">
        <fgColor theme="8" tint="0.79998168889431442"/>
        <bgColor indexed="64"/>
      </patternFill>
    </fill>
    <fill>
      <patternFill patternType="solid">
        <fgColor theme="1"/>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theme="2"/>
        <bgColor indexed="64"/>
      </patternFill>
    </fill>
    <fill>
      <patternFill patternType="solid">
        <fgColor theme="4"/>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2" tint="-0.499984740745262"/>
        <bgColor indexed="64"/>
      </patternFill>
    </fill>
    <fill>
      <patternFill patternType="solid">
        <fgColor rgb="FF002060"/>
        <bgColor indexed="64"/>
      </patternFill>
    </fill>
    <fill>
      <patternFill patternType="solid">
        <fgColor theme="3" tint="0.39997558519241921"/>
        <bgColor indexed="64"/>
      </patternFill>
    </fill>
    <fill>
      <patternFill patternType="solid">
        <fgColor rgb="FFD9D9D9"/>
        <bgColor indexed="64"/>
      </patternFill>
    </fill>
    <fill>
      <patternFill patternType="solid">
        <fgColor rgb="FFF2F2F2"/>
        <bgColor indexed="64"/>
      </patternFill>
    </fill>
    <fill>
      <patternFill patternType="solid">
        <fgColor rgb="FFF96725"/>
        <bgColor indexed="64"/>
      </patternFill>
    </fill>
    <fill>
      <patternFill patternType="solid">
        <fgColor theme="4" tint="0.79998168889431442"/>
        <bgColor indexed="64"/>
      </patternFill>
    </fill>
  </fills>
  <borders count="50">
    <border>
      <left/>
      <right/>
      <top/>
      <bottom/>
      <diagonal/>
    </border>
    <border>
      <left style="thin">
        <color theme="4" tint="0.39997558519241921"/>
      </left>
      <right/>
      <top style="thin">
        <color theme="4" tint="0.39997558519241921"/>
      </top>
      <bottom style="thin">
        <color theme="4" tint="0.39997558519241921"/>
      </bottom>
      <diagonal/>
    </border>
    <border>
      <left style="thin">
        <color indexed="8"/>
      </left>
      <right style="thin">
        <color indexed="8"/>
      </right>
      <top style="thin">
        <color indexed="8"/>
      </top>
      <bottom style="thin">
        <color indexed="8"/>
      </bottom>
      <diagonal/>
    </border>
    <border>
      <left style="thin">
        <color indexed="8"/>
      </left>
      <right/>
      <top/>
      <bottom/>
      <diagonal/>
    </border>
    <border>
      <left style="thin">
        <color indexed="22"/>
      </left>
      <right style="thin">
        <color indexed="22"/>
      </right>
      <top style="thin">
        <color indexed="22"/>
      </top>
      <bottom style="thin">
        <color indexed="22"/>
      </bottom>
      <diagonal/>
    </border>
    <border>
      <left style="thin">
        <color rgb="FF0070C0"/>
      </left>
      <right style="medium">
        <color rgb="FF0070C0"/>
      </right>
      <top/>
      <bottom/>
      <diagonal/>
    </border>
    <border>
      <left style="thin">
        <color indexed="22"/>
      </left>
      <right style="thin">
        <color indexed="22"/>
      </right>
      <top/>
      <bottom/>
      <diagonal/>
    </border>
    <border>
      <left style="thin">
        <color indexed="22"/>
      </left>
      <right/>
      <top/>
      <bottom/>
      <diagonal/>
    </border>
    <border>
      <left/>
      <right style="thin">
        <color indexed="22"/>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medium">
        <color theme="0"/>
      </right>
      <top style="medium">
        <color theme="0"/>
      </top>
      <bottom style="medium">
        <color theme="0"/>
      </bottom>
      <diagonal/>
    </border>
    <border>
      <left/>
      <right/>
      <top style="medium">
        <color theme="0"/>
      </top>
      <bottom/>
      <diagonal/>
    </border>
    <border>
      <left style="thin">
        <color theme="3"/>
      </left>
      <right style="thin">
        <color theme="3"/>
      </right>
      <top style="thin">
        <color theme="3"/>
      </top>
      <bottom style="thin">
        <color theme="3"/>
      </bottom>
      <diagonal/>
    </border>
    <border>
      <left/>
      <right/>
      <top style="thin">
        <color theme="3"/>
      </top>
      <bottom/>
      <diagonal/>
    </border>
    <border>
      <left style="thin">
        <color theme="0"/>
      </left>
      <right style="thin">
        <color theme="0"/>
      </right>
      <top style="thin">
        <color theme="0"/>
      </top>
      <bottom/>
      <diagonal/>
    </border>
    <border>
      <left style="medium">
        <color theme="3"/>
      </left>
      <right style="thin">
        <color theme="0"/>
      </right>
      <top style="medium">
        <color theme="3"/>
      </top>
      <bottom style="thin">
        <color theme="0"/>
      </bottom>
      <diagonal/>
    </border>
    <border>
      <left style="thin">
        <color theme="0"/>
      </left>
      <right style="thin">
        <color theme="0"/>
      </right>
      <top style="medium">
        <color theme="3"/>
      </top>
      <bottom style="thin">
        <color theme="0"/>
      </bottom>
      <diagonal/>
    </border>
    <border>
      <left style="thin">
        <color theme="0"/>
      </left>
      <right style="medium">
        <color theme="3"/>
      </right>
      <top style="medium">
        <color theme="3"/>
      </top>
      <bottom style="thin">
        <color theme="0"/>
      </bottom>
      <diagonal/>
    </border>
    <border>
      <left style="medium">
        <color theme="3"/>
      </left>
      <right style="thin">
        <color theme="0"/>
      </right>
      <top style="thin">
        <color theme="0"/>
      </top>
      <bottom style="thin">
        <color theme="0"/>
      </bottom>
      <diagonal/>
    </border>
    <border>
      <left style="thin">
        <color theme="0"/>
      </left>
      <right style="medium">
        <color theme="3"/>
      </right>
      <top style="thin">
        <color theme="0"/>
      </top>
      <bottom style="thin">
        <color theme="0"/>
      </bottom>
      <diagonal/>
    </border>
    <border>
      <left/>
      <right style="thick">
        <color rgb="FFFFFFFF"/>
      </right>
      <top/>
      <bottom style="thick">
        <color rgb="FFFFFFFF"/>
      </bottom>
      <diagonal/>
    </border>
    <border>
      <left/>
      <right/>
      <top style="thick">
        <color rgb="FFFFFFFF"/>
      </top>
      <bottom style="thick">
        <color rgb="FFFFFFFF"/>
      </bottom>
      <diagonal/>
    </border>
    <border>
      <left/>
      <right/>
      <top/>
      <bottom style="thick">
        <color rgb="FFFFFFFF"/>
      </bottom>
      <diagonal/>
    </border>
    <border>
      <left style="thick">
        <color rgb="FFFFFFFF"/>
      </left>
      <right style="thick">
        <color rgb="FFFFFFFF"/>
      </right>
      <top/>
      <bottom style="thick">
        <color rgb="FFFFFFFF"/>
      </bottom>
      <diagonal/>
    </border>
    <border>
      <left style="thick">
        <color theme="0"/>
      </left>
      <right style="thick">
        <color theme="0"/>
      </right>
      <top style="thick">
        <color theme="0"/>
      </top>
      <bottom style="thick">
        <color theme="0"/>
      </bottom>
      <diagonal/>
    </border>
    <border>
      <left/>
      <right style="thick">
        <color rgb="FFFFFFFF"/>
      </right>
      <top style="thick">
        <color rgb="FFFFFFFF"/>
      </top>
      <bottom style="thick">
        <color rgb="FFFFFFFF"/>
      </bottom>
      <diagonal/>
    </border>
    <border>
      <left style="thick">
        <color theme="0"/>
      </left>
      <right style="thick">
        <color theme="0"/>
      </right>
      <top style="thick">
        <color theme="0"/>
      </top>
      <bottom/>
      <diagonal/>
    </border>
    <border>
      <left style="thick">
        <color theme="0"/>
      </left>
      <right/>
      <top style="thick">
        <color theme="0"/>
      </top>
      <bottom style="thick">
        <color theme="0"/>
      </bottom>
      <diagonal/>
    </border>
    <border>
      <left style="medium">
        <color rgb="FFF96725"/>
      </left>
      <right style="medium">
        <color rgb="FFF96725"/>
      </right>
      <top style="medium">
        <color rgb="FFF96725"/>
      </top>
      <bottom style="medium">
        <color rgb="FFF96725"/>
      </bottom>
      <diagonal/>
    </border>
    <border>
      <left style="thick">
        <color theme="0"/>
      </left>
      <right style="thick">
        <color theme="0"/>
      </right>
      <top/>
      <bottom/>
      <diagonal/>
    </border>
    <border>
      <left style="thick">
        <color theme="0"/>
      </left>
      <right style="thick">
        <color theme="0"/>
      </right>
      <top/>
      <bottom style="thick">
        <color theme="0"/>
      </bottom>
      <diagonal/>
    </border>
    <border>
      <left/>
      <right style="thick">
        <color theme="0"/>
      </right>
      <top style="thick">
        <color theme="0"/>
      </top>
      <bottom style="thick">
        <color theme="0"/>
      </bottom>
      <diagonal/>
    </border>
    <border>
      <left/>
      <right style="thick">
        <color rgb="FFFFFFFF"/>
      </right>
      <top style="thick">
        <color rgb="FFFFFFFF"/>
      </top>
      <bottom/>
      <diagonal/>
    </border>
    <border>
      <left style="thick">
        <color theme="0"/>
      </left>
      <right/>
      <top/>
      <bottom/>
      <diagonal/>
    </border>
    <border>
      <left/>
      <right/>
      <top style="thick">
        <color rgb="FFFFFFFF"/>
      </top>
      <bottom/>
      <diagonal/>
    </border>
    <border>
      <left style="thin">
        <color theme="0"/>
      </left>
      <right style="thin">
        <color theme="0"/>
      </right>
      <top/>
      <bottom/>
      <diagonal/>
    </border>
    <border>
      <left/>
      <right style="thin">
        <color theme="0"/>
      </right>
      <top/>
      <bottom/>
      <diagonal/>
    </border>
    <border>
      <left style="thin">
        <color theme="0"/>
      </left>
      <right/>
      <top/>
      <bottom/>
      <diagonal/>
    </border>
    <border>
      <left style="thin">
        <color theme="0"/>
      </left>
      <right style="thin">
        <color theme="0"/>
      </right>
      <top style="thin">
        <color theme="0"/>
      </top>
      <bottom style="medium">
        <color indexed="64"/>
      </bottom>
      <diagonal/>
    </border>
    <border>
      <left style="thin">
        <color theme="0"/>
      </left>
      <right style="thin">
        <color theme="0"/>
      </right>
      <top/>
      <bottom style="thin">
        <color theme="0"/>
      </bottom>
      <diagonal/>
    </border>
    <border>
      <left style="medium">
        <color theme="3"/>
      </left>
      <right style="thin">
        <color theme="0"/>
      </right>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medium">
        <color theme="3"/>
      </left>
      <right style="thin">
        <color theme="0"/>
      </right>
      <top style="thin">
        <color theme="0"/>
      </top>
      <bottom style="medium">
        <color indexed="64"/>
      </bottom>
      <diagonal/>
    </border>
    <border>
      <left style="thin">
        <color theme="0"/>
      </left>
      <right/>
      <top style="thin">
        <color theme="0"/>
      </top>
      <bottom style="medium">
        <color indexed="64"/>
      </bottom>
      <diagonal/>
    </border>
    <border>
      <left style="thin">
        <color indexed="64"/>
      </left>
      <right style="thin">
        <color indexed="64"/>
      </right>
      <top style="thin">
        <color indexed="64"/>
      </top>
      <bottom style="thin">
        <color indexed="64"/>
      </bottom>
      <diagonal/>
    </border>
    <border>
      <left style="medium">
        <color theme="3"/>
      </left>
      <right style="thin">
        <color theme="0"/>
      </right>
      <top/>
      <bottom/>
      <diagonal/>
    </border>
  </borders>
  <cellStyleXfs count="14">
    <xf numFmtId="0" fontId="0" fillId="0" borderId="0"/>
    <xf numFmtId="0" fontId="1" fillId="0" borderId="0" applyNumberFormat="0" applyBorder="0" applyAlignment="0"/>
    <xf numFmtId="0" fontId="1" fillId="0" borderId="0" applyNumberFormat="0" applyBorder="0" applyAlignment="0"/>
    <xf numFmtId="164" fontId="2" fillId="0" borderId="0" applyFont="0" applyFill="0" applyBorder="0" applyAlignment="0" applyProtection="0"/>
    <xf numFmtId="0" fontId="5" fillId="0" borderId="0"/>
    <xf numFmtId="43" fontId="2" fillId="0" borderId="0" applyFont="0" applyFill="0" applyBorder="0" applyAlignment="0" applyProtection="0"/>
    <xf numFmtId="0" fontId="5" fillId="0" borderId="0"/>
    <xf numFmtId="9" fontId="2" fillId="0" borderId="0" applyFont="0" applyFill="0" applyBorder="0" applyAlignment="0" applyProtection="0"/>
    <xf numFmtId="0" fontId="22" fillId="0" borderId="0"/>
    <xf numFmtId="0" fontId="22" fillId="0" borderId="0" applyNumberFormat="0" applyFont="0" applyFill="0" applyBorder="0" applyAlignment="0" applyProtection="0"/>
    <xf numFmtId="0" fontId="2" fillId="0" borderId="0"/>
    <xf numFmtId="164"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cellStyleXfs>
  <cellXfs count="285">
    <xf numFmtId="0" fontId="0" fillId="0" borderId="0" xfId="0"/>
    <xf numFmtId="165" fontId="0" fillId="0" borderId="0" xfId="3" applyNumberFormat="1" applyFont="1"/>
    <xf numFmtId="165" fontId="0" fillId="0" borderId="0" xfId="0" applyNumberFormat="1"/>
    <xf numFmtId="0" fontId="6" fillId="5" borderId="2" xfId="4" applyFont="1" applyFill="1" applyBorder="1" applyAlignment="1">
      <alignment horizontal="center"/>
    </xf>
    <xf numFmtId="0" fontId="6" fillId="5" borderId="3" xfId="4" applyFont="1" applyFill="1" applyBorder="1" applyAlignment="1">
      <alignment horizontal="center"/>
    </xf>
    <xf numFmtId="0" fontId="6" fillId="5" borderId="0" xfId="4" applyFont="1" applyFill="1" applyBorder="1" applyAlignment="1">
      <alignment horizontal="center"/>
    </xf>
    <xf numFmtId="0" fontId="6" fillId="0" borderId="4" xfId="4" applyFont="1" applyFill="1" applyBorder="1" applyAlignment="1">
      <alignment horizontal="right" wrapText="1"/>
    </xf>
    <xf numFmtId="0" fontId="6" fillId="0" borderId="4" xfId="4" applyFont="1" applyFill="1" applyBorder="1" applyAlignment="1">
      <alignment horizontal="left" wrapText="1"/>
    </xf>
    <xf numFmtId="0" fontId="5" fillId="0" borderId="0" xfId="4"/>
    <xf numFmtId="0" fontId="6" fillId="0" borderId="4" xfId="4" applyFont="1" applyFill="1" applyBorder="1" applyAlignment="1">
      <alignment wrapText="1"/>
    </xf>
    <xf numFmtId="22" fontId="6" fillId="0" borderId="4" xfId="4" applyNumberFormat="1" applyFont="1" applyFill="1" applyBorder="1" applyAlignment="1">
      <alignment horizontal="right" wrapText="1"/>
    </xf>
    <xf numFmtId="167" fontId="0" fillId="0" borderId="0" xfId="5" applyNumberFormat="1" applyFont="1"/>
    <xf numFmtId="0" fontId="5" fillId="0" borderId="0" xfId="4" applyBorder="1"/>
    <xf numFmtId="0" fontId="6" fillId="6" borderId="4" xfId="4" applyFont="1" applyFill="1" applyBorder="1" applyAlignment="1">
      <alignment horizontal="right" wrapText="1"/>
    </xf>
    <xf numFmtId="0" fontId="6" fillId="7" borderId="4" xfId="4" applyFont="1" applyFill="1" applyBorder="1" applyAlignment="1">
      <alignment horizontal="right" wrapText="1"/>
    </xf>
    <xf numFmtId="0" fontId="6" fillId="8" borderId="4" xfId="4" applyFont="1" applyFill="1" applyBorder="1" applyAlignment="1">
      <alignment horizontal="right" wrapText="1"/>
    </xf>
    <xf numFmtId="9" fontId="6" fillId="0" borderId="4" xfId="4" applyNumberFormat="1" applyFont="1" applyFill="1" applyBorder="1" applyAlignment="1">
      <alignment wrapText="1"/>
    </xf>
    <xf numFmtId="0" fontId="6" fillId="9" borderId="4" xfId="4" applyFont="1" applyFill="1" applyBorder="1" applyAlignment="1">
      <alignment horizontal="right" wrapText="1"/>
    </xf>
    <xf numFmtId="0" fontId="6" fillId="10" borderId="4" xfId="4" applyFont="1" applyFill="1" applyBorder="1" applyAlignment="1">
      <alignment horizontal="right" wrapText="1"/>
    </xf>
    <xf numFmtId="0" fontId="6" fillId="0" borderId="4" xfId="6" applyFont="1" applyFill="1" applyBorder="1" applyAlignment="1">
      <alignment wrapText="1"/>
    </xf>
    <xf numFmtId="0" fontId="6" fillId="11" borderId="4" xfId="4" applyFont="1" applyFill="1" applyBorder="1" applyAlignment="1">
      <alignment horizontal="right" wrapText="1"/>
    </xf>
    <xf numFmtId="0" fontId="5" fillId="12" borderId="0" xfId="4" applyFill="1"/>
    <xf numFmtId="0" fontId="5" fillId="13" borderId="0" xfId="4" applyFill="1" applyBorder="1"/>
    <xf numFmtId="0" fontId="6" fillId="2" borderId="4" xfId="4" applyFont="1" applyFill="1" applyBorder="1" applyAlignment="1">
      <alignment horizontal="right" wrapText="1"/>
    </xf>
    <xf numFmtId="168" fontId="7" fillId="14" borderId="5" xfId="1" applyNumberFormat="1" applyFont="1" applyFill="1" applyBorder="1" applyAlignment="1" applyProtection="1"/>
    <xf numFmtId="0" fontId="8" fillId="0" borderId="0" xfId="1" applyFont="1" applyFill="1" applyBorder="1" applyProtection="1"/>
    <xf numFmtId="0" fontId="6" fillId="15" borderId="4" xfId="4" applyFont="1" applyFill="1" applyBorder="1" applyAlignment="1">
      <alignment horizontal="right" wrapText="1"/>
    </xf>
    <xf numFmtId="0" fontId="6" fillId="13" borderId="4" xfId="4" applyFont="1" applyFill="1" applyBorder="1" applyAlignment="1">
      <alignment horizontal="right" wrapText="1"/>
    </xf>
    <xf numFmtId="0" fontId="6" fillId="16" borderId="4" xfId="4" applyFont="1" applyFill="1" applyBorder="1" applyAlignment="1">
      <alignment horizontal="right" wrapText="1"/>
    </xf>
    <xf numFmtId="0" fontId="5" fillId="13" borderId="0" xfId="4" applyFill="1"/>
    <xf numFmtId="0" fontId="0" fillId="0" borderId="0" xfId="0" applyBorder="1"/>
    <xf numFmtId="0" fontId="6" fillId="0" borderId="6" xfId="4" applyFont="1" applyFill="1" applyBorder="1" applyAlignment="1">
      <alignment horizontal="left" wrapText="1"/>
    </xf>
    <xf numFmtId="0" fontId="6" fillId="0" borderId="6" xfId="4" applyFont="1" applyFill="1" applyBorder="1" applyAlignment="1">
      <alignment horizontal="right" wrapText="1"/>
    </xf>
    <xf numFmtId="9" fontId="0" fillId="0" borderId="0" xfId="0" applyNumberFormat="1" applyBorder="1"/>
    <xf numFmtId="0" fontId="8" fillId="0" borderId="0" xfId="0" applyFont="1" applyBorder="1"/>
    <xf numFmtId="0" fontId="6" fillId="0" borderId="7" xfId="4" applyFont="1" applyFill="1" applyBorder="1" applyAlignment="1">
      <alignment horizontal="left" wrapText="1"/>
    </xf>
    <xf numFmtId="0" fontId="6" fillId="0" borderId="8" xfId="4" applyFont="1" applyFill="1" applyBorder="1" applyAlignment="1">
      <alignment horizontal="left" wrapText="1"/>
    </xf>
    <xf numFmtId="0" fontId="0" fillId="0" borderId="0" xfId="0" applyFill="1" applyBorder="1"/>
    <xf numFmtId="0" fontId="6" fillId="0" borderId="0" xfId="4" applyFont="1" applyFill="1" applyBorder="1" applyAlignment="1">
      <alignment horizontal="right" wrapText="1"/>
    </xf>
    <xf numFmtId="9" fontId="0" fillId="0" borderId="0" xfId="0" applyNumberFormat="1"/>
    <xf numFmtId="0" fontId="9" fillId="5" borderId="2" xfId="4" applyFont="1" applyFill="1" applyBorder="1" applyAlignment="1">
      <alignment horizontal="center"/>
    </xf>
    <xf numFmtId="0" fontId="9" fillId="20" borderId="2" xfId="4" applyFont="1" applyFill="1" applyBorder="1" applyAlignment="1">
      <alignment horizontal="center"/>
    </xf>
    <xf numFmtId="0" fontId="9" fillId="19" borderId="2" xfId="4" applyFont="1" applyFill="1" applyBorder="1" applyAlignment="1">
      <alignment horizontal="center"/>
    </xf>
    <xf numFmtId="0" fontId="9" fillId="18" borderId="2" xfId="4" applyFont="1" applyFill="1" applyBorder="1" applyAlignment="1">
      <alignment horizontal="center"/>
    </xf>
    <xf numFmtId="0" fontId="9" fillId="17" borderId="2" xfId="4" applyFont="1" applyFill="1" applyBorder="1" applyAlignment="1">
      <alignment horizontal="center"/>
    </xf>
    <xf numFmtId="0" fontId="2" fillId="0" borderId="0" xfId="0" applyFont="1"/>
    <xf numFmtId="0" fontId="9" fillId="0" borderId="4" xfId="4" applyFont="1" applyFill="1" applyBorder="1" applyAlignment="1">
      <alignment horizontal="right" wrapText="1"/>
    </xf>
    <xf numFmtId="0" fontId="9" fillId="0" borderId="4" xfId="4" applyFont="1" applyFill="1" applyBorder="1" applyAlignment="1">
      <alignment horizontal="left" wrapText="1"/>
    </xf>
    <xf numFmtId="0" fontId="9" fillId="0" borderId="4" xfId="4" applyFont="1" applyFill="1" applyBorder="1" applyAlignment="1">
      <alignment wrapText="1"/>
    </xf>
    <xf numFmtId="0" fontId="5" fillId="0" borderId="0" xfId="4" applyFont="1"/>
    <xf numFmtId="9" fontId="9" fillId="0" borderId="4" xfId="4" applyNumberFormat="1" applyFont="1" applyFill="1" applyBorder="1" applyAlignment="1">
      <alignment wrapText="1"/>
    </xf>
    <xf numFmtId="0" fontId="2" fillId="0" borderId="0" xfId="0" applyFont="1" applyBorder="1"/>
    <xf numFmtId="0" fontId="9" fillId="0" borderId="6" xfId="4" applyFont="1" applyFill="1" applyBorder="1" applyAlignment="1">
      <alignment horizontal="left" wrapText="1"/>
    </xf>
    <xf numFmtId="9" fontId="2" fillId="0" borderId="0" xfId="0" applyNumberFormat="1" applyFont="1" applyBorder="1"/>
    <xf numFmtId="0" fontId="9" fillId="0" borderId="8" xfId="4" applyFont="1" applyFill="1" applyBorder="1" applyAlignment="1">
      <alignment horizontal="left" wrapText="1"/>
    </xf>
    <xf numFmtId="0" fontId="9" fillId="0" borderId="7" xfId="4" applyFont="1" applyFill="1" applyBorder="1" applyAlignment="1">
      <alignment horizontal="left" wrapText="1"/>
    </xf>
    <xf numFmtId="0" fontId="10" fillId="0" borderId="0" xfId="0" applyFont="1"/>
    <xf numFmtId="0" fontId="11" fillId="0" borderId="4" xfId="4" applyFont="1" applyFill="1" applyBorder="1" applyAlignment="1">
      <alignment horizontal="left" wrapText="1"/>
    </xf>
    <xf numFmtId="0" fontId="2" fillId="0" borderId="0" xfId="0" applyFont="1" applyAlignment="1">
      <alignment horizontal="left"/>
    </xf>
    <xf numFmtId="0" fontId="0" fillId="0" borderId="0" xfId="0" applyFont="1" applyAlignment="1">
      <alignment horizontal="left"/>
    </xf>
    <xf numFmtId="0" fontId="10" fillId="0" borderId="0" xfId="0" applyFont="1" applyAlignment="1">
      <alignment horizontal="left"/>
    </xf>
    <xf numFmtId="0" fontId="2" fillId="0" borderId="0" xfId="0" applyFont="1" applyAlignment="1">
      <alignment horizontal="left" vertical="center"/>
    </xf>
    <xf numFmtId="0" fontId="4" fillId="0" borderId="0" xfId="0" applyFont="1" applyAlignment="1">
      <alignment horizontal="left"/>
    </xf>
    <xf numFmtId="166" fontId="3" fillId="0" borderId="0" xfId="0" applyNumberFormat="1" applyFont="1"/>
    <xf numFmtId="0" fontId="2" fillId="0" borderId="4" xfId="0" applyFont="1" applyBorder="1"/>
    <xf numFmtId="0" fontId="9" fillId="0" borderId="0" xfId="4" applyFont="1" applyFill="1" applyBorder="1" applyAlignment="1">
      <alignment horizontal="right" wrapText="1"/>
    </xf>
    <xf numFmtId="0" fontId="9" fillId="0" borderId="0" xfId="4" applyFont="1" applyFill="1" applyBorder="1" applyAlignment="1">
      <alignment horizontal="left" wrapText="1"/>
    </xf>
    <xf numFmtId="0" fontId="0" fillId="0" borderId="4" xfId="0" applyFill="1" applyBorder="1"/>
    <xf numFmtId="0" fontId="5" fillId="0" borderId="4" xfId="4" applyBorder="1"/>
    <xf numFmtId="0" fontId="0" fillId="0" borderId="4" xfId="0" applyBorder="1"/>
    <xf numFmtId="0" fontId="9" fillId="0" borderId="0" xfId="4" applyFont="1" applyFill="1" applyBorder="1" applyAlignment="1">
      <alignment wrapText="1"/>
    </xf>
    <xf numFmtId="0" fontId="6" fillId="0" borderId="0" xfId="4" applyFont="1" applyFill="1" applyBorder="1" applyAlignment="1">
      <alignment wrapText="1"/>
    </xf>
    <xf numFmtId="0" fontId="6" fillId="9" borderId="0" xfId="4" applyFont="1" applyFill="1" applyBorder="1" applyAlignment="1">
      <alignment horizontal="right" wrapText="1"/>
    </xf>
    <xf numFmtId="0" fontId="6" fillId="11" borderId="0" xfId="4" applyFont="1" applyFill="1" applyBorder="1" applyAlignment="1">
      <alignment horizontal="right" wrapText="1"/>
    </xf>
    <xf numFmtId="0" fontId="5" fillId="13" borderId="4" xfId="4" applyFill="1" applyBorder="1"/>
    <xf numFmtId="22" fontId="6" fillId="0" borderId="0" xfId="4" applyNumberFormat="1" applyFont="1" applyFill="1" applyBorder="1" applyAlignment="1">
      <alignment horizontal="right" wrapText="1"/>
    </xf>
    <xf numFmtId="0" fontId="5" fillId="0" borderId="4" xfId="4" applyFont="1" applyBorder="1"/>
    <xf numFmtId="166" fontId="3" fillId="0" borderId="4" xfId="0" applyNumberFormat="1" applyFont="1" applyBorder="1"/>
    <xf numFmtId="9" fontId="2" fillId="0" borderId="4" xfId="0" applyNumberFormat="1" applyFont="1" applyBorder="1"/>
    <xf numFmtId="0" fontId="6" fillId="0" borderId="0" xfId="4" applyFont="1" applyFill="1" applyBorder="1" applyAlignment="1">
      <alignment horizontal="left" wrapText="1"/>
    </xf>
    <xf numFmtId="164" fontId="0" fillId="0" borderId="0" xfId="0" applyNumberFormat="1"/>
    <xf numFmtId="168" fontId="12" fillId="0" borderId="0" xfId="0" applyNumberFormat="1" applyFont="1"/>
    <xf numFmtId="0" fontId="0" fillId="0" borderId="1" xfId="0" applyFont="1" applyFill="1" applyBorder="1"/>
    <xf numFmtId="169" fontId="0" fillId="27" borderId="9" xfId="0" applyNumberFormat="1" applyFont="1" applyFill="1" applyBorder="1" applyAlignment="1" applyProtection="1">
      <alignment horizontal="center" vertical="top"/>
      <protection hidden="1"/>
    </xf>
    <xf numFmtId="0" fontId="4" fillId="28" borderId="9" xfId="0" applyFont="1" applyFill="1" applyBorder="1" applyAlignment="1" applyProtection="1">
      <alignment horizontal="left" vertical="top" wrapText="1"/>
      <protection hidden="1"/>
    </xf>
    <xf numFmtId="0" fontId="4" fillId="28" borderId="9" xfId="0" applyFont="1" applyFill="1" applyBorder="1" applyAlignment="1" applyProtection="1">
      <alignment horizontal="center" vertical="top" wrapText="1"/>
      <protection hidden="1"/>
    </xf>
    <xf numFmtId="0" fontId="4" fillId="23" borderId="9" xfId="0" applyFont="1" applyFill="1" applyBorder="1" applyAlignment="1" applyProtection="1">
      <alignment horizontal="center" vertical="top"/>
      <protection hidden="1"/>
    </xf>
    <xf numFmtId="0" fontId="0" fillId="27" borderId="9" xfId="0" applyNumberFormat="1" applyFont="1" applyFill="1" applyBorder="1" applyAlignment="1" applyProtection="1">
      <alignment horizontal="left" vertical="top"/>
      <protection hidden="1"/>
    </xf>
    <xf numFmtId="0" fontId="0" fillId="27" borderId="9" xfId="0" applyNumberFormat="1" applyFont="1" applyFill="1" applyBorder="1" applyAlignment="1" applyProtection="1">
      <alignment horizontal="center" vertical="top"/>
      <protection hidden="1"/>
    </xf>
    <xf numFmtId="0" fontId="14" fillId="0" borderId="15" xfId="0" applyFont="1" applyBorder="1" applyAlignment="1">
      <alignment horizontal="center"/>
    </xf>
    <xf numFmtId="0" fontId="14" fillId="33" borderId="15" xfId="0" applyFont="1" applyFill="1" applyBorder="1" applyAlignment="1">
      <alignment horizontal="center"/>
    </xf>
    <xf numFmtId="0" fontId="14" fillId="15" borderId="15" xfId="0" applyFont="1" applyFill="1" applyBorder="1" applyAlignment="1">
      <alignment horizontal="center"/>
    </xf>
    <xf numFmtId="0" fontId="16" fillId="0" borderId="0" xfId="0" applyFont="1" applyBorder="1"/>
    <xf numFmtId="0" fontId="0" fillId="34" borderId="0" xfId="0" applyFill="1"/>
    <xf numFmtId="0" fontId="20" fillId="0" borderId="0" xfId="0" applyFont="1" applyAlignment="1">
      <alignment vertical="top" wrapText="1"/>
    </xf>
    <xf numFmtId="169" fontId="0" fillId="27" borderId="10" xfId="0" applyNumberFormat="1" applyFont="1" applyFill="1" applyBorder="1" applyAlignment="1" applyProtection="1">
      <alignment horizontal="center" vertical="top"/>
      <protection hidden="1"/>
    </xf>
    <xf numFmtId="0" fontId="4" fillId="28" borderId="12" xfId="0" applyFont="1" applyFill="1" applyBorder="1" applyAlignment="1" applyProtection="1">
      <alignment horizontal="center" vertical="top" wrapText="1"/>
      <protection hidden="1"/>
    </xf>
    <xf numFmtId="169" fontId="0" fillId="27" borderId="12" xfId="0" applyNumberFormat="1" applyFont="1" applyFill="1" applyBorder="1" applyAlignment="1" applyProtection="1">
      <alignment horizontal="center" vertical="top"/>
      <protection hidden="1"/>
    </xf>
    <xf numFmtId="169" fontId="0" fillId="27" borderId="21" xfId="0" applyNumberFormat="1" applyFont="1" applyFill="1" applyBorder="1" applyAlignment="1" applyProtection="1">
      <alignment horizontal="center" vertical="top"/>
      <protection hidden="1"/>
    </xf>
    <xf numFmtId="0" fontId="0" fillId="0" borderId="0" xfId="0" pivotButton="1"/>
    <xf numFmtId="0" fontId="13" fillId="36" borderId="18" xfId="0" applyFont="1" applyFill="1" applyBorder="1" applyAlignment="1" applyProtection="1">
      <alignment horizontal="center" vertical="top" wrapText="1"/>
      <protection hidden="1"/>
    </xf>
    <xf numFmtId="0" fontId="13" fillId="36" borderId="19" xfId="0" applyFont="1" applyFill="1" applyBorder="1" applyAlignment="1" applyProtection="1">
      <alignment horizontal="center" vertical="top" wrapText="1"/>
      <protection hidden="1"/>
    </xf>
    <xf numFmtId="0" fontId="13" fillId="24" borderId="19" xfId="0" applyFont="1" applyFill="1" applyBorder="1" applyAlignment="1" applyProtection="1">
      <alignment horizontal="center" vertical="top" wrapText="1"/>
      <protection hidden="1"/>
    </xf>
    <xf numFmtId="0" fontId="13" fillId="15" borderId="19" xfId="0" applyFont="1" applyFill="1" applyBorder="1" applyAlignment="1" applyProtection="1">
      <alignment horizontal="center" vertical="top" wrapText="1"/>
      <protection hidden="1"/>
    </xf>
    <xf numFmtId="0" fontId="13" fillId="12" borderId="19" xfId="0" applyFont="1" applyFill="1" applyBorder="1" applyAlignment="1" applyProtection="1">
      <alignment horizontal="center" vertical="top" wrapText="1"/>
      <protection hidden="1"/>
    </xf>
    <xf numFmtId="0" fontId="0" fillId="0" borderId="9" xfId="0" applyFill="1" applyBorder="1"/>
    <xf numFmtId="0" fontId="0" fillId="0" borderId="9" xfId="0" applyBorder="1"/>
    <xf numFmtId="0" fontId="25" fillId="35" borderId="26" xfId="0" applyFont="1" applyFill="1" applyBorder="1" applyAlignment="1">
      <alignment horizontal="center" vertical="center" wrapText="1"/>
    </xf>
    <xf numFmtId="0" fontId="0" fillId="0" borderId="0" xfId="0" applyAlignment="1">
      <alignment horizontal="center" vertical="center"/>
    </xf>
    <xf numFmtId="0" fontId="23" fillId="39" borderId="24" xfId="0" applyFont="1" applyFill="1" applyBorder="1" applyAlignment="1">
      <alignment horizontal="center" vertical="center" wrapText="1" readingOrder="1"/>
    </xf>
    <xf numFmtId="0" fontId="0" fillId="0" borderId="27" xfId="0" applyBorder="1"/>
    <xf numFmtId="0" fontId="23" fillId="26" borderId="24" xfId="0" applyFont="1" applyFill="1" applyBorder="1" applyAlignment="1">
      <alignment horizontal="center" vertical="center" wrapText="1" readingOrder="1"/>
    </xf>
    <xf numFmtId="0" fontId="28" fillId="0" borderId="0" xfId="0" applyFont="1" applyFill="1" applyBorder="1" applyAlignment="1">
      <alignment horizontal="center" vertical="center" wrapText="1" readingOrder="1"/>
    </xf>
    <xf numFmtId="0" fontId="25" fillId="0" borderId="0" xfId="0" applyFont="1" applyFill="1" applyBorder="1" applyAlignment="1">
      <alignment horizontal="center" vertical="center" wrapText="1"/>
    </xf>
    <xf numFmtId="0" fontId="26" fillId="0" borderId="26" xfId="0" applyFont="1" applyFill="1" applyBorder="1" applyAlignment="1">
      <alignment horizontal="center" vertical="center" wrapText="1"/>
    </xf>
    <xf numFmtId="0" fontId="26" fillId="0" borderId="0" xfId="0" applyFont="1" applyFill="1" applyBorder="1" applyAlignment="1">
      <alignment horizontal="center" vertical="center" wrapText="1"/>
    </xf>
    <xf numFmtId="0" fontId="31" fillId="0" borderId="0" xfId="0" applyFont="1" applyFill="1" applyBorder="1" applyAlignment="1">
      <alignment horizontal="center" wrapText="1"/>
    </xf>
    <xf numFmtId="0" fontId="0" fillId="0" borderId="0" xfId="0" applyFill="1"/>
    <xf numFmtId="170" fontId="26" fillId="35" borderId="26" xfId="0" applyNumberFormat="1" applyFont="1" applyFill="1" applyBorder="1" applyAlignment="1">
      <alignment horizontal="center" vertical="center" wrapText="1"/>
    </xf>
    <xf numFmtId="0" fontId="33" fillId="39" borderId="24" xfId="0" applyFont="1" applyFill="1" applyBorder="1" applyAlignment="1">
      <alignment horizontal="center" vertical="center" wrapText="1" readingOrder="1"/>
    </xf>
    <xf numFmtId="0" fontId="33" fillId="26" borderId="24" xfId="0" applyFont="1" applyFill="1" applyBorder="1" applyAlignment="1">
      <alignment horizontal="center" vertical="center" wrapText="1" readingOrder="1"/>
    </xf>
    <xf numFmtId="170" fontId="38" fillId="27" borderId="28" xfId="0" applyNumberFormat="1" applyFont="1" applyFill="1" applyBorder="1" applyAlignment="1">
      <alignment horizontal="center" vertical="center" wrapText="1"/>
    </xf>
    <xf numFmtId="0" fontId="26" fillId="40" borderId="26" xfId="0" applyFont="1" applyFill="1" applyBorder="1" applyAlignment="1">
      <alignment horizontal="center" vertical="center" wrapText="1"/>
    </xf>
    <xf numFmtId="0" fontId="30" fillId="30" borderId="30" xfId="0" applyFont="1" applyFill="1" applyBorder="1" applyAlignment="1">
      <alignment horizontal="center" vertical="center" wrapText="1"/>
    </xf>
    <xf numFmtId="0" fontId="45" fillId="25" borderId="0" xfId="0" applyFont="1" applyFill="1" applyBorder="1" applyAlignment="1">
      <alignment horizontal="center" vertical="center" wrapText="1"/>
    </xf>
    <xf numFmtId="0" fontId="46" fillId="0" borderId="31" xfId="0" applyFont="1" applyBorder="1" applyAlignment="1">
      <alignment horizontal="center" vertical="center" wrapText="1"/>
    </xf>
    <xf numFmtId="0" fontId="0" fillId="0" borderId="30" xfId="0" applyBorder="1"/>
    <xf numFmtId="0" fontId="0" fillId="0" borderId="34" xfId="0" applyBorder="1"/>
    <xf numFmtId="0" fontId="19" fillId="0" borderId="27" xfId="0" applyFont="1" applyBorder="1" applyAlignment="1">
      <alignment horizontal="left"/>
    </xf>
    <xf numFmtId="0" fontId="0" fillId="0" borderId="0" xfId="0" applyFont="1" applyFill="1" applyBorder="1"/>
    <xf numFmtId="170" fontId="39" fillId="27" borderId="0" xfId="0" applyNumberFormat="1" applyFont="1" applyFill="1" applyBorder="1" applyAlignment="1">
      <alignment horizontal="center" vertical="center" wrapText="1"/>
    </xf>
    <xf numFmtId="170" fontId="48" fillId="27" borderId="0" xfId="0" applyNumberFormat="1" applyFont="1" applyFill="1" applyBorder="1" applyAlignment="1">
      <alignment horizontal="left" vertical="center" wrapText="1"/>
    </xf>
    <xf numFmtId="170" fontId="38" fillId="27" borderId="0" xfId="0" applyNumberFormat="1" applyFont="1" applyFill="1" applyBorder="1" applyAlignment="1">
      <alignment horizontal="center" vertical="center" wrapText="1"/>
    </xf>
    <xf numFmtId="0" fontId="49" fillId="0" borderId="1" xfId="0" applyFont="1" applyFill="1" applyBorder="1"/>
    <xf numFmtId="165" fontId="49" fillId="0" borderId="0" xfId="3" applyNumberFormat="1" applyFont="1"/>
    <xf numFmtId="0" fontId="0" fillId="41" borderId="9" xfId="0" applyNumberFormat="1" applyFont="1" applyFill="1" applyBorder="1" applyAlignment="1" applyProtection="1">
      <alignment horizontal="left" vertical="top"/>
      <protection hidden="1"/>
    </xf>
    <xf numFmtId="0" fontId="0" fillId="27" borderId="38" xfId="0" applyNumberFormat="1" applyFont="1" applyFill="1" applyBorder="1" applyAlignment="1" applyProtection="1">
      <alignment horizontal="center" vertical="top"/>
      <protection hidden="1"/>
    </xf>
    <xf numFmtId="169" fontId="0" fillId="27" borderId="39" xfId="0" applyNumberFormat="1" applyFont="1" applyFill="1" applyBorder="1" applyAlignment="1" applyProtection="1">
      <alignment horizontal="center" vertical="top"/>
      <protection hidden="1"/>
    </xf>
    <xf numFmtId="169" fontId="0" fillId="27" borderId="40" xfId="0" applyNumberFormat="1" applyFont="1" applyFill="1" applyBorder="1" applyAlignment="1" applyProtection="1">
      <alignment horizontal="center" vertical="top"/>
      <protection hidden="1"/>
    </xf>
    <xf numFmtId="0" fontId="0" fillId="27" borderId="42" xfId="0" applyNumberFormat="1" applyFont="1" applyFill="1" applyBorder="1" applyAlignment="1" applyProtection="1">
      <alignment horizontal="left" vertical="top"/>
      <protection hidden="1"/>
    </xf>
    <xf numFmtId="0" fontId="0" fillId="27" borderId="42" xfId="0" applyNumberFormat="1" applyFont="1" applyFill="1" applyBorder="1" applyAlignment="1" applyProtection="1">
      <alignment horizontal="center" vertical="top"/>
      <protection hidden="1"/>
    </xf>
    <xf numFmtId="169" fontId="0" fillId="27" borderId="43" xfId="0" applyNumberFormat="1" applyFont="1" applyFill="1" applyBorder="1" applyAlignment="1" applyProtection="1">
      <alignment horizontal="center" vertical="top"/>
      <protection hidden="1"/>
    </xf>
    <xf numFmtId="169" fontId="0" fillId="27" borderId="42" xfId="0" applyNumberFormat="1" applyFont="1" applyFill="1" applyBorder="1" applyAlignment="1" applyProtection="1">
      <alignment horizontal="center" vertical="top"/>
      <protection hidden="1"/>
    </xf>
    <xf numFmtId="169" fontId="0" fillId="27" borderId="44" xfId="0" applyNumberFormat="1" applyFont="1" applyFill="1" applyBorder="1" applyAlignment="1" applyProtection="1">
      <alignment horizontal="center" vertical="top"/>
      <protection hidden="1"/>
    </xf>
    <xf numFmtId="169" fontId="0" fillId="27" borderId="45" xfId="0" applyNumberFormat="1" applyFont="1" applyFill="1" applyBorder="1" applyAlignment="1" applyProtection="1">
      <alignment horizontal="center" vertical="top"/>
      <protection hidden="1"/>
    </xf>
    <xf numFmtId="0" fontId="0" fillId="27" borderId="41" xfId="0" applyNumberFormat="1" applyFont="1" applyFill="1" applyBorder="1" applyAlignment="1" applyProtection="1">
      <alignment horizontal="left" vertical="top"/>
      <protection hidden="1"/>
    </xf>
    <xf numFmtId="0" fontId="0" fillId="27" borderId="41" xfId="0" applyNumberFormat="1" applyFont="1" applyFill="1" applyBorder="1" applyAlignment="1" applyProtection="1">
      <alignment horizontal="center" vertical="top"/>
      <protection hidden="1"/>
    </xf>
    <xf numFmtId="169" fontId="0" fillId="27" borderId="46" xfId="0" applyNumberFormat="1" applyFont="1" applyFill="1" applyBorder="1" applyAlignment="1" applyProtection="1">
      <alignment horizontal="center" vertical="top"/>
      <protection hidden="1"/>
    </xf>
    <xf numFmtId="169" fontId="0" fillId="27" borderId="41" xfId="0" applyNumberFormat="1" applyFont="1" applyFill="1" applyBorder="1" applyAlignment="1" applyProtection="1">
      <alignment horizontal="center" vertical="top"/>
      <protection hidden="1"/>
    </xf>
    <xf numFmtId="169" fontId="0" fillId="27" borderId="47" xfId="0" applyNumberFormat="1" applyFont="1" applyFill="1" applyBorder="1" applyAlignment="1" applyProtection="1">
      <alignment horizontal="center" vertical="top"/>
      <protection hidden="1"/>
    </xf>
    <xf numFmtId="170" fontId="29" fillId="27" borderId="0" xfId="0" applyNumberFormat="1" applyFont="1" applyFill="1" applyBorder="1" applyAlignment="1">
      <alignment horizontal="center" vertical="center" wrapText="1"/>
    </xf>
    <xf numFmtId="0" fontId="24" fillId="37" borderId="0" xfId="0" applyFont="1" applyFill="1" applyBorder="1" applyAlignment="1">
      <alignment horizontal="center" vertical="center" wrapText="1" readingOrder="1"/>
    </xf>
    <xf numFmtId="0" fontId="37" fillId="37" borderId="0" xfId="0" applyFont="1" applyFill="1" applyBorder="1" applyAlignment="1">
      <alignment horizontal="center" vertical="center" wrapText="1" readingOrder="1"/>
    </xf>
    <xf numFmtId="0" fontId="0" fillId="0" borderId="17" xfId="0" applyBorder="1"/>
    <xf numFmtId="170" fontId="38" fillId="27" borderId="23" xfId="0" applyNumberFormat="1" applyFont="1" applyFill="1" applyBorder="1" applyAlignment="1">
      <alignment horizontal="center" vertical="center" wrapText="1"/>
    </xf>
    <xf numFmtId="0" fontId="37" fillId="38" borderId="0" xfId="0" applyFont="1" applyFill="1" applyBorder="1" applyAlignment="1">
      <alignment horizontal="center" vertical="center" wrapText="1" readingOrder="1"/>
    </xf>
    <xf numFmtId="170" fontId="32" fillId="27" borderId="0" xfId="0" applyNumberFormat="1" applyFont="1" applyFill="1" applyBorder="1" applyAlignment="1">
      <alignment horizontal="center" vertical="center" wrapText="1"/>
    </xf>
    <xf numFmtId="170" fontId="26" fillId="35" borderId="23" xfId="0" applyNumberFormat="1" applyFont="1" applyFill="1" applyBorder="1" applyAlignment="1">
      <alignment horizontal="center" vertical="center" wrapText="1"/>
    </xf>
    <xf numFmtId="0" fontId="24" fillId="38" borderId="0" xfId="0" applyFont="1" applyFill="1" applyBorder="1" applyAlignment="1">
      <alignment horizontal="center" vertical="center" wrapText="1" readingOrder="1"/>
    </xf>
    <xf numFmtId="0" fontId="4" fillId="23" borderId="38" xfId="0" applyFont="1" applyFill="1" applyBorder="1" applyAlignment="1" applyProtection="1">
      <alignment horizontal="center" vertical="top"/>
      <protection hidden="1"/>
    </xf>
    <xf numFmtId="0" fontId="50" fillId="0" borderId="0" xfId="0" applyFont="1"/>
    <xf numFmtId="0" fontId="28" fillId="28" borderId="9" xfId="0" applyFont="1" applyFill="1" applyBorder="1" applyAlignment="1" applyProtection="1">
      <alignment horizontal="center" vertical="center" wrapText="1"/>
      <protection hidden="1"/>
    </xf>
    <xf numFmtId="0" fontId="20" fillId="23" borderId="9" xfId="0" applyFont="1" applyFill="1" applyBorder="1" applyAlignment="1" applyProtection="1">
      <alignment horizontal="center" vertical="top"/>
      <protection hidden="1"/>
    </xf>
    <xf numFmtId="0" fontId="50" fillId="27" borderId="9" xfId="0" applyNumberFormat="1" applyFont="1" applyFill="1" applyBorder="1" applyAlignment="1" applyProtection="1">
      <alignment horizontal="left" vertical="top"/>
      <protection hidden="1"/>
    </xf>
    <xf numFmtId="0" fontId="50" fillId="27" borderId="9" xfId="0" applyNumberFormat="1" applyFont="1" applyFill="1" applyBorder="1" applyAlignment="1" applyProtection="1">
      <alignment horizontal="center" vertical="top"/>
      <protection hidden="1"/>
    </xf>
    <xf numFmtId="169" fontId="50" fillId="27" borderId="9" xfId="0" applyNumberFormat="1" applyFont="1" applyFill="1" applyBorder="1" applyAlignment="1" applyProtection="1">
      <alignment horizontal="center" vertical="top"/>
      <protection hidden="1"/>
    </xf>
    <xf numFmtId="9" fontId="50" fillId="27" borderId="9" xfId="7" applyFont="1" applyFill="1" applyBorder="1" applyAlignment="1" applyProtection="1">
      <alignment horizontal="center" vertical="top"/>
      <protection hidden="1"/>
    </xf>
    <xf numFmtId="1" fontId="50" fillId="27" borderId="9" xfId="7" applyNumberFormat="1" applyFont="1" applyFill="1" applyBorder="1" applyAlignment="1" applyProtection="1">
      <alignment horizontal="center" vertical="top"/>
      <protection hidden="1"/>
    </xf>
    <xf numFmtId="3" fontId="50" fillId="27" borderId="9" xfId="0" applyNumberFormat="1" applyFont="1" applyFill="1" applyBorder="1" applyAlignment="1" applyProtection="1">
      <alignment horizontal="center" vertical="top"/>
      <protection hidden="1"/>
    </xf>
    <xf numFmtId="165" fontId="50" fillId="27" borderId="9" xfId="3" applyNumberFormat="1" applyFont="1" applyFill="1" applyBorder="1" applyAlignment="1" applyProtection="1">
      <alignment horizontal="center" vertical="top"/>
      <protection hidden="1"/>
    </xf>
    <xf numFmtId="169" fontId="50" fillId="27" borderId="9" xfId="7" applyNumberFormat="1" applyFont="1" applyFill="1" applyBorder="1" applyAlignment="1" applyProtection="1">
      <alignment horizontal="center" vertical="top"/>
      <protection hidden="1"/>
    </xf>
    <xf numFmtId="169" fontId="50" fillId="27" borderId="9" xfId="0" applyNumberFormat="1" applyFont="1" applyFill="1" applyBorder="1" applyAlignment="1" applyProtection="1">
      <alignment horizontal="left" vertical="top"/>
      <protection hidden="1"/>
    </xf>
    <xf numFmtId="169" fontId="50" fillId="27" borderId="9" xfId="7" applyNumberFormat="1" applyFont="1" applyFill="1" applyBorder="1" applyAlignment="1" applyProtection="1">
      <alignment horizontal="left" vertical="top"/>
      <protection hidden="1"/>
    </xf>
    <xf numFmtId="169" fontId="50" fillId="27" borderId="9" xfId="7" applyNumberFormat="1" applyFont="1" applyFill="1" applyBorder="1" applyAlignment="1" applyProtection="1">
      <alignment horizontal="left" vertical="top" wrapText="1"/>
      <protection hidden="1"/>
    </xf>
    <xf numFmtId="171" fontId="50" fillId="27" borderId="9" xfId="0" applyNumberFormat="1" applyFont="1" applyFill="1" applyBorder="1" applyAlignment="1" applyProtection="1">
      <alignment horizontal="center" vertical="top"/>
      <protection hidden="1"/>
    </xf>
    <xf numFmtId="0" fontId="50" fillId="0" borderId="0" xfId="0" applyFont="1" applyAlignment="1">
      <alignment vertical="top" wrapText="1"/>
    </xf>
    <xf numFmtId="0" fontId="20" fillId="0" borderId="0" xfId="0" applyFont="1" applyAlignment="1">
      <alignment wrapText="1"/>
    </xf>
    <xf numFmtId="0" fontId="21" fillId="31" borderId="13" xfId="0" applyNumberFormat="1" applyFont="1" applyFill="1" applyBorder="1" applyAlignment="1">
      <alignment horizontal="left" vertical="center" indent="1"/>
    </xf>
    <xf numFmtId="9" fontId="21" fillId="31" borderId="13" xfId="7" applyFont="1" applyFill="1" applyBorder="1" applyAlignment="1">
      <alignment horizontal="left" vertical="center" indent="1"/>
    </xf>
    <xf numFmtId="0" fontId="50" fillId="33" borderId="15" xfId="0" applyFont="1" applyFill="1" applyBorder="1" applyAlignment="1">
      <alignment horizontal="center"/>
    </xf>
    <xf numFmtId="0" fontId="50" fillId="15" borderId="15" xfId="0" applyFont="1" applyFill="1" applyBorder="1" applyAlignment="1">
      <alignment horizontal="center"/>
    </xf>
    <xf numFmtId="0" fontId="50" fillId="0" borderId="15" xfId="0" applyFont="1" applyBorder="1" applyAlignment="1">
      <alignment horizontal="center"/>
    </xf>
    <xf numFmtId="0" fontId="20" fillId="28" borderId="9" xfId="0" applyFont="1" applyFill="1" applyBorder="1" applyAlignment="1" applyProtection="1">
      <alignment horizontal="center" vertical="center" wrapText="1"/>
      <protection hidden="1"/>
    </xf>
    <xf numFmtId="0" fontId="20" fillId="32" borderId="9" xfId="0" applyFont="1" applyFill="1" applyBorder="1" applyAlignment="1" applyProtection="1">
      <alignment horizontal="center" vertical="center" wrapText="1"/>
      <protection hidden="1"/>
    </xf>
    <xf numFmtId="0" fontId="20" fillId="22" borderId="9" xfId="0" applyFont="1" applyFill="1" applyBorder="1" applyAlignment="1" applyProtection="1">
      <alignment horizontal="center" vertical="center" wrapText="1"/>
      <protection hidden="1"/>
    </xf>
    <xf numFmtId="0" fontId="20" fillId="21" borderId="9" xfId="0" applyFont="1" applyFill="1" applyBorder="1" applyAlignment="1" applyProtection="1">
      <alignment horizontal="center" vertical="center" wrapText="1"/>
      <protection hidden="1"/>
    </xf>
    <xf numFmtId="0" fontId="20" fillId="16" borderId="9" xfId="0" applyFont="1" applyFill="1" applyBorder="1" applyAlignment="1" applyProtection="1">
      <alignment horizontal="center" vertical="center" wrapText="1"/>
      <protection hidden="1"/>
    </xf>
    <xf numFmtId="0" fontId="50" fillId="0" borderId="0" xfId="0" applyFont="1" applyAlignment="1">
      <alignment horizontal="center" vertical="center"/>
    </xf>
    <xf numFmtId="0" fontId="28" fillId="6" borderId="9" xfId="0" applyFont="1" applyFill="1" applyBorder="1" applyAlignment="1" applyProtection="1">
      <alignment horizontal="center" vertical="center"/>
      <protection hidden="1"/>
    </xf>
    <xf numFmtId="0" fontId="21" fillId="21" borderId="13" xfId="0" applyNumberFormat="1" applyFont="1" applyFill="1" applyBorder="1" applyAlignment="1">
      <alignment horizontal="left" vertical="center" indent="1"/>
    </xf>
    <xf numFmtId="0" fontId="51" fillId="0" borderId="0" xfId="0" applyFont="1" applyFill="1" applyBorder="1" applyAlignment="1" applyProtection="1">
      <alignment horizontal="left" vertical="top"/>
      <protection hidden="1"/>
    </xf>
    <xf numFmtId="0" fontId="20" fillId="28" borderId="48" xfId="0" applyFont="1" applyFill="1" applyBorder="1" applyAlignment="1" applyProtection="1">
      <alignment horizontal="center" vertical="top" wrapText="1"/>
      <protection hidden="1"/>
    </xf>
    <xf numFmtId="0" fontId="28" fillId="36" borderId="48" xfId="0" applyFont="1" applyFill="1" applyBorder="1" applyAlignment="1" applyProtection="1">
      <alignment horizontal="center" vertical="center" wrapText="1"/>
      <protection hidden="1"/>
    </xf>
    <xf numFmtId="0" fontId="28" fillId="24" borderId="48" xfId="0" applyFont="1" applyFill="1" applyBorder="1" applyAlignment="1" applyProtection="1">
      <alignment horizontal="center" vertical="center" wrapText="1"/>
      <protection hidden="1"/>
    </xf>
    <xf numFmtId="0" fontId="28" fillId="15" borderId="48" xfId="0" applyFont="1" applyFill="1" applyBorder="1" applyAlignment="1" applyProtection="1">
      <alignment horizontal="center" vertical="center" wrapText="1"/>
      <protection hidden="1"/>
    </xf>
    <xf numFmtId="0" fontId="50" fillId="0" borderId="48" xfId="0" applyFont="1" applyBorder="1" applyAlignment="1">
      <alignment horizontal="center" vertical="center"/>
    </xf>
    <xf numFmtId="169" fontId="0" fillId="21" borderId="10" xfId="0" applyNumberFormat="1" applyFont="1" applyFill="1" applyBorder="1" applyAlignment="1" applyProtection="1">
      <alignment horizontal="center" vertical="top"/>
      <protection hidden="1"/>
    </xf>
    <xf numFmtId="0" fontId="50" fillId="21" borderId="48" xfId="0" applyFont="1" applyFill="1" applyBorder="1" applyAlignment="1">
      <alignment horizontal="center" vertical="center"/>
    </xf>
    <xf numFmtId="0" fontId="20" fillId="0" borderId="9" xfId="0" applyFont="1" applyFill="1" applyBorder="1" applyAlignment="1" applyProtection="1">
      <alignment horizontal="center" vertical="top"/>
      <protection hidden="1"/>
    </xf>
    <xf numFmtId="0" fontId="20" fillId="0" borderId="9" xfId="0" applyFont="1" applyFill="1" applyBorder="1" applyAlignment="1" applyProtection="1">
      <alignment horizontal="center" vertical="center"/>
      <protection hidden="1"/>
    </xf>
    <xf numFmtId="165" fontId="0" fillId="0" borderId="0" xfId="3" applyNumberFormat="1" applyFont="1" applyAlignment="1">
      <alignment horizontal="left" indent="3"/>
    </xf>
    <xf numFmtId="0" fontId="20" fillId="42" borderId="9" xfId="0" applyFont="1" applyFill="1" applyBorder="1" applyAlignment="1" applyProtection="1">
      <alignment horizontal="center" vertical="top"/>
      <protection hidden="1"/>
    </xf>
    <xf numFmtId="0" fontId="20" fillId="42" borderId="9" xfId="0" applyFont="1" applyFill="1" applyBorder="1" applyAlignment="1" applyProtection="1">
      <alignment horizontal="center" vertical="center"/>
      <protection hidden="1"/>
    </xf>
    <xf numFmtId="0" fontId="0" fillId="0" borderId="0" xfId="0" applyAlignment="1">
      <alignment horizontal="center" vertical="center" wrapText="1"/>
    </xf>
    <xf numFmtId="0" fontId="0" fillId="3" borderId="0" xfId="0" applyFill="1" applyAlignment="1">
      <alignment horizontal="center" vertical="center" wrapText="1"/>
    </xf>
    <xf numFmtId="0" fontId="0" fillId="2" borderId="0" xfId="0" applyFill="1" applyAlignment="1">
      <alignment horizontal="center" vertical="center" wrapText="1"/>
    </xf>
    <xf numFmtId="169" fontId="52" fillId="27" borderId="9" xfId="0" applyNumberFormat="1" applyFont="1" applyFill="1" applyBorder="1" applyAlignment="1" applyProtection="1">
      <alignment horizontal="center" vertical="top"/>
      <protection hidden="1"/>
    </xf>
    <xf numFmtId="0" fontId="0" fillId="27" borderId="38" xfId="0" applyNumberFormat="1" applyFont="1" applyFill="1" applyBorder="1" applyAlignment="1" applyProtection="1">
      <alignment horizontal="left" vertical="top"/>
      <protection hidden="1"/>
    </xf>
    <xf numFmtId="169" fontId="0" fillId="27" borderId="49" xfId="0" applyNumberFormat="1" applyFont="1" applyFill="1" applyBorder="1" applyAlignment="1" applyProtection="1">
      <alignment horizontal="center" vertical="top"/>
      <protection hidden="1"/>
    </xf>
    <xf numFmtId="169" fontId="0" fillId="27" borderId="38" xfId="0" applyNumberFormat="1" applyFont="1" applyFill="1" applyBorder="1" applyAlignment="1" applyProtection="1">
      <alignment horizontal="center" vertical="top"/>
      <protection hidden="1"/>
    </xf>
    <xf numFmtId="0" fontId="50" fillId="27" borderId="0" xfId="0" applyFont="1" applyFill="1" applyAlignment="1">
      <alignment horizontal="center" vertical="center"/>
    </xf>
    <xf numFmtId="0" fontId="0" fillId="0" borderId="0" xfId="0" applyFont="1"/>
    <xf numFmtId="4" fontId="50" fillId="27" borderId="9" xfId="0" applyNumberFormat="1" applyFont="1" applyFill="1" applyBorder="1" applyAlignment="1" applyProtection="1">
      <alignment horizontal="center" vertical="top"/>
      <protection hidden="1"/>
    </xf>
    <xf numFmtId="0" fontId="20" fillId="28" borderId="9" xfId="0" applyFont="1" applyFill="1" applyBorder="1" applyAlignment="1" applyProtection="1">
      <alignment horizontal="center" vertical="center"/>
      <protection hidden="1"/>
    </xf>
    <xf numFmtId="0" fontId="50" fillId="0" borderId="0" xfId="0" applyFont="1" applyAlignment="1"/>
    <xf numFmtId="0" fontId="20" fillId="0" borderId="0" xfId="0" applyFont="1" applyAlignment="1">
      <alignment horizontal="center" vertical="center" textRotation="90" wrapText="1"/>
    </xf>
    <xf numFmtId="0" fontId="50" fillId="33" borderId="15" xfId="0" applyFont="1" applyFill="1" applyBorder="1" applyAlignment="1">
      <alignment horizontal="center" vertical="center"/>
    </xf>
    <xf numFmtId="0" fontId="50" fillId="15" borderId="15" xfId="0" applyFont="1" applyFill="1" applyBorder="1" applyAlignment="1">
      <alignment horizontal="center" vertical="center"/>
    </xf>
    <xf numFmtId="0" fontId="50" fillId="0" borderId="15" xfId="0" applyFont="1" applyBorder="1" applyAlignment="1">
      <alignment horizontal="center" vertical="center"/>
    </xf>
    <xf numFmtId="0" fontId="20" fillId="0" borderId="0" xfId="0" applyFont="1" applyBorder="1" applyAlignment="1">
      <alignment horizontal="center" vertical="top"/>
    </xf>
    <xf numFmtId="0" fontId="50" fillId="0" borderId="0" xfId="0" applyFont="1" applyAlignment="1">
      <alignment horizontal="center" vertical="top" wrapText="1"/>
    </xf>
    <xf numFmtId="0" fontId="21" fillId="31" borderId="13" xfId="0" applyNumberFormat="1" applyFont="1" applyFill="1" applyBorder="1" applyAlignment="1">
      <alignment horizontal="center" vertical="center"/>
    </xf>
    <xf numFmtId="9" fontId="21" fillId="31" borderId="13" xfId="7" applyFont="1" applyFill="1" applyBorder="1" applyAlignment="1">
      <alignment horizontal="center" vertical="center"/>
    </xf>
    <xf numFmtId="0" fontId="0" fillId="0" borderId="0" xfId="0" applyAlignment="1">
      <alignment horizontal="center"/>
    </xf>
    <xf numFmtId="0" fontId="50" fillId="0" borderId="0" xfId="0" applyFont="1" applyAlignment="1">
      <alignment horizontal="center"/>
    </xf>
    <xf numFmtId="0" fontId="20" fillId="0" borderId="0" xfId="0" applyFont="1"/>
    <xf numFmtId="169" fontId="52" fillId="27" borderId="0" xfId="0" applyNumberFormat="1" applyFont="1" applyFill="1" applyBorder="1" applyAlignment="1" applyProtection="1">
      <alignment horizontal="center" vertical="top"/>
      <protection hidden="1"/>
    </xf>
    <xf numFmtId="169" fontId="50" fillId="27" borderId="0" xfId="0" applyNumberFormat="1" applyFont="1" applyFill="1" applyBorder="1" applyAlignment="1" applyProtection="1">
      <alignment horizontal="center" vertical="top"/>
      <protection hidden="1"/>
    </xf>
    <xf numFmtId="169" fontId="50" fillId="27" borderId="0" xfId="7" applyNumberFormat="1" applyFont="1" applyFill="1" applyBorder="1" applyAlignment="1" applyProtection="1">
      <alignment horizontal="center" vertical="top"/>
      <protection hidden="1"/>
    </xf>
    <xf numFmtId="169" fontId="50" fillId="27" borderId="0" xfId="0" applyNumberFormat="1" applyFont="1" applyFill="1" applyBorder="1" applyAlignment="1" applyProtection="1">
      <alignment horizontal="left" vertical="top"/>
      <protection hidden="1"/>
    </xf>
    <xf numFmtId="169" fontId="50" fillId="27" borderId="0" xfId="7" applyNumberFormat="1" applyFont="1" applyFill="1" applyBorder="1" applyAlignment="1" applyProtection="1">
      <alignment horizontal="left" vertical="top"/>
      <protection hidden="1"/>
    </xf>
    <xf numFmtId="165" fontId="20" fillId="0" borderId="9" xfId="3" applyNumberFormat="1" applyFont="1" applyFill="1" applyBorder="1" applyAlignment="1" applyProtection="1">
      <alignment horizontal="center" vertical="center"/>
      <protection hidden="1"/>
    </xf>
    <xf numFmtId="165" fontId="53" fillId="0" borderId="0" xfId="3" applyNumberFormat="1" applyFont="1"/>
    <xf numFmtId="168" fontId="49" fillId="0" borderId="0" xfId="0" applyNumberFormat="1" applyFont="1"/>
    <xf numFmtId="0" fontId="54" fillId="28" borderId="9" xfId="0" applyFont="1" applyFill="1" applyBorder="1" applyAlignment="1" applyProtection="1">
      <alignment horizontal="center" vertical="center" wrapText="1"/>
      <protection hidden="1"/>
    </xf>
    <xf numFmtId="0" fontId="54" fillId="28" borderId="10" xfId="0" applyFont="1" applyFill="1" applyBorder="1" applyAlignment="1" applyProtection="1">
      <alignment horizontal="center" vertical="center" wrapText="1"/>
      <protection hidden="1"/>
    </xf>
    <xf numFmtId="0" fontId="54" fillId="28" borderId="18" xfId="0" applyFont="1" applyFill="1" applyBorder="1" applyAlignment="1" applyProtection="1">
      <alignment horizontal="center" vertical="center" wrapText="1"/>
      <protection hidden="1"/>
    </xf>
    <xf numFmtId="0" fontId="54" fillId="28" borderId="19" xfId="0" applyFont="1" applyFill="1" applyBorder="1" applyAlignment="1" applyProtection="1">
      <alignment horizontal="center" vertical="center" wrapText="1"/>
      <protection hidden="1"/>
    </xf>
    <xf numFmtId="0" fontId="54" fillId="28" borderId="20" xfId="0" applyFont="1" applyFill="1" applyBorder="1" applyAlignment="1" applyProtection="1">
      <alignment horizontal="center" vertical="center" wrapText="1"/>
      <protection hidden="1"/>
    </xf>
    <xf numFmtId="0" fontId="54" fillId="28" borderId="12" xfId="0" applyFont="1" applyFill="1" applyBorder="1" applyAlignment="1" applyProtection="1">
      <alignment horizontal="center" vertical="center" wrapText="1"/>
      <protection hidden="1"/>
    </xf>
    <xf numFmtId="169" fontId="52" fillId="27" borderId="9" xfId="7" applyNumberFormat="1" applyFont="1" applyFill="1" applyBorder="1" applyAlignment="1" applyProtection="1">
      <alignment horizontal="center" vertical="top"/>
      <protection hidden="1"/>
    </xf>
    <xf numFmtId="169" fontId="52" fillId="27" borderId="10" xfId="0" applyNumberFormat="1" applyFont="1" applyFill="1" applyBorder="1" applyAlignment="1" applyProtection="1">
      <alignment horizontal="center" vertical="top"/>
      <protection hidden="1"/>
    </xf>
    <xf numFmtId="169" fontId="52" fillId="27" borderId="21" xfId="0" applyNumberFormat="1" applyFont="1" applyFill="1" applyBorder="1" applyAlignment="1" applyProtection="1">
      <alignment horizontal="center" vertical="top"/>
      <protection hidden="1"/>
    </xf>
    <xf numFmtId="169" fontId="52" fillId="27" borderId="22" xfId="0" applyNumberFormat="1" applyFont="1" applyFill="1" applyBorder="1" applyAlignment="1" applyProtection="1">
      <alignment horizontal="center" vertical="top"/>
      <protection hidden="1"/>
    </xf>
    <xf numFmtId="169" fontId="52" fillId="27" borderId="12" xfId="0" applyNumberFormat="1" applyFont="1" applyFill="1" applyBorder="1" applyAlignment="1" applyProtection="1">
      <alignment horizontal="center" vertical="top"/>
      <protection hidden="1"/>
    </xf>
    <xf numFmtId="171" fontId="52" fillId="27" borderId="9" xfId="0" applyNumberFormat="1" applyFont="1" applyFill="1" applyBorder="1" applyAlignment="1" applyProtection="1">
      <alignment horizontal="center" vertical="top"/>
      <protection hidden="1"/>
    </xf>
    <xf numFmtId="169" fontId="52" fillId="27" borderId="0" xfId="7" applyNumberFormat="1" applyFont="1" applyFill="1" applyBorder="1" applyAlignment="1" applyProtection="1">
      <alignment horizontal="center" vertical="top"/>
      <protection hidden="1"/>
    </xf>
    <xf numFmtId="0" fontId="0" fillId="4" borderId="1" xfId="0" applyFont="1" applyFill="1" applyBorder="1"/>
    <xf numFmtId="168" fontId="53" fillId="0" borderId="0" xfId="3" applyNumberFormat="1" applyFont="1"/>
    <xf numFmtId="1" fontId="20" fillId="0" borderId="9" xfId="3" applyNumberFormat="1" applyFont="1" applyFill="1" applyBorder="1" applyAlignment="1" applyProtection="1">
      <alignment horizontal="center" vertical="center"/>
      <protection hidden="1"/>
    </xf>
    <xf numFmtId="1" fontId="20" fillId="0" borderId="9" xfId="0" applyNumberFormat="1" applyFont="1" applyFill="1" applyBorder="1" applyAlignment="1" applyProtection="1">
      <alignment horizontal="center" vertical="top"/>
      <protection hidden="1"/>
    </xf>
    <xf numFmtId="0" fontId="20" fillId="0" borderId="0" xfId="0" applyFont="1" applyAlignment="1">
      <alignment horizontal="right" vertical="center" textRotation="90" wrapText="1"/>
    </xf>
    <xf numFmtId="0" fontId="21" fillId="24" borderId="14" xfId="0" applyFont="1" applyFill="1" applyBorder="1" applyAlignment="1">
      <alignment horizontal="center" vertical="center" wrapText="1"/>
    </xf>
    <xf numFmtId="0" fontId="21" fillId="24" borderId="0" xfId="0" applyFont="1" applyFill="1" applyBorder="1" applyAlignment="1">
      <alignment horizontal="center" vertical="center" wrapText="1"/>
    </xf>
    <xf numFmtId="0" fontId="28" fillId="6" borderId="9" xfId="0" applyFont="1" applyFill="1" applyBorder="1" applyAlignment="1" applyProtection="1">
      <alignment vertical="top"/>
      <protection hidden="1"/>
    </xf>
    <xf numFmtId="0" fontId="28" fillId="6" borderId="11" xfId="0" applyFont="1" applyFill="1" applyBorder="1" applyAlignment="1" applyProtection="1">
      <alignment vertical="top"/>
      <protection hidden="1"/>
    </xf>
    <xf numFmtId="0" fontId="50" fillId="8" borderId="9" xfId="0" applyNumberFormat="1" applyFont="1" applyFill="1" applyBorder="1" applyAlignment="1" applyProtection="1">
      <alignment horizontal="left" vertical="top"/>
      <protection hidden="1"/>
    </xf>
    <xf numFmtId="0" fontId="50" fillId="2" borderId="9" xfId="0" applyNumberFormat="1" applyFont="1" applyFill="1" applyBorder="1" applyAlignment="1" applyProtection="1">
      <alignment horizontal="left" vertical="top"/>
      <protection hidden="1"/>
    </xf>
    <xf numFmtId="169" fontId="50" fillId="3" borderId="9" xfId="0" applyNumberFormat="1" applyFont="1" applyFill="1" applyBorder="1" applyAlignment="1" applyProtection="1">
      <alignment horizontal="center" vertical="top"/>
      <protection hidden="1"/>
    </xf>
    <xf numFmtId="0" fontId="20" fillId="0" borderId="0" xfId="0" applyFont="1" applyAlignment="1">
      <alignment horizontal="right" vertical="center" textRotation="90" wrapText="1"/>
    </xf>
    <xf numFmtId="0" fontId="21" fillId="24" borderId="14" xfId="0" applyFont="1" applyFill="1" applyBorder="1" applyAlignment="1">
      <alignment horizontal="center" vertical="center" wrapText="1"/>
    </xf>
    <xf numFmtId="0" fontId="21" fillId="24" borderId="0" xfId="0" applyFont="1" applyFill="1" applyBorder="1" applyAlignment="1">
      <alignment horizontal="center" vertical="center" wrapText="1"/>
    </xf>
    <xf numFmtId="0" fontId="20" fillId="0" borderId="16" xfId="0" applyFont="1" applyBorder="1" applyAlignment="1">
      <alignment horizontal="center" vertical="top"/>
    </xf>
    <xf numFmtId="0" fontId="28" fillId="6" borderId="9" xfId="0" applyFont="1" applyFill="1" applyBorder="1" applyAlignment="1" applyProtection="1">
      <alignment vertical="top"/>
      <protection hidden="1"/>
    </xf>
    <xf numFmtId="0" fontId="28" fillId="6" borderId="10" xfId="0" applyFont="1" applyFill="1" applyBorder="1" applyAlignment="1" applyProtection="1">
      <alignment vertical="top"/>
      <protection hidden="1"/>
    </xf>
    <xf numFmtId="0" fontId="28" fillId="6" borderId="11" xfId="0" applyFont="1" applyFill="1" applyBorder="1" applyAlignment="1" applyProtection="1">
      <alignment vertical="top"/>
      <protection hidden="1"/>
    </xf>
    <xf numFmtId="0" fontId="28" fillId="6" borderId="12" xfId="0" applyFont="1" applyFill="1" applyBorder="1" applyAlignment="1" applyProtection="1">
      <alignment vertical="top"/>
      <protection hidden="1"/>
    </xf>
    <xf numFmtId="0" fontId="28" fillId="6" borderId="17" xfId="0" applyFont="1" applyFill="1" applyBorder="1" applyAlignment="1" applyProtection="1">
      <alignment vertical="top"/>
      <protection hidden="1"/>
    </xf>
    <xf numFmtId="0" fontId="17" fillId="0" borderId="0" xfId="0" applyFont="1" applyAlignment="1">
      <alignment horizontal="center"/>
    </xf>
    <xf numFmtId="0" fontId="47" fillId="0" borderId="0" xfId="0" applyFont="1" applyAlignment="1">
      <alignment horizontal="right" vertical="center" textRotation="90"/>
    </xf>
    <xf numFmtId="0" fontId="15" fillId="34" borderId="0" xfId="0" applyFont="1" applyFill="1" applyBorder="1" applyAlignment="1">
      <alignment horizontal="center" vertical="top"/>
    </xf>
    <xf numFmtId="0" fontId="15" fillId="34" borderId="0" xfId="0" applyFont="1" applyFill="1" applyAlignment="1">
      <alignment horizontal="right" vertical="center" textRotation="90"/>
    </xf>
    <xf numFmtId="0" fontId="15" fillId="0" borderId="0" xfId="0" applyFont="1" applyBorder="1" applyAlignment="1">
      <alignment horizontal="center" vertical="top"/>
    </xf>
    <xf numFmtId="0" fontId="47" fillId="0" borderId="16" xfId="0" applyFont="1" applyBorder="1" applyAlignment="1">
      <alignment horizontal="center" vertical="top"/>
    </xf>
    <xf numFmtId="0" fontId="15" fillId="0" borderId="0" xfId="0" applyFont="1" applyAlignment="1">
      <alignment horizontal="right" vertical="center" textRotation="90"/>
    </xf>
    <xf numFmtId="0" fontId="25" fillId="35" borderId="37" xfId="0" applyFont="1" applyFill="1" applyBorder="1" applyAlignment="1">
      <alignment horizontal="center" vertical="center" wrapText="1"/>
    </xf>
    <xf numFmtId="0" fontId="25" fillId="35" borderId="35" xfId="0" applyFont="1" applyFill="1" applyBorder="1" applyAlignment="1">
      <alignment horizontal="center" vertical="center" wrapText="1"/>
    </xf>
    <xf numFmtId="0" fontId="41" fillId="0" borderId="0" xfId="0" applyFont="1" applyFill="1" applyBorder="1" applyAlignment="1">
      <alignment horizontal="center" vertical="center" wrapText="1" readingOrder="1"/>
    </xf>
    <xf numFmtId="0" fontId="33" fillId="0" borderId="0" xfId="0" applyFont="1" applyFill="1" applyBorder="1" applyAlignment="1">
      <alignment horizontal="center" vertical="center" wrapText="1" readingOrder="1"/>
    </xf>
    <xf numFmtId="0" fontId="18" fillId="29" borderId="29" xfId="0" applyFont="1" applyFill="1" applyBorder="1" applyAlignment="1">
      <alignment horizontal="center" vertical="center" textRotation="90" wrapText="1"/>
    </xf>
    <xf numFmtId="0" fontId="18" fillId="29" borderId="32" xfId="0" applyFont="1" applyFill="1" applyBorder="1" applyAlignment="1">
      <alignment horizontal="center" vertical="center" textRotation="90" wrapText="1"/>
    </xf>
    <xf numFmtId="0" fontId="18" fillId="29" borderId="33" xfId="0" applyFont="1" applyFill="1" applyBorder="1" applyAlignment="1">
      <alignment horizontal="center" vertical="center" textRotation="90" wrapText="1"/>
    </xf>
    <xf numFmtId="0" fontId="33" fillId="26" borderId="36" xfId="0" applyFont="1" applyFill="1" applyBorder="1" applyAlignment="1">
      <alignment horizontal="center" vertical="center" wrapText="1" readingOrder="1"/>
    </xf>
    <xf numFmtId="0" fontId="33" fillId="26" borderId="0" xfId="0" applyFont="1" applyFill="1" applyBorder="1" applyAlignment="1">
      <alignment horizontal="center" vertical="center" wrapText="1" readingOrder="1"/>
    </xf>
    <xf numFmtId="0" fontId="23" fillId="26" borderId="25" xfId="0" applyFont="1" applyFill="1" applyBorder="1" applyAlignment="1">
      <alignment horizontal="center" vertical="center" wrapText="1" readingOrder="1"/>
    </xf>
  </cellXfs>
  <cellStyles count="14">
    <cellStyle name="Comma" xfId="3" builtinId="3"/>
    <cellStyle name="Comma 2" xfId="5"/>
    <cellStyle name="Comma 2 2" xfId="12"/>
    <cellStyle name="Comma 3" xfId="11"/>
    <cellStyle name="Normal" xfId="0" builtinId="0"/>
    <cellStyle name="Normal 2" xfId="1"/>
    <cellStyle name="Normal 3" xfId="8"/>
    <cellStyle name="Normal 4" xfId="10"/>
    <cellStyle name="Normal 5" xfId="9"/>
    <cellStyle name="Normal 6" xfId="2"/>
    <cellStyle name="Normal_Sheet1" xfId="6"/>
    <cellStyle name="Normal_Sheet4" xfId="4"/>
    <cellStyle name="Percent" xfId="7" builtinId="5"/>
    <cellStyle name="Percent 2" xfId="13"/>
  </cellStyles>
  <dxfs count="200">
    <dxf>
      <numFmt numFmtId="165" formatCode="_ * #,##0.0_ ;_ * \-#,##0.0_ ;_ * &quot;-&quot;??_ ;_ @_ "/>
    </dxf>
    <dxf>
      <numFmt numFmtId="164" formatCode="_ * #,##0.00_ ;_ * \-#,##0.00_ ;_ * &quot;-&quot;??_ ;_ @_ "/>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dxf>
    <dxf>
      <fill>
        <patternFill>
          <bgColor theme="0"/>
        </patternFill>
      </fill>
    </dxf>
    <dxf>
      <font>
        <b val="0"/>
        <i/>
        <strike val="0"/>
        <condense val="0"/>
        <extend val="0"/>
        <outline val="0"/>
        <shadow val="0"/>
        <u val="none"/>
        <vertAlign val="baseline"/>
        <sz val="10"/>
        <color theme="1"/>
        <name val="Arial"/>
        <scheme val="none"/>
      </font>
      <numFmt numFmtId="168" formatCode="_ * #,##0_ ;_ * \-#,##0_ ;_ * &quot;-&quot;??_ ;_ @_ "/>
    </dxf>
    <dxf>
      <numFmt numFmtId="165" formatCode="_ * #,##0.0_ ;_ * \-#,##0.0_ ;_ * &quot;-&quot;??_ ;_ @_ "/>
    </dxf>
    <dxf>
      <font>
        <b val="0"/>
        <i/>
        <strike val="0"/>
        <condense val="0"/>
        <extend val="0"/>
        <outline val="0"/>
        <shadow val="0"/>
        <u val="none"/>
        <vertAlign val="baseline"/>
        <sz val="10"/>
        <color theme="1"/>
        <name val="Arial"/>
        <scheme val="none"/>
      </font>
      <numFmt numFmtId="168" formatCode="_ * #,##0_ ;_ * \-#,##0_ ;_ * &quot;-&quot;??_ ;_ @_ "/>
    </dxf>
    <dxf>
      <numFmt numFmtId="165" formatCode="_ * #,##0.0_ ;_ * \-#,##0.0_ ;_ * &quot;-&quot;??_ ;_ @_ "/>
    </dxf>
    <dxf>
      <numFmt numFmtId="165" formatCode="_ * #,##0.0_ ;_ * \-#,##0.0_ ;_ * &quot;-&quot;??_ ;_ @_ "/>
    </dxf>
    <dxf>
      <font>
        <b/>
        <sz val="8"/>
      </font>
      <numFmt numFmtId="165" formatCode="_ * #,##0.0_ ;_ * \-#,##0.0_ ;_ * &quot;-&quot;??_ ;_ @_ "/>
      <fill>
        <patternFill patternType="none">
          <fgColor indexed="64"/>
          <bgColor indexed="65"/>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protection locked="1" hidden="1"/>
    </dxf>
    <dxf>
      <font>
        <b/>
        <sz val="8"/>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protection locked="1" hidden="1"/>
    </dxf>
    <dxf>
      <alignment horizontal="center" vertical="center" textRotation="0" wrapText="1" indent="0" justifyLastLine="0" shrinkToFit="0" readingOrder="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FF0000"/>
      </font>
    </dxf>
    <dxf>
      <font>
        <color rgb="FFFF0000"/>
      </font>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9C0006"/>
      </font>
      <fill>
        <patternFill>
          <bgColor rgb="FFFFC7CE"/>
        </patternFill>
      </fill>
    </dxf>
    <dxf>
      <font>
        <color rgb="FF9C0006"/>
      </font>
      <fill>
        <patternFill>
          <bgColor rgb="FFFFC7CE"/>
        </patternFill>
      </fill>
    </dxf>
    <dxf>
      <font>
        <color rgb="FFFF0000"/>
      </font>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FF0000"/>
      </font>
    </dxf>
    <dxf>
      <font>
        <color rgb="FFFF0000"/>
      </font>
    </dxf>
    <dxf>
      <font>
        <color rgb="FF9C0006"/>
      </font>
      <fill>
        <patternFill>
          <bgColor rgb="FFFFC7CE"/>
        </patternFill>
      </fill>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96725"/>
      <color rgb="FF528F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63</xdr:col>
      <xdr:colOff>327023</xdr:colOff>
      <xdr:row>372</xdr:row>
      <xdr:rowOff>166687</xdr:rowOff>
    </xdr:from>
    <xdr:to>
      <xdr:col>64</xdr:col>
      <xdr:colOff>279398</xdr:colOff>
      <xdr:row>384</xdr:row>
      <xdr:rowOff>128587</xdr:rowOff>
    </xdr:to>
    <xdr:sp macro="" textlink="">
      <xdr:nvSpPr>
        <xdr:cNvPr id="50" name="Text Placeholder 2">
          <a:extLst>
            <a:ext uri="{FF2B5EF4-FFF2-40B4-BE49-F238E27FC236}">
              <a16:creationId xmlns:a16="http://schemas.microsoft.com/office/drawing/2014/main" id="{00000000-0008-0000-0100-000032000000}"/>
            </a:ext>
          </a:extLst>
        </xdr:cNvPr>
        <xdr:cNvSpPr>
          <a:spLocks noGrp="1"/>
        </xdr:cNvSpPr>
      </xdr:nvSpPr>
      <xdr:spPr bwMode="gray">
        <a:xfrm>
          <a:off x="22440898" y="6453187"/>
          <a:ext cx="555625" cy="152400"/>
        </a:xfrm>
        <a:prstGeom prst="rect">
          <a:avLst/>
        </a:prstGeom>
        <a:noFill/>
        <a:ln>
          <a:noFill/>
        </a:ln>
        <a:extLst>
          <a:ext uri="{909E8E84-426E-40DD-AFC4-6F175D3DCCD1}">
            <a14:hiddenFill xmlns:a14="http://schemas.microsoft.com/office/drawing/2010/main">
              <a:solidFill>
                <a:schemeClr val="accent3"/>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64</xdr:col>
      <xdr:colOff>199230</xdr:colOff>
      <xdr:row>263</xdr:row>
      <xdr:rowOff>79647</xdr:rowOff>
    </xdr:from>
    <xdr:to>
      <xdr:col>65</xdr:col>
      <xdr:colOff>61118</xdr:colOff>
      <xdr:row>263</xdr:row>
      <xdr:rowOff>232047</xdr:rowOff>
    </xdr:to>
    <xdr:sp macro="" textlink="">
      <xdr:nvSpPr>
        <xdr:cNvPr id="51" name="Text Placeholder 2">
          <a:extLst>
            <a:ext uri="{FF2B5EF4-FFF2-40B4-BE49-F238E27FC236}">
              <a16:creationId xmlns:a16="http://schemas.microsoft.com/office/drawing/2014/main" id="{00000000-0008-0000-0100-000033000000}"/>
            </a:ext>
          </a:extLst>
        </xdr:cNvPr>
        <xdr:cNvSpPr>
          <a:spLocks noGrp="1"/>
        </xdr:cNvSpPr>
      </xdr:nvSpPr>
      <xdr:spPr bwMode="gray">
        <a:xfrm>
          <a:off x="22916355" y="5223147"/>
          <a:ext cx="465138" cy="152400"/>
        </a:xfrm>
        <a:prstGeom prst="rect">
          <a:avLst/>
        </a:prstGeom>
        <a:noFill/>
        <a:ln>
          <a:noFill/>
        </a:ln>
        <a:extLst>
          <a:ext uri="{909E8E84-426E-40DD-AFC4-6F175D3DCCD1}">
            <a14:hiddenFill xmlns:a14="http://schemas.microsoft.com/office/drawing/2010/main">
              <a:solidFill>
                <a:schemeClr val="accent1"/>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60</xdr:col>
      <xdr:colOff>536622</xdr:colOff>
      <xdr:row>265</xdr:row>
      <xdr:rowOff>172662</xdr:rowOff>
    </xdr:from>
    <xdr:to>
      <xdr:col>61</xdr:col>
      <xdr:colOff>531860</xdr:colOff>
      <xdr:row>293</xdr:row>
      <xdr:rowOff>134562</xdr:rowOff>
    </xdr:to>
    <xdr:sp macro="" textlink="">
      <xdr:nvSpPr>
        <xdr:cNvPr id="52" name="Text Placeholder 2">
          <a:extLst>
            <a:ext uri="{FF2B5EF4-FFF2-40B4-BE49-F238E27FC236}">
              <a16:creationId xmlns:a16="http://schemas.microsoft.com/office/drawing/2014/main" id="{00000000-0008-0000-0100-000034000000}"/>
            </a:ext>
          </a:extLst>
        </xdr:cNvPr>
        <xdr:cNvSpPr>
          <a:spLocks noGrp="1"/>
        </xdr:cNvSpPr>
      </xdr:nvSpPr>
      <xdr:spPr bwMode="gray">
        <a:xfrm>
          <a:off x="20840747" y="5697162"/>
          <a:ext cx="598488" cy="152400"/>
        </a:xfrm>
        <a:prstGeom prst="rect">
          <a:avLst/>
        </a:prstGeom>
        <a:noFill/>
        <a:ln>
          <a:noFill/>
        </a:ln>
      </xdr:spPr>
      <xdr:txBody>
        <a:bodyPr vert="horz" wrap="square" lIns="17463" tIns="0" rIns="17463" bIns="0" numCol="1" spcCol="0" rtlCol="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58</xdr:col>
      <xdr:colOff>0</xdr:colOff>
      <xdr:row>343</xdr:row>
      <xdr:rowOff>131762</xdr:rowOff>
    </xdr:from>
    <xdr:to>
      <xdr:col>58</xdr:col>
      <xdr:colOff>449263</xdr:colOff>
      <xdr:row>353</xdr:row>
      <xdr:rowOff>93662</xdr:rowOff>
    </xdr:to>
    <xdr:sp macro="" textlink="">
      <xdr:nvSpPr>
        <xdr:cNvPr id="53" name="Text Placeholder 2">
          <a:extLst>
            <a:ext uri="{FF2B5EF4-FFF2-40B4-BE49-F238E27FC236}">
              <a16:creationId xmlns:a16="http://schemas.microsoft.com/office/drawing/2014/main" id="{00000000-0008-0000-0100-000035000000}"/>
            </a:ext>
          </a:extLst>
        </xdr:cNvPr>
        <xdr:cNvSpPr>
          <a:spLocks noGrp="1"/>
        </xdr:cNvSpPr>
      </xdr:nvSpPr>
      <xdr:spPr bwMode="gray">
        <a:xfrm>
          <a:off x="19097625" y="6037262"/>
          <a:ext cx="449263" cy="152400"/>
        </a:xfrm>
        <a:prstGeom prst="rect">
          <a:avLst/>
        </a:prstGeom>
        <a:noFill/>
        <a:ln>
          <a:noFill/>
        </a:ln>
        <a:extLst>
          <a:ext uri="{909E8E84-426E-40DD-AFC4-6F175D3DCCD1}">
            <a14:hiddenFill xmlns:a14="http://schemas.microsoft.com/office/drawing/2010/main">
              <a:solidFill>
                <a:schemeClr val="accent1"/>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a:spcBef>
              <a:spcPct val="0"/>
            </a:spcBef>
            <a:spcAft>
              <a:spcPct val="0"/>
            </a:spcAft>
            <a:buNone/>
          </a:pPr>
          <a:endParaRPr lang="en-US" sz="1000">
            <a:sym typeface="+mn-lt"/>
          </a:endParaRPr>
        </a:p>
      </xdr:txBody>
    </xdr:sp>
    <xdr:clientData/>
  </xdr:twoCellAnchor>
  <xdr:twoCellAnchor>
    <xdr:from>
      <xdr:col>69</xdr:col>
      <xdr:colOff>209548</xdr:colOff>
      <xdr:row>372</xdr:row>
      <xdr:rowOff>173037</xdr:rowOff>
    </xdr:from>
    <xdr:to>
      <xdr:col>70</xdr:col>
      <xdr:colOff>315911</xdr:colOff>
      <xdr:row>384</xdr:row>
      <xdr:rowOff>134937</xdr:rowOff>
    </xdr:to>
    <xdr:sp macro="" textlink="">
      <xdr:nvSpPr>
        <xdr:cNvPr id="54" name="Text Placeholder 2">
          <a:extLst>
            <a:ext uri="{FF2B5EF4-FFF2-40B4-BE49-F238E27FC236}">
              <a16:creationId xmlns:a16="http://schemas.microsoft.com/office/drawing/2014/main" id="{00000000-0008-0000-0100-000036000000}"/>
            </a:ext>
          </a:extLst>
        </xdr:cNvPr>
        <xdr:cNvSpPr>
          <a:spLocks noGrp="1"/>
        </xdr:cNvSpPr>
      </xdr:nvSpPr>
      <xdr:spPr bwMode="gray">
        <a:xfrm>
          <a:off x="25942923" y="6459537"/>
          <a:ext cx="709613" cy="152400"/>
        </a:xfrm>
        <a:prstGeom prst="rect">
          <a:avLst/>
        </a:prstGeom>
        <a:noFill/>
        <a:ln>
          <a:noFill/>
        </a:ln>
        <a:extLst>
          <a:ext uri="{909E8E84-426E-40DD-AFC4-6F175D3DCCD1}">
            <a14:hiddenFill xmlns:a14="http://schemas.microsoft.com/office/drawing/2010/main">
              <a:solidFill>
                <a:schemeClr val="accent2"/>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65</xdr:col>
      <xdr:colOff>208490</xdr:colOff>
      <xdr:row>373</xdr:row>
      <xdr:rowOff>2645</xdr:rowOff>
    </xdr:from>
    <xdr:to>
      <xdr:col>66</xdr:col>
      <xdr:colOff>362478</xdr:colOff>
      <xdr:row>384</xdr:row>
      <xdr:rowOff>155045</xdr:rowOff>
    </xdr:to>
    <xdr:sp macro="" textlink="">
      <xdr:nvSpPr>
        <xdr:cNvPr id="55" name="Text Placeholder 2">
          <a:extLst>
            <a:ext uri="{FF2B5EF4-FFF2-40B4-BE49-F238E27FC236}">
              <a16:creationId xmlns:a16="http://schemas.microsoft.com/office/drawing/2014/main" id="{00000000-0008-0000-0100-000037000000}"/>
            </a:ext>
          </a:extLst>
        </xdr:cNvPr>
        <xdr:cNvSpPr>
          <a:spLocks noGrp="1"/>
        </xdr:cNvSpPr>
      </xdr:nvSpPr>
      <xdr:spPr bwMode="gray">
        <a:xfrm>
          <a:off x="23724657" y="6479645"/>
          <a:ext cx="767821" cy="152400"/>
        </a:xfrm>
        <a:prstGeom prst="rect">
          <a:avLst/>
        </a:prstGeom>
        <a:noFill/>
        <a:ln>
          <a:noFill/>
        </a:ln>
        <a:extLst>
          <a:ext uri="{909E8E84-426E-40DD-AFC4-6F175D3DCCD1}">
            <a14:hiddenFill xmlns:a14="http://schemas.microsoft.com/office/drawing/2010/main">
              <a:solidFill>
                <a:schemeClr val="accent2"/>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66</xdr:col>
      <xdr:colOff>363536</xdr:colOff>
      <xdr:row>384</xdr:row>
      <xdr:rowOff>171278</xdr:rowOff>
    </xdr:from>
    <xdr:to>
      <xdr:col>67</xdr:col>
      <xdr:colOff>280986</xdr:colOff>
      <xdr:row>413</xdr:row>
      <xdr:rowOff>133178</xdr:rowOff>
    </xdr:to>
    <xdr:sp macro="" textlink="">
      <xdr:nvSpPr>
        <xdr:cNvPr id="56" name="Text Placeholder 2">
          <a:extLst>
            <a:ext uri="{FF2B5EF4-FFF2-40B4-BE49-F238E27FC236}">
              <a16:creationId xmlns:a16="http://schemas.microsoft.com/office/drawing/2014/main" id="{00000000-0008-0000-0100-000038000000}"/>
            </a:ext>
          </a:extLst>
        </xdr:cNvPr>
        <xdr:cNvSpPr>
          <a:spLocks noGrp="1"/>
        </xdr:cNvSpPr>
      </xdr:nvSpPr>
      <xdr:spPr bwMode="gray">
        <a:xfrm>
          <a:off x="24287161" y="6648278"/>
          <a:ext cx="520700" cy="152400"/>
        </a:xfrm>
        <a:prstGeom prst="rect">
          <a:avLst/>
        </a:prstGeom>
        <a:noFill/>
        <a:ln>
          <a:noFill/>
        </a:ln>
        <a:extLst>
          <a:ext uri="{909E8E84-426E-40DD-AFC4-6F175D3DCCD1}">
            <a14:hiddenFill xmlns:a14="http://schemas.microsoft.com/office/drawing/2010/main">
              <a:solidFill>
                <a:schemeClr val="accent2"/>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61</xdr:col>
      <xdr:colOff>411560</xdr:colOff>
      <xdr:row>384</xdr:row>
      <xdr:rowOff>35011</xdr:rowOff>
    </xdr:from>
    <xdr:to>
      <xdr:col>63</xdr:col>
      <xdr:colOff>382190</xdr:colOff>
      <xdr:row>413</xdr:row>
      <xdr:rowOff>19727</xdr:rowOff>
    </xdr:to>
    <xdr:sp macro="" textlink="">
      <xdr:nvSpPr>
        <xdr:cNvPr id="57" name="Text Placeholder 2">
          <a:extLst>
            <a:ext uri="{FF2B5EF4-FFF2-40B4-BE49-F238E27FC236}">
              <a16:creationId xmlns:a16="http://schemas.microsoft.com/office/drawing/2014/main" id="{00000000-0008-0000-0100-000039000000}"/>
            </a:ext>
          </a:extLst>
        </xdr:cNvPr>
        <xdr:cNvSpPr>
          <a:spLocks noGrp="1"/>
        </xdr:cNvSpPr>
      </xdr:nvSpPr>
      <xdr:spPr bwMode="gray">
        <a:xfrm>
          <a:off x="21318935" y="6512011"/>
          <a:ext cx="1177130" cy="175216"/>
        </a:xfrm>
        <a:prstGeom prst="rect">
          <a:avLst/>
        </a:prstGeom>
        <a:noFill/>
        <a:ln>
          <a:noFill/>
        </a:ln>
        <a:extLst>
          <a:ext uri="{909E8E84-426E-40DD-AFC4-6F175D3DCCD1}">
            <a14:hiddenFill xmlns:a14="http://schemas.microsoft.com/office/drawing/2010/main">
              <a:solidFill>
                <a:schemeClr val="accent1"/>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60</xdr:col>
      <xdr:colOff>231807</xdr:colOff>
      <xdr:row>344</xdr:row>
      <xdr:rowOff>11846</xdr:rowOff>
    </xdr:from>
    <xdr:to>
      <xdr:col>61</xdr:col>
      <xdr:colOff>311165</xdr:colOff>
      <xdr:row>353</xdr:row>
      <xdr:rowOff>177627</xdr:rowOff>
    </xdr:to>
    <xdr:sp macro="" textlink="">
      <xdr:nvSpPr>
        <xdr:cNvPr id="58" name="Text Placeholder 2">
          <a:extLst>
            <a:ext uri="{FF2B5EF4-FFF2-40B4-BE49-F238E27FC236}">
              <a16:creationId xmlns:a16="http://schemas.microsoft.com/office/drawing/2014/main" id="{00000000-0008-0000-0100-00003A000000}"/>
            </a:ext>
          </a:extLst>
        </xdr:cNvPr>
        <xdr:cNvSpPr>
          <a:spLocks noGrp="1"/>
        </xdr:cNvSpPr>
      </xdr:nvSpPr>
      <xdr:spPr bwMode="gray">
        <a:xfrm>
          <a:off x="20535932" y="6107846"/>
          <a:ext cx="682608" cy="165781"/>
        </a:xfrm>
        <a:prstGeom prst="rect">
          <a:avLst/>
        </a:prstGeom>
        <a:noFill/>
        <a:ln>
          <a:noFill/>
        </a:ln>
        <a:extLst>
          <a:ext uri="{909E8E84-426E-40DD-AFC4-6F175D3DCCD1}">
            <a14:hiddenFill xmlns:a14="http://schemas.microsoft.com/office/drawing/2010/main">
              <a:solidFill>
                <a:schemeClr val="accent1"/>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58</xdr:col>
      <xdr:colOff>324054</xdr:colOff>
      <xdr:row>373</xdr:row>
      <xdr:rowOff>9525</xdr:rowOff>
    </xdr:from>
    <xdr:to>
      <xdr:col>59</xdr:col>
      <xdr:colOff>212929</xdr:colOff>
      <xdr:row>384</xdr:row>
      <xdr:rowOff>161925</xdr:rowOff>
    </xdr:to>
    <xdr:sp macro="" textlink="">
      <xdr:nvSpPr>
        <xdr:cNvPr id="59" name="Text Placeholder 2">
          <a:extLst>
            <a:ext uri="{FF2B5EF4-FFF2-40B4-BE49-F238E27FC236}">
              <a16:creationId xmlns:a16="http://schemas.microsoft.com/office/drawing/2014/main" id="{00000000-0008-0000-0100-00003B000000}"/>
            </a:ext>
          </a:extLst>
        </xdr:cNvPr>
        <xdr:cNvSpPr>
          <a:spLocks noGrp="1"/>
        </xdr:cNvSpPr>
      </xdr:nvSpPr>
      <xdr:spPr bwMode="gray">
        <a:xfrm>
          <a:off x="19421679" y="6486525"/>
          <a:ext cx="492125" cy="152400"/>
        </a:xfrm>
        <a:prstGeom prst="rect">
          <a:avLst/>
        </a:prstGeom>
        <a:noFill/>
        <a:ln>
          <a:noFill/>
        </a:ln>
        <a:extLst>
          <a:ext uri="{909E8E84-426E-40DD-AFC4-6F175D3DCCD1}">
            <a14:hiddenFill xmlns:a14="http://schemas.microsoft.com/office/drawing/2010/main">
              <a:solidFill>
                <a:schemeClr val="accent1"/>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66</xdr:col>
      <xdr:colOff>228598</xdr:colOff>
      <xdr:row>195</xdr:row>
      <xdr:rowOff>0</xdr:rowOff>
    </xdr:from>
    <xdr:to>
      <xdr:col>66</xdr:col>
      <xdr:colOff>539748</xdr:colOff>
      <xdr:row>236</xdr:row>
      <xdr:rowOff>152400</xdr:rowOff>
    </xdr:to>
    <xdr:sp macro="" textlink="">
      <xdr:nvSpPr>
        <xdr:cNvPr id="60" name="Text Placeholder 2">
          <a:extLst>
            <a:ext uri="{FF2B5EF4-FFF2-40B4-BE49-F238E27FC236}">
              <a16:creationId xmlns:a16="http://schemas.microsoft.com/office/drawing/2014/main" id="{00000000-0008-0000-0100-00003C000000}"/>
            </a:ext>
          </a:extLst>
        </xdr:cNvPr>
        <xdr:cNvSpPr>
          <a:spLocks noGrp="1"/>
        </xdr:cNvSpPr>
      </xdr:nvSpPr>
      <xdr:spPr bwMode="gray">
        <a:xfrm>
          <a:off x="24152223" y="4191000"/>
          <a:ext cx="311150" cy="152400"/>
        </a:xfrm>
        <a:prstGeom prst="rect">
          <a:avLst/>
        </a:prstGeom>
        <a:noFill/>
        <a:ln>
          <a:noFill/>
        </a:ln>
        <a:extLst>
          <a:ext uri="{909E8E84-426E-40DD-AFC4-6F175D3DCCD1}">
            <a14:hiddenFill xmlns:a14="http://schemas.microsoft.com/office/drawing/2010/main">
              <a:solidFill>
                <a:schemeClr val="accent1"/>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a:spcBef>
              <a:spcPct val="0"/>
            </a:spcBef>
            <a:spcAft>
              <a:spcPct val="0"/>
            </a:spcAft>
            <a:buNone/>
          </a:pPr>
          <a:endParaRPr lang="en-US" sz="1000">
            <a:sym typeface="+mn-lt"/>
          </a:endParaRPr>
        </a:p>
      </xdr:txBody>
    </xdr:sp>
    <xdr:clientData/>
  </xdr:twoCellAnchor>
  <xdr:twoCellAnchor>
    <xdr:from>
      <xdr:col>61</xdr:col>
      <xdr:colOff>341360</xdr:colOff>
      <xdr:row>353</xdr:row>
      <xdr:rowOff>139701</xdr:rowOff>
    </xdr:from>
    <xdr:to>
      <xdr:col>62</xdr:col>
      <xdr:colOff>119110</xdr:colOff>
      <xdr:row>372</xdr:row>
      <xdr:rowOff>101601</xdr:rowOff>
    </xdr:to>
    <xdr:sp macro="" textlink="">
      <xdr:nvSpPr>
        <xdr:cNvPr id="61" name="Text Placeholder 2">
          <a:extLst>
            <a:ext uri="{FF2B5EF4-FFF2-40B4-BE49-F238E27FC236}">
              <a16:creationId xmlns:a16="http://schemas.microsoft.com/office/drawing/2014/main" id="{00000000-0008-0000-0100-00003D000000}"/>
            </a:ext>
          </a:extLst>
        </xdr:cNvPr>
        <xdr:cNvSpPr>
          <a:spLocks noGrp="1"/>
        </xdr:cNvSpPr>
      </xdr:nvSpPr>
      <xdr:spPr bwMode="gray">
        <a:xfrm>
          <a:off x="21248735" y="6235701"/>
          <a:ext cx="381000" cy="152400"/>
        </a:xfrm>
        <a:prstGeom prst="rect">
          <a:avLst/>
        </a:prstGeom>
        <a:noFill/>
        <a:ln>
          <a:noFill/>
        </a:ln>
        <a:extLst>
          <a:ext uri="{909E8E84-426E-40DD-AFC4-6F175D3DCCD1}">
            <a14:hiddenFill xmlns:a14="http://schemas.microsoft.com/office/drawing/2010/main">
              <a:solidFill>
                <a:schemeClr val="accent1"/>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67</xdr:col>
      <xdr:colOff>274731</xdr:colOff>
      <xdr:row>384</xdr:row>
      <xdr:rowOff>23213</xdr:rowOff>
    </xdr:from>
    <xdr:to>
      <xdr:col>68</xdr:col>
      <xdr:colOff>508094</xdr:colOff>
      <xdr:row>384</xdr:row>
      <xdr:rowOff>175613</xdr:rowOff>
    </xdr:to>
    <xdr:sp macro="" textlink="">
      <xdr:nvSpPr>
        <xdr:cNvPr id="62" name="Text Placeholder 2">
          <a:extLst>
            <a:ext uri="{FF2B5EF4-FFF2-40B4-BE49-F238E27FC236}">
              <a16:creationId xmlns:a16="http://schemas.microsoft.com/office/drawing/2014/main" id="{00000000-0008-0000-0100-00003E000000}"/>
            </a:ext>
          </a:extLst>
        </xdr:cNvPr>
        <xdr:cNvSpPr>
          <a:spLocks noGrp="1"/>
        </xdr:cNvSpPr>
      </xdr:nvSpPr>
      <xdr:spPr bwMode="gray">
        <a:xfrm>
          <a:off x="24801606" y="6500213"/>
          <a:ext cx="836613" cy="152400"/>
        </a:xfrm>
        <a:prstGeom prst="rect">
          <a:avLst/>
        </a:prstGeom>
        <a:noFill/>
        <a:ln>
          <a:noFill/>
        </a:ln>
        <a:extLst>
          <a:ext uri="{909E8E84-426E-40DD-AFC4-6F175D3DCCD1}">
            <a14:hiddenFill xmlns:a14="http://schemas.microsoft.com/office/drawing/2010/main">
              <a:solidFill>
                <a:schemeClr val="accent1"/>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64</xdr:col>
      <xdr:colOff>455611</xdr:colOff>
      <xdr:row>343</xdr:row>
      <xdr:rowOff>154827</xdr:rowOff>
    </xdr:from>
    <xdr:to>
      <xdr:col>65</xdr:col>
      <xdr:colOff>568651</xdr:colOff>
      <xdr:row>353</xdr:row>
      <xdr:rowOff>116727</xdr:rowOff>
    </xdr:to>
    <xdr:sp macro="" textlink="">
      <xdr:nvSpPr>
        <xdr:cNvPr id="63" name="Text Placeholder 2">
          <a:extLst>
            <a:ext uri="{FF2B5EF4-FFF2-40B4-BE49-F238E27FC236}">
              <a16:creationId xmlns:a16="http://schemas.microsoft.com/office/drawing/2014/main" id="{00000000-0008-0000-0100-00003F000000}"/>
            </a:ext>
          </a:extLst>
        </xdr:cNvPr>
        <xdr:cNvSpPr>
          <a:spLocks noGrp="1"/>
        </xdr:cNvSpPr>
      </xdr:nvSpPr>
      <xdr:spPr bwMode="gray">
        <a:xfrm>
          <a:off x="23172736" y="6060327"/>
          <a:ext cx="716290" cy="152400"/>
        </a:xfrm>
        <a:prstGeom prst="rect">
          <a:avLst/>
        </a:prstGeom>
        <a:noFill/>
        <a:ln>
          <a:noFill/>
        </a:ln>
        <a:extLst>
          <a:ext uri="{909E8E84-426E-40DD-AFC4-6F175D3DCCD1}">
            <a14:hiddenFill xmlns:a14="http://schemas.microsoft.com/office/drawing/2010/main">
              <a:solidFill>
                <a:schemeClr val="accent2"/>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63</xdr:col>
      <xdr:colOff>528636</xdr:colOff>
      <xdr:row>384</xdr:row>
      <xdr:rowOff>134937</xdr:rowOff>
    </xdr:from>
    <xdr:to>
      <xdr:col>65</xdr:col>
      <xdr:colOff>382586</xdr:colOff>
      <xdr:row>413</xdr:row>
      <xdr:rowOff>96837</xdr:rowOff>
    </xdr:to>
    <xdr:sp macro="" textlink="">
      <xdr:nvSpPr>
        <xdr:cNvPr id="64" name="Text Placeholder 2">
          <a:extLst>
            <a:ext uri="{FF2B5EF4-FFF2-40B4-BE49-F238E27FC236}">
              <a16:creationId xmlns:a16="http://schemas.microsoft.com/office/drawing/2014/main" id="{00000000-0008-0000-0100-000040000000}"/>
            </a:ext>
          </a:extLst>
        </xdr:cNvPr>
        <xdr:cNvSpPr>
          <a:spLocks noGrp="1"/>
        </xdr:cNvSpPr>
      </xdr:nvSpPr>
      <xdr:spPr bwMode="gray">
        <a:xfrm>
          <a:off x="22642511" y="6611937"/>
          <a:ext cx="1060450" cy="152400"/>
        </a:xfrm>
        <a:prstGeom prst="rect">
          <a:avLst/>
        </a:prstGeom>
        <a:noFill/>
        <a:ln>
          <a:noFill/>
        </a:ln>
        <a:extLst>
          <a:ext uri="{909E8E84-426E-40DD-AFC4-6F175D3DCCD1}">
            <a14:hiddenFill xmlns:a14="http://schemas.microsoft.com/office/drawing/2010/main">
              <a:solidFill>
                <a:schemeClr val="accent1"/>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66</xdr:col>
      <xdr:colOff>320673</xdr:colOff>
      <xdr:row>372</xdr:row>
      <xdr:rowOff>49212</xdr:rowOff>
    </xdr:from>
    <xdr:to>
      <xdr:col>67</xdr:col>
      <xdr:colOff>20636</xdr:colOff>
      <xdr:row>373</xdr:row>
      <xdr:rowOff>11112</xdr:rowOff>
    </xdr:to>
    <xdr:sp macro="" textlink="">
      <xdr:nvSpPr>
        <xdr:cNvPr id="65" name="Text Placeholder 2">
          <a:extLst>
            <a:ext uri="{FF2B5EF4-FFF2-40B4-BE49-F238E27FC236}">
              <a16:creationId xmlns:a16="http://schemas.microsoft.com/office/drawing/2014/main" id="{00000000-0008-0000-0100-000041000000}"/>
            </a:ext>
          </a:extLst>
        </xdr:cNvPr>
        <xdr:cNvSpPr>
          <a:spLocks noGrp="1"/>
        </xdr:cNvSpPr>
      </xdr:nvSpPr>
      <xdr:spPr bwMode="gray">
        <a:xfrm>
          <a:off x="24244298" y="6335712"/>
          <a:ext cx="303213" cy="152400"/>
        </a:xfrm>
        <a:prstGeom prst="rect">
          <a:avLst/>
        </a:prstGeom>
        <a:noFill/>
        <a:ln>
          <a:noFill/>
        </a:ln>
        <a:extLst>
          <a:ext uri="{909E8E84-426E-40DD-AFC4-6F175D3DCCD1}">
            <a14:hiddenFill xmlns:a14="http://schemas.microsoft.com/office/drawing/2010/main">
              <a:solidFill>
                <a:schemeClr val="accent1"/>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a:spcBef>
              <a:spcPct val="0"/>
            </a:spcBef>
            <a:spcAft>
              <a:spcPct val="0"/>
            </a:spcAft>
            <a:buNone/>
          </a:pPr>
          <a:endParaRPr lang="en-US" sz="1000">
            <a:sym typeface="+mn-lt"/>
          </a:endParaRPr>
        </a:p>
      </xdr:txBody>
    </xdr:sp>
    <xdr:clientData/>
  </xdr:twoCellAnchor>
  <xdr:twoCellAnchor>
    <xdr:from>
      <xdr:col>61</xdr:col>
      <xdr:colOff>57846</xdr:colOff>
      <xdr:row>372</xdr:row>
      <xdr:rowOff>128212</xdr:rowOff>
    </xdr:from>
    <xdr:to>
      <xdr:col>61</xdr:col>
      <xdr:colOff>422971</xdr:colOff>
      <xdr:row>384</xdr:row>
      <xdr:rowOff>90112</xdr:rowOff>
    </xdr:to>
    <xdr:sp macro="" textlink="">
      <xdr:nvSpPr>
        <xdr:cNvPr id="66" name="Text Placeholder 2">
          <a:extLst>
            <a:ext uri="{FF2B5EF4-FFF2-40B4-BE49-F238E27FC236}">
              <a16:creationId xmlns:a16="http://schemas.microsoft.com/office/drawing/2014/main" id="{00000000-0008-0000-0100-000042000000}"/>
            </a:ext>
          </a:extLst>
        </xdr:cNvPr>
        <xdr:cNvSpPr>
          <a:spLocks noGrp="1"/>
        </xdr:cNvSpPr>
      </xdr:nvSpPr>
      <xdr:spPr bwMode="gray">
        <a:xfrm>
          <a:off x="20965221" y="6414712"/>
          <a:ext cx="365125" cy="152400"/>
        </a:xfrm>
        <a:prstGeom prst="rect">
          <a:avLst/>
        </a:prstGeom>
        <a:noFill/>
        <a:ln>
          <a:noFill/>
        </a:ln>
        <a:extLst>
          <a:ext uri="{909E8E84-426E-40DD-AFC4-6F175D3DCCD1}">
            <a14:hiddenFill xmlns:a14="http://schemas.microsoft.com/office/drawing/2010/main">
              <a:solidFill>
                <a:schemeClr val="accent2"/>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63</xdr:col>
      <xdr:colOff>99217</xdr:colOff>
      <xdr:row>343</xdr:row>
      <xdr:rowOff>150200</xdr:rowOff>
    </xdr:from>
    <xdr:to>
      <xdr:col>64</xdr:col>
      <xdr:colOff>488155</xdr:colOff>
      <xdr:row>353</xdr:row>
      <xdr:rowOff>112100</xdr:rowOff>
    </xdr:to>
    <xdr:sp macro="" textlink="">
      <xdr:nvSpPr>
        <xdr:cNvPr id="67" name="Text Placeholder 2">
          <a:extLst>
            <a:ext uri="{FF2B5EF4-FFF2-40B4-BE49-F238E27FC236}">
              <a16:creationId xmlns:a16="http://schemas.microsoft.com/office/drawing/2014/main" id="{00000000-0008-0000-0100-000043000000}"/>
            </a:ext>
          </a:extLst>
        </xdr:cNvPr>
        <xdr:cNvSpPr>
          <a:spLocks noGrp="1"/>
        </xdr:cNvSpPr>
      </xdr:nvSpPr>
      <xdr:spPr bwMode="gray">
        <a:xfrm rot="20955044">
          <a:off x="22213092" y="6055700"/>
          <a:ext cx="992188" cy="152400"/>
        </a:xfrm>
        <a:prstGeom prst="rect">
          <a:avLst/>
        </a:prstGeom>
        <a:noFill/>
        <a:ln>
          <a:noFill/>
        </a:ln>
        <a:extLst>
          <a:ext uri="{909E8E84-426E-40DD-AFC4-6F175D3DCCD1}">
            <a14:hiddenFill xmlns:a14="http://schemas.microsoft.com/office/drawing/2010/main">
              <a:solidFill>
                <a:schemeClr val="accent2"/>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68</xdr:col>
      <xdr:colOff>573504</xdr:colOff>
      <xdr:row>353</xdr:row>
      <xdr:rowOff>32110</xdr:rowOff>
    </xdr:from>
    <xdr:to>
      <xdr:col>69</xdr:col>
      <xdr:colOff>435392</xdr:colOff>
      <xdr:row>353</xdr:row>
      <xdr:rowOff>184510</xdr:rowOff>
    </xdr:to>
    <xdr:sp macro="" textlink="">
      <xdr:nvSpPr>
        <xdr:cNvPr id="68" name="Text Placeholder 2">
          <a:extLst>
            <a:ext uri="{FF2B5EF4-FFF2-40B4-BE49-F238E27FC236}">
              <a16:creationId xmlns:a16="http://schemas.microsoft.com/office/drawing/2014/main" id="{00000000-0008-0000-0100-000044000000}"/>
            </a:ext>
          </a:extLst>
        </xdr:cNvPr>
        <xdr:cNvSpPr>
          <a:spLocks noGrp="1"/>
        </xdr:cNvSpPr>
      </xdr:nvSpPr>
      <xdr:spPr bwMode="gray">
        <a:xfrm>
          <a:off x="25703629" y="6128110"/>
          <a:ext cx="465138" cy="152400"/>
        </a:xfrm>
        <a:prstGeom prst="rect">
          <a:avLst/>
        </a:prstGeom>
        <a:noFill/>
        <a:ln>
          <a:noFill/>
        </a:ln>
        <a:extLst>
          <a:ext uri="{909E8E84-426E-40DD-AFC4-6F175D3DCCD1}">
            <a14:hiddenFill xmlns:a14="http://schemas.microsoft.com/office/drawing/2010/main">
              <a:solidFill>
                <a:schemeClr val="accent1"/>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59</xdr:col>
      <xdr:colOff>478047</xdr:colOff>
      <xdr:row>263</xdr:row>
      <xdr:rowOff>290513</xdr:rowOff>
    </xdr:from>
    <xdr:to>
      <xdr:col>60</xdr:col>
      <xdr:colOff>570122</xdr:colOff>
      <xdr:row>265</xdr:row>
      <xdr:rowOff>61913</xdr:rowOff>
    </xdr:to>
    <xdr:sp macro="" textlink="">
      <xdr:nvSpPr>
        <xdr:cNvPr id="69" name="Text Placeholder 2">
          <a:extLst>
            <a:ext uri="{FF2B5EF4-FFF2-40B4-BE49-F238E27FC236}">
              <a16:creationId xmlns:a16="http://schemas.microsoft.com/office/drawing/2014/main" id="{00000000-0008-0000-0100-000045000000}"/>
            </a:ext>
          </a:extLst>
        </xdr:cNvPr>
        <xdr:cNvSpPr>
          <a:spLocks noGrp="1"/>
        </xdr:cNvSpPr>
      </xdr:nvSpPr>
      <xdr:spPr bwMode="gray">
        <a:xfrm>
          <a:off x="20178922" y="5434013"/>
          <a:ext cx="695325" cy="152400"/>
        </a:xfrm>
        <a:prstGeom prst="rect">
          <a:avLst/>
        </a:prstGeom>
        <a:noFill/>
        <a:ln>
          <a:noFill/>
        </a:ln>
        <a:extLst>
          <a:ext uri="{909E8E84-426E-40DD-AFC4-6F175D3DCCD1}">
            <a14:hiddenFill xmlns:a14="http://schemas.microsoft.com/office/drawing/2010/main">
              <a:solidFill>
                <a:schemeClr val="accent2"/>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r>
            <a:rPr lang="en-US" altLang="en-US" sz="1000"/>
            <a:t> </a:t>
          </a:r>
          <a:endParaRPr lang="en-US" sz="1000">
            <a:sym typeface="+mn-lt"/>
          </a:endParaRPr>
        </a:p>
      </xdr:txBody>
    </xdr:sp>
    <xdr:clientData/>
  </xdr:twoCellAnchor>
  <xdr:twoCellAnchor>
    <xdr:from>
      <xdr:col>68</xdr:col>
      <xdr:colOff>38891</xdr:colOff>
      <xdr:row>353</xdr:row>
      <xdr:rowOff>160218</xdr:rowOff>
    </xdr:from>
    <xdr:to>
      <xdr:col>68</xdr:col>
      <xdr:colOff>446879</xdr:colOff>
      <xdr:row>372</xdr:row>
      <xdr:rowOff>122118</xdr:rowOff>
    </xdr:to>
    <xdr:sp macro="" textlink="">
      <xdr:nvSpPr>
        <xdr:cNvPr id="70" name="Text Placeholder 2">
          <a:extLst>
            <a:ext uri="{FF2B5EF4-FFF2-40B4-BE49-F238E27FC236}">
              <a16:creationId xmlns:a16="http://schemas.microsoft.com/office/drawing/2014/main" id="{00000000-0008-0000-0100-000046000000}"/>
            </a:ext>
          </a:extLst>
        </xdr:cNvPr>
        <xdr:cNvSpPr>
          <a:spLocks noGrp="1"/>
        </xdr:cNvSpPr>
      </xdr:nvSpPr>
      <xdr:spPr bwMode="gray">
        <a:xfrm>
          <a:off x="25169016" y="6256218"/>
          <a:ext cx="407988" cy="152400"/>
        </a:xfrm>
        <a:prstGeom prst="rect">
          <a:avLst/>
        </a:prstGeom>
        <a:noFill/>
        <a:ln>
          <a:noFill/>
        </a:ln>
      </xdr:spPr>
      <xdr:txBody>
        <a:bodyPr vert="horz" wrap="square" lIns="17463" tIns="0" rIns="17463" bIns="0" numCol="1" spcCol="0" rtlCol="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67</xdr:col>
      <xdr:colOff>200108</xdr:colOff>
      <xdr:row>353</xdr:row>
      <xdr:rowOff>84018</xdr:rowOff>
    </xdr:from>
    <xdr:to>
      <xdr:col>67</xdr:col>
      <xdr:colOff>600158</xdr:colOff>
      <xdr:row>372</xdr:row>
      <xdr:rowOff>45918</xdr:rowOff>
    </xdr:to>
    <xdr:sp macro="" textlink="">
      <xdr:nvSpPr>
        <xdr:cNvPr id="71" name="Text Placeholder 2">
          <a:extLst>
            <a:ext uri="{FF2B5EF4-FFF2-40B4-BE49-F238E27FC236}">
              <a16:creationId xmlns:a16="http://schemas.microsoft.com/office/drawing/2014/main" id="{00000000-0008-0000-0100-000047000000}"/>
            </a:ext>
          </a:extLst>
        </xdr:cNvPr>
        <xdr:cNvSpPr>
          <a:spLocks noGrp="1"/>
        </xdr:cNvSpPr>
      </xdr:nvSpPr>
      <xdr:spPr bwMode="gray">
        <a:xfrm>
          <a:off x="24726983" y="6180018"/>
          <a:ext cx="400050" cy="152400"/>
        </a:xfrm>
        <a:prstGeom prst="rect">
          <a:avLst/>
        </a:prstGeom>
        <a:noFill/>
        <a:ln>
          <a:noFill/>
        </a:ln>
        <a:extLst>
          <a:ext uri="{909E8E84-426E-40DD-AFC4-6F175D3DCCD1}">
            <a14:hiddenFill xmlns:a14="http://schemas.microsoft.com/office/drawing/2010/main">
              <a:solidFill>
                <a:schemeClr val="accent1"/>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69</xdr:col>
      <xdr:colOff>286541</xdr:colOff>
      <xdr:row>265</xdr:row>
      <xdr:rowOff>41745</xdr:rowOff>
    </xdr:from>
    <xdr:to>
      <xdr:col>70</xdr:col>
      <xdr:colOff>238916</xdr:colOff>
      <xdr:row>266</xdr:row>
      <xdr:rowOff>3645</xdr:rowOff>
    </xdr:to>
    <xdr:sp macro="" textlink="">
      <xdr:nvSpPr>
        <xdr:cNvPr id="72" name="Text Placeholder 2">
          <a:extLst>
            <a:ext uri="{FF2B5EF4-FFF2-40B4-BE49-F238E27FC236}">
              <a16:creationId xmlns:a16="http://schemas.microsoft.com/office/drawing/2014/main" id="{00000000-0008-0000-0100-000048000000}"/>
            </a:ext>
          </a:extLst>
        </xdr:cNvPr>
        <xdr:cNvSpPr>
          <a:spLocks noGrp="1"/>
        </xdr:cNvSpPr>
      </xdr:nvSpPr>
      <xdr:spPr bwMode="gray">
        <a:xfrm>
          <a:off x="26019916" y="5566245"/>
          <a:ext cx="555625" cy="152400"/>
        </a:xfrm>
        <a:prstGeom prst="rect">
          <a:avLst/>
        </a:prstGeom>
        <a:noFill/>
        <a:ln>
          <a:noFill/>
        </a:ln>
      </xdr:spPr>
      <xdr:txBody>
        <a:bodyPr vert="horz" wrap="square" lIns="17463" tIns="0" rIns="17463" bIns="0" numCol="1" spcCol="0" rtlCol="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twoCellAnchor>
    <xdr:from>
      <xdr:col>62</xdr:col>
      <xdr:colOff>323896</xdr:colOff>
      <xdr:row>353</xdr:row>
      <xdr:rowOff>105442</xdr:rowOff>
    </xdr:from>
    <xdr:to>
      <xdr:col>63</xdr:col>
      <xdr:colOff>93709</xdr:colOff>
      <xdr:row>372</xdr:row>
      <xdr:rowOff>67342</xdr:rowOff>
    </xdr:to>
    <xdr:sp macro="" textlink="">
      <xdr:nvSpPr>
        <xdr:cNvPr id="73" name="Text Placeholder 2">
          <a:extLst>
            <a:ext uri="{FF2B5EF4-FFF2-40B4-BE49-F238E27FC236}">
              <a16:creationId xmlns:a16="http://schemas.microsoft.com/office/drawing/2014/main" id="{00000000-0008-0000-0100-000049000000}"/>
            </a:ext>
          </a:extLst>
        </xdr:cNvPr>
        <xdr:cNvSpPr>
          <a:spLocks noGrp="1"/>
        </xdr:cNvSpPr>
      </xdr:nvSpPr>
      <xdr:spPr bwMode="gray">
        <a:xfrm>
          <a:off x="21834521" y="6201442"/>
          <a:ext cx="373063" cy="152400"/>
        </a:xfrm>
        <a:prstGeom prst="rect">
          <a:avLst/>
        </a:prstGeom>
        <a:noFill/>
        <a:ln>
          <a:noFill/>
        </a:ln>
        <a:extLst>
          <a:ext uri="{909E8E84-426E-40DD-AFC4-6F175D3DCCD1}">
            <a14:hiddenFill xmlns:a14="http://schemas.microsoft.com/office/drawing/2010/main">
              <a:solidFill>
                <a:schemeClr val="accent3"/>
              </a:solidFill>
            </a14:hiddenFill>
          </a:ext>
        </a:extLst>
      </xdr:spPr>
      <xdr:txBody>
        <a:bodyPr vert="horz" wrap="square" lIns="17463" tIns="0" rIns="17463" bIns="0" numCol="1" spcCol="0" rtlCol="0" anchor="ctr"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spcBef>
              <a:spcPct val="0"/>
            </a:spcBef>
            <a:spcAft>
              <a:spcPct val="0"/>
            </a:spcAft>
            <a:buNone/>
          </a:pPr>
          <a:endParaRPr lang="en-US" sz="1000">
            <a:sym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529272</xdr:colOff>
      <xdr:row>47</xdr:row>
      <xdr:rowOff>66675</xdr:rowOff>
    </xdr:from>
    <xdr:to>
      <xdr:col>13</xdr:col>
      <xdr:colOff>54610</xdr:colOff>
      <xdr:row>48</xdr:row>
      <xdr:rowOff>133350</xdr:rowOff>
    </xdr:to>
    <xdr:sp macro="" textlink="">
      <xdr:nvSpPr>
        <xdr:cNvPr id="14" name="Footer Placeholder 2">
          <a:extLst>
            <a:ext uri="{FF2B5EF4-FFF2-40B4-BE49-F238E27FC236}">
              <a16:creationId xmlns:a16="http://schemas.microsoft.com/office/drawing/2014/main" id="{00000000-0008-0000-0700-00000E000000}"/>
            </a:ext>
          </a:extLst>
        </xdr:cNvPr>
        <xdr:cNvSpPr>
          <a:spLocks noGrp="1"/>
        </xdr:cNvSpPr>
      </xdr:nvSpPr>
      <xdr:spPr>
        <a:xfrm>
          <a:off x="2967672" y="7029450"/>
          <a:ext cx="3792538" cy="228600"/>
        </a:xfrm>
        <a:prstGeom prst="rect">
          <a:avLst/>
        </a:prstGeom>
        <a:noFill/>
      </xdr:spPr>
      <xdr:txBody>
        <a:bodyPr wrap="square" lIns="0" tIns="0" rIns="0" bIns="0" rtlCol="0" anchor="t" anchorCtr="0">
          <a:noAutofit/>
        </a:bodyPr>
        <a:lstStyle>
          <a:defPPr>
            <a:defRPr lang="en-US"/>
          </a:defPPr>
          <a:lvl1pPr marL="0" algn="l" defTabSz="914400" rtl="0" eaLnBrk="1" latinLnBrk="0" hangingPunct="1">
            <a:defRPr lang="en-US" sz="900" b="0" i="0" kern="1200" spc="0" baseline="0">
              <a:solidFill>
                <a:srgbClr val="7F7F7F"/>
              </a:solidFill>
              <a:latin typeface="Arial"/>
            </a:defRPr>
          </a:lvl1pPr>
          <a:lvl2pPr marL="457200" algn="l" defTabSz="914400" rtl="0" eaLnBrk="1" latinLnBrk="0" hangingPunct="1">
            <a:defRPr sz="1800" kern="1200">
              <a:solidFill>
                <a:srgbClr val="000000"/>
              </a:solidFill>
              <a:latin typeface="Arial"/>
            </a:defRPr>
          </a:lvl2pPr>
          <a:lvl3pPr marL="914400" algn="l" defTabSz="914400" rtl="0" eaLnBrk="1" latinLnBrk="0" hangingPunct="1">
            <a:defRPr sz="1800" kern="1200">
              <a:solidFill>
                <a:srgbClr val="000000"/>
              </a:solidFill>
              <a:latin typeface="Arial"/>
            </a:defRPr>
          </a:lvl3pPr>
          <a:lvl4pPr marL="1371600" algn="l" defTabSz="914400" rtl="0" eaLnBrk="1" latinLnBrk="0" hangingPunct="1">
            <a:defRPr sz="1800" kern="1200">
              <a:solidFill>
                <a:srgbClr val="000000"/>
              </a:solidFill>
              <a:latin typeface="Arial"/>
            </a:defRPr>
          </a:lvl4pPr>
          <a:lvl5pPr marL="1828800" algn="l" defTabSz="914400" rtl="0" eaLnBrk="1" latinLnBrk="0" hangingPunct="1">
            <a:defRPr sz="1800" kern="1200">
              <a:solidFill>
                <a:srgbClr val="000000"/>
              </a:solidFill>
              <a:latin typeface="Arial"/>
            </a:defRPr>
          </a:lvl5pPr>
          <a:lvl6pPr marL="2286000" algn="l" defTabSz="914400" rtl="0" eaLnBrk="1" latinLnBrk="0" hangingPunct="1">
            <a:defRPr sz="1800" kern="1200">
              <a:solidFill>
                <a:srgbClr val="000000"/>
              </a:solidFill>
              <a:latin typeface="Arial"/>
            </a:defRPr>
          </a:lvl6pPr>
          <a:lvl7pPr marL="2743200" algn="l" defTabSz="914400" rtl="0" eaLnBrk="1" latinLnBrk="0" hangingPunct="1">
            <a:defRPr sz="1800" kern="1200">
              <a:solidFill>
                <a:srgbClr val="000000"/>
              </a:solidFill>
              <a:latin typeface="Arial"/>
            </a:defRPr>
          </a:lvl7pPr>
          <a:lvl8pPr marL="3200400" algn="l" defTabSz="914400" rtl="0" eaLnBrk="1" latinLnBrk="0" hangingPunct="1">
            <a:defRPr sz="1800" kern="1200">
              <a:solidFill>
                <a:srgbClr val="000000"/>
              </a:solidFill>
              <a:latin typeface="Arial"/>
            </a:defRPr>
          </a:lvl8pPr>
          <a:lvl9pPr marL="3657600" algn="l" defTabSz="914400" rtl="0" eaLnBrk="1" latinLnBrk="0" hangingPunct="1">
            <a:defRPr sz="1800" kern="1200">
              <a:solidFill>
                <a:srgbClr val="000000"/>
              </a:solidFill>
              <a:latin typeface="Arial"/>
            </a:defRPr>
          </a:lvl9pPr>
        </a:lstStyle>
        <a:p>
          <a:r>
            <a:rPr lang="en-US"/>
            <a:t>Restricted</a:t>
          </a:r>
        </a:p>
      </xdr:txBody>
    </xdr:sp>
    <xdr:clientData/>
  </xdr:twoCellAnchor>
  <xdr:twoCellAnchor>
    <xdr:from>
      <xdr:col>5</xdr:col>
      <xdr:colOff>300672</xdr:colOff>
      <xdr:row>47</xdr:row>
      <xdr:rowOff>66675</xdr:rowOff>
    </xdr:from>
    <xdr:to>
      <xdr:col>5</xdr:col>
      <xdr:colOff>529272</xdr:colOff>
      <xdr:row>48</xdr:row>
      <xdr:rowOff>133350</xdr:rowOff>
    </xdr:to>
    <xdr:sp macro="" textlink="">
      <xdr:nvSpPr>
        <xdr:cNvPr id="15" name="Slide Number Placeholder 3">
          <a:extLst>
            <a:ext uri="{FF2B5EF4-FFF2-40B4-BE49-F238E27FC236}">
              <a16:creationId xmlns:a16="http://schemas.microsoft.com/office/drawing/2014/main" id="{00000000-0008-0000-0700-00000F000000}"/>
            </a:ext>
          </a:extLst>
        </xdr:cNvPr>
        <xdr:cNvSpPr>
          <a:spLocks noGrp="1"/>
        </xdr:cNvSpPr>
      </xdr:nvSpPr>
      <xdr:spPr>
        <a:xfrm>
          <a:off x="2739072" y="7029450"/>
          <a:ext cx="228600" cy="228600"/>
        </a:xfrm>
        <a:prstGeom prst="rect">
          <a:avLst/>
        </a:prstGeom>
      </xdr:spPr>
      <xdr:txBody>
        <a:bodyPr vert="horz" wrap="square" lIns="0" tIns="0" rIns="0" bIns="0" rtlCol="0" anchor="t" anchorCtr="0"/>
        <a:lstStyle>
          <a:defPPr>
            <a:defRPr lang="en-US"/>
          </a:defPPr>
          <a:lvl1pPr marL="0" algn="l" defTabSz="914400" rtl="0" eaLnBrk="1" latinLnBrk="0" hangingPunct="1">
            <a:defRPr lang="en-US" sz="900" b="0" i="0" kern="1200" spc="0" baseline="0" smtClean="0">
              <a:solidFill>
                <a:srgbClr val="7F7F7F"/>
              </a:solidFill>
              <a:latin typeface="Arial"/>
            </a:defRPr>
          </a:lvl1pPr>
          <a:lvl2pPr marL="457200" algn="l" defTabSz="914400" rtl="0" eaLnBrk="1" latinLnBrk="0" hangingPunct="1">
            <a:defRPr sz="1800" kern="1200">
              <a:solidFill>
                <a:srgbClr val="000000"/>
              </a:solidFill>
              <a:latin typeface="Arial"/>
            </a:defRPr>
          </a:lvl2pPr>
          <a:lvl3pPr marL="914400" algn="l" defTabSz="914400" rtl="0" eaLnBrk="1" latinLnBrk="0" hangingPunct="1">
            <a:defRPr sz="1800" kern="1200">
              <a:solidFill>
                <a:srgbClr val="000000"/>
              </a:solidFill>
              <a:latin typeface="Arial"/>
            </a:defRPr>
          </a:lvl3pPr>
          <a:lvl4pPr marL="1371600" algn="l" defTabSz="914400" rtl="0" eaLnBrk="1" latinLnBrk="0" hangingPunct="1">
            <a:defRPr sz="1800" kern="1200">
              <a:solidFill>
                <a:srgbClr val="000000"/>
              </a:solidFill>
              <a:latin typeface="Arial"/>
            </a:defRPr>
          </a:lvl4pPr>
          <a:lvl5pPr marL="1828800" algn="l" defTabSz="914400" rtl="0" eaLnBrk="1" latinLnBrk="0" hangingPunct="1">
            <a:defRPr sz="1800" kern="1200">
              <a:solidFill>
                <a:srgbClr val="000000"/>
              </a:solidFill>
              <a:latin typeface="Arial"/>
            </a:defRPr>
          </a:lvl5pPr>
          <a:lvl6pPr marL="2286000" algn="l" defTabSz="914400" rtl="0" eaLnBrk="1" latinLnBrk="0" hangingPunct="1">
            <a:defRPr sz="1800" kern="1200">
              <a:solidFill>
                <a:srgbClr val="000000"/>
              </a:solidFill>
              <a:latin typeface="Arial"/>
            </a:defRPr>
          </a:lvl6pPr>
          <a:lvl7pPr marL="2743200" algn="l" defTabSz="914400" rtl="0" eaLnBrk="1" latinLnBrk="0" hangingPunct="1">
            <a:defRPr sz="1800" kern="1200">
              <a:solidFill>
                <a:srgbClr val="000000"/>
              </a:solidFill>
              <a:latin typeface="Arial"/>
            </a:defRPr>
          </a:lvl7pPr>
          <a:lvl8pPr marL="3200400" algn="l" defTabSz="914400" rtl="0" eaLnBrk="1" latinLnBrk="0" hangingPunct="1">
            <a:defRPr sz="1800" kern="1200">
              <a:solidFill>
                <a:srgbClr val="000000"/>
              </a:solidFill>
              <a:latin typeface="Arial"/>
            </a:defRPr>
          </a:lvl8pPr>
          <a:lvl9pPr marL="3657600" algn="l" defTabSz="914400" rtl="0" eaLnBrk="1" latinLnBrk="0" hangingPunct="1">
            <a:defRPr sz="1800" kern="1200">
              <a:solidFill>
                <a:srgbClr val="000000"/>
              </a:solidFill>
              <a:latin typeface="Arial"/>
            </a:defRPr>
          </a:lvl9pPr>
        </a:lstStyle>
        <a:p>
          <a:r>
            <a:rPr lang="uk-UA"/>
            <a:t>3</a:t>
          </a:r>
        </a:p>
      </xdr:txBody>
    </xdr:sp>
    <xdr:clientData/>
  </xdr:twoCellAnchor>
  <xdr:twoCellAnchor>
    <xdr:from>
      <xdr:col>0</xdr:col>
      <xdr:colOff>320477</xdr:colOff>
      <xdr:row>5</xdr:row>
      <xdr:rowOff>1787757</xdr:rowOff>
    </xdr:from>
    <xdr:to>
      <xdr:col>0</xdr:col>
      <xdr:colOff>4265415</xdr:colOff>
      <xdr:row>6</xdr:row>
      <xdr:rowOff>1389062</xdr:rowOff>
    </xdr:to>
    <xdr:sp macro="" textlink="">
      <xdr:nvSpPr>
        <xdr:cNvPr id="17" name="TextBox 18">
          <a:extLst>
            <a:ext uri="{FF2B5EF4-FFF2-40B4-BE49-F238E27FC236}">
              <a16:creationId xmlns:a16="http://schemas.microsoft.com/office/drawing/2014/main" id="{00000000-0008-0000-0700-000011000000}"/>
            </a:ext>
          </a:extLst>
        </xdr:cNvPr>
        <xdr:cNvSpPr txBox="1"/>
      </xdr:nvSpPr>
      <xdr:spPr>
        <a:xfrm>
          <a:off x="320477" y="3142093"/>
          <a:ext cx="3944938" cy="1491422"/>
        </a:xfrm>
        <a:prstGeom prst="rect">
          <a:avLst/>
        </a:prstGeom>
        <a:solidFill>
          <a:srgbClr val="FFFFFF"/>
        </a:solidFill>
        <a:ln w="12700" cap="sq" cmpd="sng" algn="ctr">
          <a:solidFill>
            <a:srgbClr val="000000"/>
          </a:solidFill>
          <a:prstDash val="solid"/>
        </a:ln>
        <a:effectLst/>
      </xdr:spPr>
      <xdr:style>
        <a:lnRef idx="2">
          <a:schemeClr val="dk1"/>
        </a:lnRef>
        <a:fillRef idx="1">
          <a:schemeClr val="lt1"/>
        </a:fillRef>
        <a:effectRef idx="0">
          <a:schemeClr val="dk1"/>
        </a:effectRef>
        <a:fontRef idx="minor">
          <a:schemeClr val="dk1"/>
        </a:fontRef>
      </xdr:style>
      <xdr:txBody>
        <a:bodyPr wrap="square" rtlCol="0">
          <a:noAutofit/>
        </a:bodyPr>
        <a:lstStyle>
          <a:defPPr>
            <a:defRPr lang="en-US"/>
          </a:defPPr>
          <a:lvl1pPr marL="0" algn="l" defTabSz="914400" rtl="0" eaLnBrk="1" latinLnBrk="0" hangingPunct="1">
            <a:defRPr sz="1800" kern="1200">
              <a:solidFill>
                <a:srgbClr val="000000"/>
              </a:solidFill>
              <a:latin typeface="Arial"/>
            </a:defRPr>
          </a:lvl1pPr>
          <a:lvl2pPr marL="457200" algn="l" defTabSz="914400" rtl="0" eaLnBrk="1" latinLnBrk="0" hangingPunct="1">
            <a:defRPr sz="1800" kern="1200">
              <a:solidFill>
                <a:srgbClr val="000000"/>
              </a:solidFill>
              <a:latin typeface="Arial"/>
            </a:defRPr>
          </a:lvl2pPr>
          <a:lvl3pPr marL="914400" algn="l" defTabSz="914400" rtl="0" eaLnBrk="1" latinLnBrk="0" hangingPunct="1">
            <a:defRPr sz="1800" kern="1200">
              <a:solidFill>
                <a:srgbClr val="000000"/>
              </a:solidFill>
              <a:latin typeface="Arial"/>
            </a:defRPr>
          </a:lvl3pPr>
          <a:lvl4pPr marL="1371600" algn="l" defTabSz="914400" rtl="0" eaLnBrk="1" latinLnBrk="0" hangingPunct="1">
            <a:defRPr sz="1800" kern="1200">
              <a:solidFill>
                <a:srgbClr val="000000"/>
              </a:solidFill>
              <a:latin typeface="Arial"/>
            </a:defRPr>
          </a:lvl4pPr>
          <a:lvl5pPr marL="1828800" algn="l" defTabSz="914400" rtl="0" eaLnBrk="1" latinLnBrk="0" hangingPunct="1">
            <a:defRPr sz="1800" kern="1200">
              <a:solidFill>
                <a:srgbClr val="000000"/>
              </a:solidFill>
              <a:latin typeface="Arial"/>
            </a:defRPr>
          </a:lvl5pPr>
          <a:lvl6pPr marL="2286000" algn="l" defTabSz="914400" rtl="0" eaLnBrk="1" latinLnBrk="0" hangingPunct="1">
            <a:defRPr sz="1800" kern="1200">
              <a:solidFill>
                <a:srgbClr val="000000"/>
              </a:solidFill>
              <a:latin typeface="Arial"/>
            </a:defRPr>
          </a:lvl6pPr>
          <a:lvl7pPr marL="2743200" algn="l" defTabSz="914400" rtl="0" eaLnBrk="1" latinLnBrk="0" hangingPunct="1">
            <a:defRPr sz="1800" kern="1200">
              <a:solidFill>
                <a:srgbClr val="000000"/>
              </a:solidFill>
              <a:latin typeface="Arial"/>
            </a:defRPr>
          </a:lvl7pPr>
          <a:lvl8pPr marL="3200400" algn="l" defTabSz="914400" rtl="0" eaLnBrk="1" latinLnBrk="0" hangingPunct="1">
            <a:defRPr sz="1800" kern="1200">
              <a:solidFill>
                <a:srgbClr val="000000"/>
              </a:solidFill>
              <a:latin typeface="Arial"/>
            </a:defRPr>
          </a:lvl8pPr>
          <a:lvl9pPr marL="3657600" algn="l" defTabSz="914400" rtl="0" eaLnBrk="1" latinLnBrk="0" hangingPunct="1">
            <a:defRPr sz="1800" kern="1200">
              <a:solidFill>
                <a:srgbClr val="000000"/>
              </a:solidFill>
              <a:latin typeface="Arial"/>
            </a:defRPr>
          </a:lvl9pPr>
        </a:lstStyle>
        <a:p>
          <a:pPr>
            <a:spcAft>
              <a:spcPts val="300"/>
            </a:spcAft>
          </a:pPr>
          <a:r>
            <a:rPr lang="en-US" sz="2400"/>
            <a:t>Probability of Success</a:t>
          </a:r>
        </a:p>
        <a:p>
          <a:pPr>
            <a:spcAft>
              <a:spcPts val="300"/>
            </a:spcAft>
          </a:pPr>
          <a:r>
            <a:rPr lang="en-US" sz="1800" kern="1200">
              <a:solidFill>
                <a:srgbClr val="000000"/>
              </a:solidFill>
              <a:latin typeface="Arial"/>
              <a:ea typeface="+mn-ea"/>
              <a:cs typeface="+mn-cs"/>
            </a:rPr>
            <a:t>Technical, Clinical, Regulatory, Integration &amp; Adoption success scores</a:t>
          </a:r>
        </a:p>
      </xdr:txBody>
    </xdr:sp>
    <xdr:clientData/>
  </xdr:twoCellAnchor>
  <xdr:twoCellAnchor>
    <xdr:from>
      <xdr:col>3</xdr:col>
      <xdr:colOff>412439</xdr:colOff>
      <xdr:row>10</xdr:row>
      <xdr:rowOff>299359</xdr:rowOff>
    </xdr:from>
    <xdr:to>
      <xdr:col>5</xdr:col>
      <xdr:colOff>1192610</xdr:colOff>
      <xdr:row>11</xdr:row>
      <xdr:rowOff>275547</xdr:rowOff>
    </xdr:to>
    <xdr:sp macro="" textlink="">
      <xdr:nvSpPr>
        <xdr:cNvPr id="19" name="TextBox 22">
          <a:extLst>
            <a:ext uri="{FF2B5EF4-FFF2-40B4-BE49-F238E27FC236}">
              <a16:creationId xmlns:a16="http://schemas.microsoft.com/office/drawing/2014/main" id="{00000000-0008-0000-0700-000013000000}"/>
            </a:ext>
          </a:extLst>
        </xdr:cNvPr>
        <xdr:cNvSpPr txBox="1"/>
      </xdr:nvSpPr>
      <xdr:spPr>
        <a:xfrm>
          <a:off x="5844666" y="8246781"/>
          <a:ext cx="4560405" cy="1866305"/>
        </a:xfrm>
        <a:prstGeom prst="rect">
          <a:avLst/>
        </a:prstGeom>
        <a:solidFill>
          <a:srgbClr val="FFFFFF"/>
        </a:solidFill>
        <a:ln w="12700" cap="sq" cmpd="sng" algn="ctr">
          <a:solidFill>
            <a:srgbClr val="000000"/>
          </a:solidFill>
          <a:prstDash val="solid"/>
        </a:ln>
        <a:effectLst/>
      </xdr:spPr>
      <xdr:style>
        <a:lnRef idx="2">
          <a:schemeClr val="dk1"/>
        </a:lnRef>
        <a:fillRef idx="1">
          <a:schemeClr val="lt1"/>
        </a:fillRef>
        <a:effectRef idx="0">
          <a:schemeClr val="dk1"/>
        </a:effectRef>
        <a:fontRef idx="minor">
          <a:schemeClr val="dk1"/>
        </a:fontRef>
      </xdr:style>
      <xdr:txBody>
        <a:bodyPr wrap="square" rtlCol="0">
          <a:noAutofit/>
        </a:bodyPr>
        <a:lstStyle>
          <a:defPPr>
            <a:defRPr lang="en-US"/>
          </a:defPPr>
          <a:lvl1pPr marL="0" algn="l" defTabSz="914400" rtl="0" eaLnBrk="1" latinLnBrk="0" hangingPunct="1">
            <a:defRPr sz="1800" kern="1200">
              <a:solidFill>
                <a:srgbClr val="000000"/>
              </a:solidFill>
              <a:latin typeface="Arial"/>
            </a:defRPr>
          </a:lvl1pPr>
          <a:lvl2pPr marL="457200" algn="l" defTabSz="914400" rtl="0" eaLnBrk="1" latinLnBrk="0" hangingPunct="1">
            <a:defRPr sz="1800" kern="1200">
              <a:solidFill>
                <a:srgbClr val="000000"/>
              </a:solidFill>
              <a:latin typeface="Arial"/>
            </a:defRPr>
          </a:lvl2pPr>
          <a:lvl3pPr marL="914400" algn="l" defTabSz="914400" rtl="0" eaLnBrk="1" latinLnBrk="0" hangingPunct="1">
            <a:defRPr sz="1800" kern="1200">
              <a:solidFill>
                <a:srgbClr val="000000"/>
              </a:solidFill>
              <a:latin typeface="Arial"/>
            </a:defRPr>
          </a:lvl3pPr>
          <a:lvl4pPr marL="1371600" algn="l" defTabSz="914400" rtl="0" eaLnBrk="1" latinLnBrk="0" hangingPunct="1">
            <a:defRPr sz="1800" kern="1200">
              <a:solidFill>
                <a:srgbClr val="000000"/>
              </a:solidFill>
              <a:latin typeface="Arial"/>
            </a:defRPr>
          </a:lvl4pPr>
          <a:lvl5pPr marL="1828800" algn="l" defTabSz="914400" rtl="0" eaLnBrk="1" latinLnBrk="0" hangingPunct="1">
            <a:defRPr sz="1800" kern="1200">
              <a:solidFill>
                <a:srgbClr val="000000"/>
              </a:solidFill>
              <a:latin typeface="Arial"/>
            </a:defRPr>
          </a:lvl5pPr>
          <a:lvl6pPr marL="2286000" algn="l" defTabSz="914400" rtl="0" eaLnBrk="1" latinLnBrk="0" hangingPunct="1">
            <a:defRPr sz="1800" kern="1200">
              <a:solidFill>
                <a:srgbClr val="000000"/>
              </a:solidFill>
              <a:latin typeface="Arial"/>
            </a:defRPr>
          </a:lvl6pPr>
          <a:lvl7pPr marL="2743200" algn="l" defTabSz="914400" rtl="0" eaLnBrk="1" latinLnBrk="0" hangingPunct="1">
            <a:defRPr sz="1800" kern="1200">
              <a:solidFill>
                <a:srgbClr val="000000"/>
              </a:solidFill>
              <a:latin typeface="Arial"/>
            </a:defRPr>
          </a:lvl7pPr>
          <a:lvl8pPr marL="3200400" algn="l" defTabSz="914400" rtl="0" eaLnBrk="1" latinLnBrk="0" hangingPunct="1">
            <a:defRPr sz="1800" kern="1200">
              <a:solidFill>
                <a:srgbClr val="000000"/>
              </a:solidFill>
              <a:latin typeface="Arial"/>
            </a:defRPr>
          </a:lvl8pPr>
          <a:lvl9pPr marL="3657600" algn="l" defTabSz="914400" rtl="0" eaLnBrk="1" latinLnBrk="0" hangingPunct="1">
            <a:defRPr sz="1800" kern="1200">
              <a:solidFill>
                <a:srgbClr val="000000"/>
              </a:solidFill>
              <a:latin typeface="Arial"/>
            </a:defRPr>
          </a:lvl9pPr>
        </a:lstStyle>
        <a:p>
          <a:pPr>
            <a:spcAft>
              <a:spcPts val="300"/>
            </a:spcAft>
          </a:pPr>
          <a:r>
            <a:rPr lang="en-US" sz="2400"/>
            <a:t>Financial attractiveness</a:t>
          </a:r>
        </a:p>
        <a:p>
          <a:pPr>
            <a:spcAft>
              <a:spcPts val="300"/>
            </a:spcAft>
          </a:pPr>
          <a:r>
            <a:rPr lang="en-US" sz="1800"/>
            <a:t>multiple lenses / metrics approach with</a:t>
          </a:r>
        </a:p>
        <a:p>
          <a:pPr marL="742950" lvl="1" indent="-285750">
            <a:spcAft>
              <a:spcPts val="300"/>
            </a:spcAft>
            <a:buFont typeface="Arial" panose="020B0604020202020204" pitchFamily="34" charset="0"/>
            <a:buChar char="•"/>
          </a:pPr>
          <a:r>
            <a:rPr lang="en-US" sz="1800"/>
            <a:t>eROCE</a:t>
          </a:r>
        </a:p>
        <a:p>
          <a:pPr marL="742950" lvl="1" indent="-285750">
            <a:spcAft>
              <a:spcPts val="300"/>
            </a:spcAft>
            <a:buFont typeface="Arial" panose="020B0604020202020204" pitchFamily="34" charset="0"/>
            <a:buChar char="•"/>
          </a:pPr>
          <a:r>
            <a:rPr lang="en-US" sz="1800"/>
            <a:t>eNPV</a:t>
          </a:r>
        </a:p>
        <a:p>
          <a:pPr marL="742950" lvl="1" indent="-285750">
            <a:spcAft>
              <a:spcPts val="300"/>
            </a:spcAft>
            <a:buFont typeface="Arial" panose="020B0604020202020204" pitchFamily="34" charset="0"/>
            <a:buChar char="•"/>
          </a:pPr>
          <a:r>
            <a:rPr lang="en-US" sz="1800"/>
            <a:t>Cost to delivery</a:t>
          </a:r>
        </a:p>
        <a:p>
          <a:endParaRPr lang="en-US" sz="2400"/>
        </a:p>
      </xdr:txBody>
    </xdr:sp>
    <xdr:clientData/>
  </xdr:twoCellAnchor>
  <xdr:twoCellAnchor>
    <xdr:from>
      <xdr:col>0</xdr:col>
      <xdr:colOff>4414664</xdr:colOff>
      <xdr:row>5</xdr:row>
      <xdr:rowOff>1036698</xdr:rowOff>
    </xdr:from>
    <xdr:to>
      <xdr:col>0</xdr:col>
      <xdr:colOff>4414664</xdr:colOff>
      <xdr:row>7</xdr:row>
      <xdr:rowOff>453218</xdr:rowOff>
    </xdr:to>
    <xdr:cxnSp macro="">
      <xdr:nvCxnSpPr>
        <xdr:cNvPr id="8" name="Straight Arrow Connector 7">
          <a:extLst>
            <a:ext uri="{FF2B5EF4-FFF2-40B4-BE49-F238E27FC236}">
              <a16:creationId xmlns:a16="http://schemas.microsoft.com/office/drawing/2014/main" id="{00000000-0008-0000-0700-000008000000}"/>
            </a:ext>
          </a:extLst>
        </xdr:cNvPr>
        <xdr:cNvCxnSpPr/>
      </xdr:nvCxnSpPr>
      <xdr:spPr>
        <a:xfrm flipV="1">
          <a:off x="4414664" y="2391034"/>
          <a:ext cx="0" cy="319675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4360664</xdr:colOff>
      <xdr:row>5</xdr:row>
      <xdr:rowOff>1771054</xdr:rowOff>
    </xdr:from>
    <xdr:to>
      <xdr:col>0</xdr:col>
      <xdr:colOff>4472073</xdr:colOff>
      <xdr:row>6</xdr:row>
      <xdr:rowOff>1301651</xdr:rowOff>
    </xdr:to>
    <xdr:sp macro="" textlink="">
      <xdr:nvSpPr>
        <xdr:cNvPr id="10" name="Rectangle 9">
          <a:extLst>
            <a:ext uri="{FF2B5EF4-FFF2-40B4-BE49-F238E27FC236}">
              <a16:creationId xmlns:a16="http://schemas.microsoft.com/office/drawing/2014/main" id="{00000000-0008-0000-0700-00000A000000}"/>
            </a:ext>
          </a:extLst>
        </xdr:cNvPr>
        <xdr:cNvSpPr/>
      </xdr:nvSpPr>
      <xdr:spPr>
        <a:xfrm rot="16200000">
          <a:off x="3706012" y="3780042"/>
          <a:ext cx="1420714" cy="11140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b="1">
              <a:solidFill>
                <a:schemeClr val="tx1"/>
              </a:solidFill>
            </a:rPr>
            <a:t>MORE FAVOURABLE</a:t>
          </a:r>
        </a:p>
      </xdr:txBody>
    </xdr:sp>
    <xdr:clientData/>
  </xdr:twoCellAnchor>
  <xdr:twoCellAnchor>
    <xdr:from>
      <xdr:col>3</xdr:col>
      <xdr:colOff>999289</xdr:colOff>
      <xdr:row>10</xdr:row>
      <xdr:rowOff>136567</xdr:rowOff>
    </xdr:from>
    <xdr:to>
      <xdr:col>5</xdr:col>
      <xdr:colOff>494496</xdr:colOff>
      <xdr:row>10</xdr:row>
      <xdr:rowOff>136567</xdr:rowOff>
    </xdr:to>
    <xdr:cxnSp macro="">
      <xdr:nvCxnSpPr>
        <xdr:cNvPr id="11" name="Straight Arrow Connector 10">
          <a:extLst>
            <a:ext uri="{FF2B5EF4-FFF2-40B4-BE49-F238E27FC236}">
              <a16:creationId xmlns:a16="http://schemas.microsoft.com/office/drawing/2014/main" id="{00000000-0008-0000-0700-00000B000000}"/>
            </a:ext>
          </a:extLst>
        </xdr:cNvPr>
        <xdr:cNvCxnSpPr/>
      </xdr:nvCxnSpPr>
      <xdr:spPr>
        <a:xfrm>
          <a:off x="6431516" y="8083989"/>
          <a:ext cx="3275441"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48776</xdr:colOff>
      <xdr:row>10</xdr:row>
      <xdr:rowOff>82487</xdr:rowOff>
    </xdr:from>
    <xdr:to>
      <xdr:col>4</xdr:col>
      <xdr:colOff>1445009</xdr:colOff>
      <xdr:row>10</xdr:row>
      <xdr:rowOff>190648</xdr:rowOff>
    </xdr:to>
    <xdr:sp macro="" textlink="">
      <xdr:nvSpPr>
        <xdr:cNvPr id="12" name="Rectangle 11">
          <a:extLst>
            <a:ext uri="{FF2B5EF4-FFF2-40B4-BE49-F238E27FC236}">
              <a16:creationId xmlns:a16="http://schemas.microsoft.com/office/drawing/2014/main" id="{00000000-0008-0000-0700-00000C000000}"/>
            </a:ext>
          </a:extLst>
        </xdr:cNvPr>
        <xdr:cNvSpPr/>
      </xdr:nvSpPr>
      <xdr:spPr>
        <a:xfrm>
          <a:off x="7371120" y="8029909"/>
          <a:ext cx="1396233" cy="10816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b="1">
              <a:solidFill>
                <a:schemeClr val="tx1"/>
              </a:solidFill>
            </a:rPr>
            <a:t>MORE FAVOURABLE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areek, Sunil" refreshedDate="44025.506787962964" createdVersion="6" refreshedVersion="6" minRefreshableVersion="3" recordCount="71">
  <cacheSource type="worksheet">
    <worksheetSource ref="C1:O72" sheet="Value by GLF-DU"/>
  </cacheSource>
  <cacheFields count="13">
    <cacheField name="Project name" numFmtId="0">
      <sharedItems/>
    </cacheField>
    <cacheField name="GLF / DU in the lead" numFmtId="0">
      <sharedItems containsBlank="1" count="10">
        <s v="GDO"/>
        <s v="TRD"/>
        <s v="CD&amp;A"/>
        <s v="CMO/PS"/>
        <s v="RA"/>
        <s v="PS&amp;M"/>
        <s v="D&amp;D"/>
        <s v="DU"/>
        <m/>
        <s v="Finance"/>
      </sharedItems>
    </cacheField>
    <cacheField name="Reduce Int. R&amp;D costs" numFmtId="169">
      <sharedItems containsBlank="1"/>
    </cacheField>
    <cacheField name="Reduce Ext. R&amp;D costs" numFmtId="169">
      <sharedItems containsBlank="1"/>
    </cacheField>
    <cacheField name="Reduce attrition rate" numFmtId="169">
      <sharedItems containsBlank="1"/>
    </cacheField>
    <cacheField name="Reduce time to Approval" numFmtId="169">
      <sharedItems containsBlank="1"/>
    </cacheField>
    <cacheField name="Increase potential P&amp;L in case of approval_x000a_(sales increase, time to peak sales/LoE, and net profit margin)" numFmtId="169">
      <sharedItems containsBlank="1"/>
    </cacheField>
    <cacheField name="Compliance / Maintenance" numFmtId="169">
      <sharedItems containsBlank="1"/>
    </cacheField>
    <cacheField name="Total project costs" numFmtId="169">
      <sharedItems containsSemiMixedTypes="0" containsString="0" containsNumber="1" minValue="3.5000000000000003E-2" maxValue="138.21722"/>
    </cacheField>
    <cacheField name="Reduce R&amp;D Costs" numFmtId="169">
      <sharedItems containsString="0" containsBlank="1" containsNumber="1" minValue="0.29000000000000004" maxValue="22.25"/>
    </cacheField>
    <cacheField name="Reduce attrition rate2" numFmtId="169">
      <sharedItems containsString="0" containsBlank="1" containsNumber="1" minValue="2.9180000000000001" maxValue="105.41000000000001"/>
    </cacheField>
    <cacheField name="Increase potential P&amp;L in case of approval_x000a_(sales increase, time to peak sales/LoE, and net profit margin)2" numFmtId="169">
      <sharedItems containsString="0" containsBlank="1" containsNumber="1" minValue="1" maxValue="138.21722"/>
    </cacheField>
    <cacheField name="Compliance / Maintenance2" numFmtId="169">
      <sharedItems containsString="0" containsBlank="1" containsNumber="1" minValue="3.5000000000000003E-2" maxValue="17.44900000000000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
  <r>
    <s v="Nerve SENSE4"/>
    <x v="0"/>
    <m/>
    <m/>
    <m/>
    <s v="x"/>
    <m/>
    <m/>
    <n v="2.9180000000000001"/>
    <m/>
    <n v="2.9180000000000001"/>
    <m/>
    <m/>
  </r>
  <r>
    <s v="Nerve DYNAMO 2.0"/>
    <x v="0"/>
    <m/>
    <m/>
    <m/>
    <s v="x"/>
    <m/>
    <m/>
    <n v="1.54"/>
    <m/>
    <m/>
    <n v="1.54"/>
    <m/>
  </r>
  <r>
    <s v="Nerve MetricsGDD"/>
    <x v="0"/>
    <s v="x"/>
    <m/>
    <m/>
    <m/>
    <m/>
    <m/>
    <n v="1.2789999999999999"/>
    <m/>
    <m/>
    <n v="1.2789999999999999"/>
    <m/>
  </r>
  <r>
    <s v="Nerve ETP"/>
    <x v="0"/>
    <s v="x"/>
    <m/>
    <m/>
    <m/>
    <m/>
    <m/>
    <n v="0.77800000000000002"/>
    <n v="0.77800000000000002"/>
    <m/>
    <m/>
    <m/>
  </r>
  <r>
    <s v="Nerve FPO"/>
    <x v="0"/>
    <m/>
    <m/>
    <m/>
    <s v="x"/>
    <m/>
    <m/>
    <n v="2.3130000000000002"/>
    <m/>
    <m/>
    <n v="2.3130000000000002"/>
    <m/>
  </r>
  <r>
    <s v="data42"/>
    <x v="0"/>
    <m/>
    <m/>
    <s v="x"/>
    <m/>
    <m/>
    <m/>
    <n v="105.41000000000001"/>
    <m/>
    <n v="105.41000000000001"/>
    <m/>
    <m/>
  </r>
  <r>
    <s v="ARTEMIS"/>
    <x v="0"/>
    <m/>
    <m/>
    <m/>
    <s v="x"/>
    <m/>
    <m/>
    <n v="5.5"/>
    <m/>
    <m/>
    <n v="5.5"/>
    <m/>
  </r>
  <r>
    <s v="Calypso"/>
    <x v="0"/>
    <m/>
    <m/>
    <m/>
    <s v="x"/>
    <m/>
    <m/>
    <n v="7.83"/>
    <m/>
    <m/>
    <n v="7.83"/>
    <m/>
  </r>
  <r>
    <s v="TriNetX"/>
    <x v="0"/>
    <m/>
    <m/>
    <m/>
    <s v="x"/>
    <m/>
    <m/>
    <n v="2.5"/>
    <m/>
    <m/>
    <n v="2.5"/>
    <m/>
  </r>
  <r>
    <s v="Nerve ResCockpit"/>
    <x v="1"/>
    <s v="x"/>
    <m/>
    <m/>
    <m/>
    <m/>
    <m/>
    <n v="1.073"/>
    <n v="1.073"/>
    <m/>
    <m/>
    <m/>
  </r>
  <r>
    <s v="Digital Plant"/>
    <x v="1"/>
    <m/>
    <s v="x"/>
    <m/>
    <m/>
    <m/>
    <m/>
    <n v="0.94"/>
    <n v="0.94"/>
    <m/>
    <m/>
    <m/>
  </r>
  <r>
    <s v="API Modelling"/>
    <x v="1"/>
    <s v="x"/>
    <m/>
    <m/>
    <m/>
    <m/>
    <m/>
    <n v="0.9"/>
    <n v="0.9"/>
    <m/>
    <m/>
    <m/>
  </r>
  <r>
    <s v="GDLIMS"/>
    <x v="1"/>
    <s v="x"/>
    <m/>
    <m/>
    <m/>
    <m/>
    <m/>
    <n v="9.0501500000000004"/>
    <n v="9.0501500000000004"/>
    <m/>
    <m/>
    <m/>
  </r>
  <r>
    <s v="iCS Enhancements"/>
    <x v="1"/>
    <m/>
    <s v="x"/>
    <m/>
    <m/>
    <m/>
    <m/>
    <n v="4.5999999999999996"/>
    <n v="4.5999999999999996"/>
    <m/>
    <m/>
    <m/>
  </r>
  <r>
    <s v="Kneat"/>
    <x v="1"/>
    <s v="x"/>
    <m/>
    <m/>
    <m/>
    <m/>
    <m/>
    <n v="1.1000000000000001"/>
    <n v="1.1000000000000001"/>
    <m/>
    <m/>
    <m/>
  </r>
  <r>
    <s v="GMT Rollout PHAD"/>
    <x v="1"/>
    <m/>
    <m/>
    <m/>
    <s v="x"/>
    <m/>
    <m/>
    <n v="1"/>
    <m/>
    <m/>
    <n v="1"/>
    <m/>
  </r>
  <r>
    <s v="Symphony"/>
    <x v="1"/>
    <s v="x"/>
    <m/>
    <m/>
    <m/>
    <m/>
    <m/>
    <n v="0.29000000000000004"/>
    <n v="0.29000000000000004"/>
    <m/>
    <m/>
    <m/>
  </r>
  <r>
    <s v="SCS"/>
    <x v="1"/>
    <m/>
    <m/>
    <m/>
    <m/>
    <s v="x"/>
    <m/>
    <n v="138.21722"/>
    <m/>
    <m/>
    <n v="138.21722"/>
    <m/>
  </r>
  <r>
    <s v="Luminata"/>
    <x v="1"/>
    <m/>
    <m/>
    <m/>
    <s v="x"/>
    <m/>
    <m/>
    <n v="1.2610000000000003"/>
    <m/>
    <m/>
    <n v="1.2610000000000003"/>
    <m/>
  </r>
  <r>
    <s v="eSAPIENS-II"/>
    <x v="2"/>
    <s v="x"/>
    <m/>
    <m/>
    <m/>
    <m/>
    <m/>
    <n v="0.7"/>
    <n v="0.7"/>
    <m/>
    <m/>
    <m/>
  </r>
  <r>
    <s v="Oxford BDI"/>
    <x v="2"/>
    <m/>
    <m/>
    <s v="x"/>
    <m/>
    <m/>
    <m/>
    <n v="22.5"/>
    <m/>
    <n v="22.5"/>
    <m/>
    <m/>
  </r>
  <r>
    <s v="GGO GEMS"/>
    <x v="3"/>
    <s v="x"/>
    <m/>
    <m/>
    <m/>
    <m/>
    <m/>
    <n v="1.2"/>
    <n v="1.2"/>
    <m/>
    <m/>
    <m/>
  </r>
  <r>
    <s v="PSUR Automation"/>
    <x v="3"/>
    <s v="x"/>
    <m/>
    <m/>
    <m/>
    <m/>
    <m/>
    <n v="0.9"/>
    <n v="0.9"/>
    <m/>
    <m/>
    <m/>
  </r>
  <r>
    <s v="Nerve JARVIS"/>
    <x v="3"/>
    <m/>
    <s v="x"/>
    <m/>
    <m/>
    <m/>
    <m/>
    <n v="1.6679999999999999"/>
    <n v="1.6679999999999999"/>
    <m/>
    <m/>
    <m/>
  </r>
  <r>
    <s v="SSPT"/>
    <x v="3"/>
    <s v="x"/>
    <m/>
    <m/>
    <m/>
    <m/>
    <m/>
    <n v="1.6779999999999999"/>
    <n v="1.6779999999999999"/>
    <m/>
    <m/>
    <m/>
  </r>
  <r>
    <s v="NovaRIM"/>
    <x v="4"/>
    <m/>
    <s v="x"/>
    <m/>
    <m/>
    <m/>
    <m/>
    <n v="22.25"/>
    <n v="22.25"/>
    <m/>
    <m/>
    <m/>
  </r>
  <r>
    <s v="RAKM and RI"/>
    <x v="4"/>
    <m/>
    <m/>
    <m/>
    <s v="x"/>
    <m/>
    <m/>
    <n v="4.45"/>
    <m/>
    <m/>
    <n v="4.45"/>
    <m/>
  </r>
  <r>
    <s v="Andromeda"/>
    <x v="5"/>
    <m/>
    <m/>
    <m/>
    <s v="x"/>
    <m/>
    <m/>
    <n v="6.3924062666666703"/>
    <m/>
    <m/>
    <n v="6.3924062666666703"/>
    <m/>
  </r>
  <r>
    <s v="PCRT"/>
    <x v="6"/>
    <m/>
    <m/>
    <m/>
    <s v="x"/>
    <m/>
    <m/>
    <n v="4.05"/>
    <m/>
    <m/>
    <n v="4.05"/>
    <m/>
  </r>
  <r>
    <s v="NDR"/>
    <x v="6"/>
    <m/>
    <m/>
    <m/>
    <s v="x"/>
    <m/>
    <m/>
    <n v="15.1"/>
    <m/>
    <m/>
    <n v="15.1"/>
    <m/>
  </r>
  <r>
    <s v="Digital Endpts"/>
    <x v="6"/>
    <m/>
    <m/>
    <m/>
    <m/>
    <s v="x"/>
    <m/>
    <n v="7.5"/>
    <m/>
    <m/>
    <n v="7.5"/>
    <m/>
  </r>
  <r>
    <s v="PIN"/>
    <x v="6"/>
    <m/>
    <s v="x"/>
    <m/>
    <m/>
    <m/>
    <m/>
    <n v="1"/>
    <n v="1"/>
    <m/>
    <m/>
    <m/>
  </r>
  <r>
    <s v="DHP"/>
    <x v="6"/>
    <m/>
    <s v="x"/>
    <m/>
    <m/>
    <m/>
    <m/>
    <n v="3.5000000000000004"/>
    <n v="3.5000000000000004"/>
    <m/>
    <m/>
    <m/>
  </r>
  <r>
    <s v="FocalView"/>
    <x v="7"/>
    <m/>
    <m/>
    <m/>
    <m/>
    <s v="x"/>
    <m/>
    <n v="9.3000000000000007"/>
    <m/>
    <m/>
    <n v="9.3000000000000007"/>
    <m/>
  </r>
  <r>
    <s v="PhysIQ-ESCAPE"/>
    <x v="7"/>
    <m/>
    <m/>
    <m/>
    <m/>
    <s v="x"/>
    <m/>
    <n v="29.67"/>
    <m/>
    <m/>
    <n v="29.67"/>
    <m/>
  </r>
  <r>
    <s v="EPICS"/>
    <x v="8"/>
    <m/>
    <s v="x"/>
    <m/>
    <m/>
    <m/>
    <m/>
    <n v="15.500000000000002"/>
    <n v="15.500000000000002"/>
    <m/>
    <m/>
    <m/>
  </r>
  <r>
    <s v="UNR app"/>
    <x v="7"/>
    <m/>
    <m/>
    <m/>
    <m/>
    <m/>
    <s v="x"/>
    <n v="2.9"/>
    <m/>
    <m/>
    <m/>
    <n v="2.9"/>
  </r>
  <r>
    <s v="Nerve Live Wave 4"/>
    <x v="9"/>
    <m/>
    <m/>
    <m/>
    <m/>
    <m/>
    <s v="x"/>
    <n v="0.46800000000000003"/>
    <m/>
    <m/>
    <m/>
    <n v="0.46800000000000003"/>
  </r>
  <r>
    <s v="ACT Implementation"/>
    <x v="3"/>
    <m/>
    <m/>
    <m/>
    <m/>
    <m/>
    <s v="x"/>
    <n v="0.67400000000000004"/>
    <m/>
    <m/>
    <m/>
    <n v="0.67400000000000004"/>
  </r>
  <r>
    <s v="Argus 8"/>
    <x v="0"/>
    <m/>
    <m/>
    <m/>
    <m/>
    <m/>
    <s v="x"/>
    <n v="0.28000000000000003"/>
    <m/>
    <m/>
    <m/>
    <n v="0.28000000000000003"/>
  </r>
  <r>
    <s v="Clin Sys Landscape Evolution"/>
    <x v="3"/>
    <m/>
    <m/>
    <m/>
    <m/>
    <m/>
    <s v="x"/>
    <n v="0.95"/>
    <m/>
    <m/>
    <m/>
    <n v="0.95"/>
  </r>
  <r>
    <s v="Compaq-Meta"/>
    <x v="0"/>
    <m/>
    <m/>
    <m/>
    <m/>
    <m/>
    <s v="x"/>
    <n v="0.34799999999999998"/>
    <m/>
    <m/>
    <m/>
    <n v="0.34799999999999998"/>
  </r>
  <r>
    <s v="CRISP General"/>
    <x v="0"/>
    <m/>
    <m/>
    <m/>
    <m/>
    <m/>
    <s v="x"/>
    <n v="0.3"/>
    <m/>
    <m/>
    <m/>
    <n v="0.3"/>
  </r>
  <r>
    <s v="DARWIN 3.0"/>
    <x v="0"/>
    <m/>
    <m/>
    <m/>
    <m/>
    <m/>
    <s v="x"/>
    <n v="3.9809999999999999"/>
    <m/>
    <m/>
    <m/>
    <n v="3.9809999999999999"/>
  </r>
  <r>
    <s v="DaVinci Ops Evolution"/>
    <x v="0"/>
    <m/>
    <m/>
    <m/>
    <m/>
    <m/>
    <s v="x"/>
    <n v="0.16"/>
    <m/>
    <m/>
    <m/>
    <n v="0.16"/>
  </r>
  <r>
    <s v="EDC ARGUS Integrat"/>
    <x v="0"/>
    <m/>
    <m/>
    <m/>
    <m/>
    <m/>
    <s v="x"/>
    <n v="0.33"/>
    <m/>
    <m/>
    <m/>
    <n v="0.33"/>
  </r>
  <r>
    <s v="GDO eSAE Enhan"/>
    <x v="3"/>
    <m/>
    <m/>
    <m/>
    <m/>
    <m/>
    <s v="x"/>
    <n v="1.25"/>
    <m/>
    <m/>
    <m/>
    <n v="1.25"/>
  </r>
  <r>
    <s v="GGO POPSYS end to end mgmt"/>
    <x v="0"/>
    <m/>
    <m/>
    <m/>
    <m/>
    <m/>
    <s v="x"/>
    <n v="0.4"/>
    <m/>
    <m/>
    <m/>
    <n v="0.4"/>
  </r>
  <r>
    <s v="ICRS enhancement"/>
    <x v="3"/>
    <m/>
    <m/>
    <m/>
    <m/>
    <m/>
    <s v="x"/>
    <n v="0.13600000000000001"/>
    <m/>
    <m/>
    <m/>
    <n v="0.13600000000000001"/>
  </r>
  <r>
    <s v="IPL Enhancements"/>
    <x v="3"/>
    <m/>
    <m/>
    <m/>
    <m/>
    <m/>
    <s v="x"/>
    <n v="3.5000000000000003E-2"/>
    <m/>
    <m/>
    <m/>
    <n v="3.5000000000000003E-2"/>
  </r>
  <r>
    <s v="Mylan Data Migration"/>
    <x v="0"/>
    <m/>
    <m/>
    <m/>
    <m/>
    <m/>
    <s v="x"/>
    <n v="6.5890000000000004"/>
    <m/>
    <m/>
    <m/>
    <n v="6.5890000000000004"/>
  </r>
  <r>
    <s v="OCRDC R5.2 upgrade"/>
    <x v="0"/>
    <m/>
    <m/>
    <m/>
    <m/>
    <m/>
    <s v="x"/>
    <n v="0.107"/>
    <m/>
    <m/>
    <m/>
    <n v="0.107"/>
  </r>
  <r>
    <s v="Optimus Enhancements"/>
    <x v="0"/>
    <m/>
    <m/>
    <m/>
    <m/>
    <m/>
    <s v="x"/>
    <n v="1"/>
    <m/>
    <m/>
    <m/>
    <n v="1"/>
  </r>
  <r>
    <s v="PreAdvance Integration"/>
    <x v="3"/>
    <m/>
    <m/>
    <m/>
    <m/>
    <m/>
    <s v="x"/>
    <n v="0.58099999999999996"/>
    <m/>
    <m/>
    <m/>
    <n v="0.58099999999999996"/>
  </r>
  <r>
    <s v="PS EMfaSys"/>
    <x v="3"/>
    <m/>
    <m/>
    <m/>
    <m/>
    <m/>
    <s v="x"/>
    <n v="12.8"/>
    <m/>
    <m/>
    <m/>
    <n v="12.8"/>
  </r>
  <r>
    <s v="Other CMO/PS compliance projects"/>
    <x v="4"/>
    <m/>
    <m/>
    <m/>
    <m/>
    <m/>
    <s v="x"/>
    <n v="0.124"/>
    <m/>
    <m/>
    <m/>
    <n v="0.124"/>
  </r>
  <r>
    <s v="RA Auto PDF Q Check"/>
    <x v="4"/>
    <m/>
    <m/>
    <m/>
    <m/>
    <m/>
    <s v="x"/>
    <n v="1.1579999999999999"/>
    <m/>
    <m/>
    <m/>
    <n v="1.1579999999999999"/>
  </r>
  <r>
    <s v="RA China eCTD  Subm"/>
    <x v="4"/>
    <m/>
    <m/>
    <m/>
    <m/>
    <m/>
    <s v="x"/>
    <n v="3.4769999999999999"/>
    <m/>
    <m/>
    <m/>
    <n v="3.4769999999999999"/>
  </r>
  <r>
    <s v="RA eCTD 4.0 Eval"/>
    <x v="4"/>
    <m/>
    <m/>
    <m/>
    <m/>
    <m/>
    <s v="x"/>
    <n v="0.14000000000000001"/>
    <m/>
    <m/>
    <m/>
    <n v="0.14000000000000001"/>
  </r>
  <r>
    <s v="RA JP HACT Migration"/>
    <x v="4"/>
    <m/>
    <m/>
    <m/>
    <m/>
    <m/>
    <s v="x"/>
    <n v="0.10199999999999999"/>
    <m/>
    <m/>
    <m/>
    <n v="0.10199999999999999"/>
  </r>
  <r>
    <s v="RA SALTO Reconfig"/>
    <x v="4"/>
    <m/>
    <m/>
    <m/>
    <m/>
    <m/>
    <s v="x"/>
    <n v="8.3000000000000004E-2"/>
    <m/>
    <m/>
    <m/>
    <n v="8.3000000000000004E-2"/>
  </r>
  <r>
    <s v="RA_CDS Tracker Automation"/>
    <x v="4"/>
    <m/>
    <m/>
    <m/>
    <m/>
    <m/>
    <s v="x"/>
    <n v="0.29599999999999999"/>
    <m/>
    <m/>
    <m/>
    <n v="0.29599999999999999"/>
  </r>
  <r>
    <s v="RAMED"/>
    <x v="4"/>
    <m/>
    <m/>
    <m/>
    <m/>
    <m/>
    <s v="x"/>
    <n v="17.449000000000002"/>
    <m/>
    <m/>
    <m/>
    <n v="17.449000000000002"/>
  </r>
  <r>
    <s v="STRIDE D4P"/>
    <x v="0"/>
    <m/>
    <m/>
    <m/>
    <m/>
    <m/>
    <s v="x"/>
    <n v="0.65"/>
    <m/>
    <m/>
    <m/>
    <n v="0.65"/>
  </r>
  <r>
    <s v="STRIDE DARWIN"/>
    <x v="0"/>
    <m/>
    <m/>
    <m/>
    <m/>
    <m/>
    <s v="x"/>
    <n v="1.194"/>
    <m/>
    <m/>
    <m/>
    <n v="1.194"/>
  </r>
  <r>
    <s v="STRIDE Development Hub"/>
    <x v="4"/>
    <m/>
    <m/>
    <m/>
    <m/>
    <m/>
    <s v="x"/>
    <n v="1.1020000000000001"/>
    <m/>
    <m/>
    <m/>
    <n v="1.1020000000000001"/>
  </r>
  <r>
    <s v="STRIDE NovaRIM 2.0"/>
    <x v="0"/>
    <m/>
    <m/>
    <m/>
    <m/>
    <m/>
    <s v="x"/>
    <n v="2.6709999999999998"/>
    <m/>
    <m/>
    <m/>
    <n v="2.6709999999999998"/>
  </r>
  <r>
    <s v="STRIDE Novartis Connect"/>
    <x v="0"/>
    <m/>
    <m/>
    <m/>
    <m/>
    <m/>
    <s v="x"/>
    <n v="4"/>
    <m/>
    <m/>
    <m/>
    <n v="4"/>
  </r>
  <r>
    <s v="TRD IT OPS Necessity Umbrella"/>
    <x v="1"/>
    <m/>
    <m/>
    <m/>
    <m/>
    <m/>
    <s v="x"/>
    <n v="0.25700000000000001"/>
    <m/>
    <m/>
    <m/>
    <n v="0.25700000000000001"/>
  </r>
  <r>
    <s v="CDS Upgrade"/>
    <x v="1"/>
    <m/>
    <m/>
    <m/>
    <m/>
    <m/>
    <s v="x"/>
    <n v="0.4"/>
    <m/>
    <m/>
    <m/>
    <n v="0.4"/>
  </r>
  <r>
    <s v="T-REX Enhancements"/>
    <x v="3"/>
    <m/>
    <m/>
    <m/>
    <m/>
    <m/>
    <s v="x"/>
    <n v="0.57399999999999995"/>
    <m/>
    <m/>
    <m/>
    <n v="0.5739999999999999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6" minRefreshableVersion="3" useAutoFormatting="1" itemPrintTitles="1" createdVersion="6" indent="0" compact="0" compactData="0" gridDropZones="1" multipleFieldFilters="0">
  <location ref="Q5:U17" firstHeaderRow="1" firstDataRow="2" firstDataCol="1"/>
  <pivotFields count="13">
    <pivotField compact="0" outline="0" showAll="0"/>
    <pivotField axis="axisRow" compact="0" outline="0" showAll="0">
      <items count="11">
        <item x="1"/>
        <item x="0"/>
        <item x="4"/>
        <item x="7"/>
        <item x="6"/>
        <item x="2"/>
        <item x="3"/>
        <item x="5"/>
        <item x="9"/>
        <item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numFmtId="169" outline="0" showAll="0"/>
    <pivotField dataField="1" compact="0" outline="0" showAll="0" defaultSubtotal="0"/>
    <pivotField dataField="1" compact="0" outline="0" showAll="0"/>
    <pivotField dataField="1" compact="0" outline="0" showAll="0"/>
    <pivotField dataField="1" compact="0" outline="0" showAll="0"/>
  </pivotFields>
  <rowFields count="1">
    <field x="1"/>
  </rowFields>
  <rowItems count="11">
    <i>
      <x/>
    </i>
    <i>
      <x v="1"/>
    </i>
    <i>
      <x v="2"/>
    </i>
    <i>
      <x v="3"/>
    </i>
    <i>
      <x v="4"/>
    </i>
    <i>
      <x v="5"/>
    </i>
    <i>
      <x v="6"/>
    </i>
    <i>
      <x v="7"/>
    </i>
    <i>
      <x v="8"/>
    </i>
    <i>
      <x v="9"/>
    </i>
    <i t="grand">
      <x/>
    </i>
  </rowItems>
  <colFields count="1">
    <field x="-2"/>
  </colFields>
  <colItems count="4">
    <i>
      <x/>
    </i>
    <i i="1">
      <x v="1"/>
    </i>
    <i i="2">
      <x v="2"/>
    </i>
    <i i="3">
      <x v="3"/>
    </i>
  </colItems>
  <dataFields count="4">
    <dataField name=" Reduce R&amp;D Costs" fld="9" baseField="1" baseItem="0"/>
    <dataField name=" Reduce attrition rate" fld="10" baseField="1" baseItem="1"/>
    <dataField name=" Increase potential P&amp;L in case of approval" fld="11" baseField="1" baseItem="0"/>
    <dataField name=" Compliance / Maintenance" fld="12" baseField="1" baseItem="0"/>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5" name="Table136" displayName="Table136" ref="C1:J40" totalsRowShown="0" headerRowDxfId="37">
  <sortState ref="E2:J39">
    <sortCondition descending="1" ref="F2"/>
  </sortState>
  <tableColumns count="8">
    <tableColumn id="8" name="Project ID code" dataDxfId="36" dataCellStyle="Comma"/>
    <tableColumn id="2" name="WP ID code" dataDxfId="35" dataCellStyle="Comma"/>
    <tableColumn id="1" name="Project Name"/>
    <tableColumn id="5" name="eROCE" dataDxfId="34" dataCellStyle="Comma"/>
    <tableColumn id="3" name="eNPV" dataDxfId="33" dataCellStyle="Comma"/>
    <tableColumn id="6" name="cumulative eNPV" dataDxfId="32" dataCellStyle="Comma"/>
    <tableColumn id="4" name="Total costs in model" dataDxfId="31" dataCellStyle="Comma"/>
    <tableColumn id="7" name="cumulative eCost" dataDxfId="30" dataCellStyle="Comm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W465"/>
  <sheetViews>
    <sheetView zoomScale="80" zoomScaleNormal="80" workbookViewId="0">
      <selection activeCell="AD429" sqref="AD10:AD429"/>
    </sheetView>
  </sheetViews>
  <sheetFormatPr defaultRowHeight="12.5"/>
  <cols>
    <col min="1" max="1" width="4" bestFit="1" customWidth="1"/>
    <col min="2" max="2" width="54.453125" bestFit="1" customWidth="1"/>
    <col min="3" max="3" width="20.453125" bestFit="1" customWidth="1"/>
    <col min="4" max="4" width="14.08984375" bestFit="1" customWidth="1"/>
    <col min="5" max="5" width="9.453125" bestFit="1" customWidth="1"/>
    <col min="6" max="6" width="13.08984375" bestFit="1" customWidth="1"/>
    <col min="7" max="7" width="5" bestFit="1" customWidth="1"/>
    <col min="8" max="8" width="14.453125" bestFit="1" customWidth="1"/>
    <col min="9" max="9" width="21.08984375" customWidth="1"/>
    <col min="10" max="10" width="16.90625" bestFit="1" customWidth="1"/>
    <col min="11" max="11" width="13.54296875" bestFit="1" customWidth="1"/>
    <col min="12" max="12" width="17.90625" bestFit="1" customWidth="1"/>
    <col min="13" max="13" width="17.453125" bestFit="1" customWidth="1"/>
    <col min="14" max="14" width="16.453125" bestFit="1" customWidth="1"/>
    <col min="15" max="15" width="27" bestFit="1" customWidth="1"/>
    <col min="16" max="16" width="49.08984375" bestFit="1" customWidth="1"/>
    <col min="17" max="17" width="58.08984375" bestFit="1" customWidth="1"/>
    <col min="18" max="18" width="10.453125" bestFit="1" customWidth="1"/>
    <col min="19" max="19" width="10.54296875" bestFit="1" customWidth="1"/>
    <col min="20" max="20" width="13.54296875" bestFit="1" customWidth="1"/>
    <col min="21" max="21" width="18.54296875" bestFit="1" customWidth="1"/>
    <col min="22" max="22" width="8.90625" bestFit="1" customWidth="1"/>
    <col min="23" max="23" width="7.453125" bestFit="1" customWidth="1"/>
    <col min="24" max="25" width="25.90625" bestFit="1" customWidth="1"/>
    <col min="26" max="27" width="23.453125" bestFit="1" customWidth="1"/>
    <col min="28" max="28" width="22.54296875" bestFit="1" customWidth="1"/>
    <col min="29" max="29" width="23.54296875" bestFit="1" customWidth="1"/>
    <col min="30" max="30" width="21.54296875" bestFit="1" customWidth="1"/>
    <col min="31" max="32" width="32" bestFit="1" customWidth="1"/>
    <col min="33" max="33" width="27.54296875" bestFit="1" customWidth="1"/>
    <col min="34" max="34" width="19.90625" bestFit="1" customWidth="1"/>
    <col min="35" max="35" width="44.453125" bestFit="1" customWidth="1"/>
    <col min="36" max="36" width="16.54296875" bestFit="1" customWidth="1"/>
    <col min="37" max="37" width="30.54296875" bestFit="1" customWidth="1"/>
    <col min="38" max="38" width="29" bestFit="1" customWidth="1"/>
    <col min="39" max="39" width="30.453125" bestFit="1" customWidth="1"/>
    <col min="40" max="40" width="16" bestFit="1" customWidth="1"/>
    <col min="41" max="41" width="29" bestFit="1" customWidth="1"/>
    <col min="42" max="42" width="12.90625" bestFit="1" customWidth="1"/>
    <col min="43" max="44" width="13" customWidth="1"/>
    <col min="45" max="46" width="14" bestFit="1" customWidth="1"/>
    <col min="48" max="48" width="17.54296875" bestFit="1" customWidth="1"/>
  </cols>
  <sheetData>
    <row r="1" spans="1:49" ht="14.5">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4" t="s">
        <v>41</v>
      </c>
      <c r="AQ1" s="4" t="s">
        <v>42</v>
      </c>
      <c r="AR1" s="4" t="s">
        <v>43</v>
      </c>
      <c r="AS1" s="4" t="s">
        <v>44</v>
      </c>
      <c r="AT1" s="4" t="s">
        <v>45</v>
      </c>
      <c r="AU1" s="4" t="s">
        <v>46</v>
      </c>
      <c r="AV1" s="5" t="s">
        <v>47</v>
      </c>
    </row>
    <row r="2" spans="1:49" ht="14.5" hidden="1">
      <c r="A2" s="6">
        <v>1</v>
      </c>
      <c r="B2" s="7" t="s">
        <v>48</v>
      </c>
      <c r="C2" s="7" t="s">
        <v>49</v>
      </c>
      <c r="D2" s="6">
        <v>15583</v>
      </c>
      <c r="E2" s="6" t="s">
        <v>50</v>
      </c>
      <c r="F2" s="8"/>
      <c r="G2" s="8"/>
      <c r="H2" s="7" t="s">
        <v>49</v>
      </c>
      <c r="I2" s="7"/>
      <c r="J2" s="6" t="s">
        <v>49</v>
      </c>
      <c r="K2" s="9" t="s">
        <v>49</v>
      </c>
      <c r="L2" s="9" t="s">
        <v>49</v>
      </c>
      <c r="M2" s="8"/>
      <c r="N2" s="10">
        <v>43825</v>
      </c>
      <c r="O2" s="10">
        <v>45229</v>
      </c>
      <c r="P2" s="9" t="s">
        <v>49</v>
      </c>
      <c r="Q2" s="9" t="s">
        <v>49</v>
      </c>
      <c r="R2" s="8"/>
      <c r="S2" s="8"/>
      <c r="T2" s="8"/>
      <c r="U2" s="8"/>
      <c r="V2" s="9" t="s">
        <v>49</v>
      </c>
      <c r="W2" s="9" t="s">
        <v>49</v>
      </c>
      <c r="X2" s="8"/>
      <c r="Y2" s="8"/>
      <c r="Z2" s="8"/>
      <c r="AA2" s="8"/>
      <c r="AB2" s="8"/>
      <c r="AC2" s="8"/>
      <c r="AD2" s="8"/>
      <c r="AE2" s="8"/>
      <c r="AF2" s="8"/>
      <c r="AG2" s="8"/>
      <c r="AH2" s="7" t="s">
        <v>51</v>
      </c>
      <c r="AI2" s="6" t="s">
        <v>49</v>
      </c>
      <c r="AJ2" s="6" t="s">
        <v>49</v>
      </c>
      <c r="AK2" s="6" t="s">
        <v>49</v>
      </c>
      <c r="AL2" s="9" t="s">
        <v>49</v>
      </c>
      <c r="AM2" s="9" t="s">
        <v>52</v>
      </c>
      <c r="AN2" s="6" t="s">
        <v>49</v>
      </c>
      <c r="AO2" s="9" t="s">
        <v>52</v>
      </c>
      <c r="AP2" s="11">
        <v>0</v>
      </c>
      <c r="AQ2" s="11">
        <v>0</v>
      </c>
      <c r="AR2" s="11">
        <v>0</v>
      </c>
      <c r="AS2" s="11">
        <v>0</v>
      </c>
      <c r="AT2" s="11">
        <v>0</v>
      </c>
      <c r="AU2" s="11">
        <v>0</v>
      </c>
      <c r="AV2" s="11" t="s">
        <v>51</v>
      </c>
    </row>
    <row r="3" spans="1:49" ht="14.5" hidden="1">
      <c r="A3" s="6">
        <v>2</v>
      </c>
      <c r="B3" s="7" t="s">
        <v>53</v>
      </c>
      <c r="C3" s="7" t="s">
        <v>49</v>
      </c>
      <c r="D3" s="6">
        <v>15583</v>
      </c>
      <c r="E3" s="6" t="s">
        <v>54</v>
      </c>
      <c r="F3" s="8"/>
      <c r="G3" s="8"/>
      <c r="H3" s="7" t="s">
        <v>49</v>
      </c>
      <c r="I3" s="7"/>
      <c r="J3" s="6" t="s">
        <v>49</v>
      </c>
      <c r="K3" s="9" t="s">
        <v>49</v>
      </c>
      <c r="L3" s="9" t="s">
        <v>49</v>
      </c>
      <c r="M3" s="8"/>
      <c r="N3" s="10">
        <v>43789</v>
      </c>
      <c r="O3" s="10">
        <v>45229</v>
      </c>
      <c r="P3" s="9" t="s">
        <v>49</v>
      </c>
      <c r="Q3" s="9" t="s">
        <v>49</v>
      </c>
      <c r="R3" s="8"/>
      <c r="S3" s="8"/>
      <c r="T3" s="8"/>
      <c r="U3" s="8"/>
      <c r="V3" s="9" t="s">
        <v>49</v>
      </c>
      <c r="W3" s="9" t="s">
        <v>49</v>
      </c>
      <c r="X3" s="8"/>
      <c r="Y3" s="8"/>
      <c r="Z3" s="8"/>
      <c r="AA3" s="8"/>
      <c r="AB3" s="8"/>
      <c r="AC3" s="8"/>
      <c r="AD3" s="8"/>
      <c r="AE3" s="8"/>
      <c r="AF3" s="8"/>
      <c r="AG3" s="8"/>
      <c r="AH3" s="7" t="s">
        <v>51</v>
      </c>
      <c r="AI3" s="6" t="s">
        <v>49</v>
      </c>
      <c r="AJ3" s="6" t="s">
        <v>49</v>
      </c>
      <c r="AK3" s="6" t="s">
        <v>49</v>
      </c>
      <c r="AL3" s="9" t="s">
        <v>49</v>
      </c>
      <c r="AM3" s="9" t="s">
        <v>52</v>
      </c>
      <c r="AN3" s="6" t="s">
        <v>49</v>
      </c>
      <c r="AO3" s="9" t="s">
        <v>52</v>
      </c>
      <c r="AP3" s="11">
        <v>0</v>
      </c>
      <c r="AQ3" s="11">
        <v>0</v>
      </c>
      <c r="AR3" s="11">
        <v>0</v>
      </c>
      <c r="AS3" s="11">
        <v>0</v>
      </c>
      <c r="AT3" s="11">
        <v>0</v>
      </c>
      <c r="AU3" s="11">
        <v>0</v>
      </c>
      <c r="AV3" s="11" t="s">
        <v>51</v>
      </c>
    </row>
    <row r="4" spans="1:49" ht="14.5" hidden="1">
      <c r="A4" s="6">
        <v>3</v>
      </c>
      <c r="B4" s="7" t="s">
        <v>55</v>
      </c>
      <c r="C4" s="7" t="s">
        <v>49</v>
      </c>
      <c r="D4" s="6">
        <v>15377</v>
      </c>
      <c r="E4" s="6" t="s">
        <v>56</v>
      </c>
      <c r="F4" s="12"/>
      <c r="G4" s="8"/>
      <c r="H4" s="7" t="s">
        <v>49</v>
      </c>
      <c r="I4" s="7"/>
      <c r="J4" s="6" t="s">
        <v>49</v>
      </c>
      <c r="K4" s="9" t="s">
        <v>49</v>
      </c>
      <c r="L4" s="9" t="s">
        <v>49</v>
      </c>
      <c r="M4" s="12"/>
      <c r="N4" s="10">
        <v>43467</v>
      </c>
      <c r="O4" s="10">
        <v>43830</v>
      </c>
      <c r="P4" s="9" t="s">
        <v>49</v>
      </c>
      <c r="Q4" s="9" t="s">
        <v>49</v>
      </c>
      <c r="R4" s="12"/>
      <c r="S4" s="12"/>
      <c r="T4" s="12"/>
      <c r="U4" s="12"/>
      <c r="V4" s="9" t="s">
        <v>49</v>
      </c>
      <c r="W4" s="9" t="s">
        <v>49</v>
      </c>
      <c r="X4" s="8"/>
      <c r="Y4" s="8"/>
      <c r="Z4" s="12"/>
      <c r="AA4" s="8"/>
      <c r="AB4" s="12"/>
      <c r="AC4" s="8"/>
      <c r="AD4" s="12"/>
      <c r="AE4" s="12"/>
      <c r="AF4" s="8"/>
      <c r="AG4" s="12"/>
      <c r="AH4" s="7" t="s">
        <v>57</v>
      </c>
      <c r="AI4" s="6" t="s">
        <v>49</v>
      </c>
      <c r="AJ4" s="6" t="s">
        <v>49</v>
      </c>
      <c r="AK4" s="6" t="s">
        <v>49</v>
      </c>
      <c r="AL4" s="9" t="s">
        <v>49</v>
      </c>
      <c r="AM4" s="9" t="s">
        <v>58</v>
      </c>
      <c r="AN4" s="6" t="s">
        <v>49</v>
      </c>
      <c r="AO4" s="9" t="s">
        <v>58</v>
      </c>
      <c r="AP4" s="11">
        <v>0</v>
      </c>
      <c r="AQ4" s="11">
        <v>0</v>
      </c>
      <c r="AR4" s="11">
        <v>0</v>
      </c>
      <c r="AS4" s="11">
        <v>0</v>
      </c>
      <c r="AT4" s="11">
        <v>0</v>
      </c>
      <c r="AU4" s="11">
        <v>0</v>
      </c>
      <c r="AV4" s="11" t="s">
        <v>57</v>
      </c>
    </row>
    <row r="5" spans="1:49" ht="14.5" hidden="1">
      <c r="A5" s="6">
        <v>4</v>
      </c>
      <c r="B5" s="7" t="s">
        <v>59</v>
      </c>
      <c r="C5" s="7" t="s">
        <v>49</v>
      </c>
      <c r="D5" s="6">
        <v>15583</v>
      </c>
      <c r="E5" s="6" t="s">
        <v>60</v>
      </c>
      <c r="F5" s="8"/>
      <c r="G5" s="8"/>
      <c r="H5" s="7" t="s">
        <v>49</v>
      </c>
      <c r="I5" s="7"/>
      <c r="J5" s="6" t="s">
        <v>49</v>
      </c>
      <c r="K5" s="9" t="s">
        <v>49</v>
      </c>
      <c r="L5" s="9" t="s">
        <v>49</v>
      </c>
      <c r="M5" s="12"/>
      <c r="N5" s="8"/>
      <c r="O5" s="10">
        <v>45229</v>
      </c>
      <c r="P5" s="9" t="s">
        <v>49</v>
      </c>
      <c r="Q5" s="9" t="s">
        <v>49</v>
      </c>
      <c r="R5" s="8"/>
      <c r="S5" s="8"/>
      <c r="T5" s="8"/>
      <c r="U5" s="8"/>
      <c r="V5" s="9" t="s">
        <v>49</v>
      </c>
      <c r="W5" s="9" t="s">
        <v>49</v>
      </c>
      <c r="X5" s="8"/>
      <c r="Y5" s="8"/>
      <c r="Z5" s="8"/>
      <c r="AA5" s="8"/>
      <c r="AB5" s="8"/>
      <c r="AC5" s="8"/>
      <c r="AD5" s="8"/>
      <c r="AE5" s="8"/>
      <c r="AF5" s="8"/>
      <c r="AG5" s="8"/>
      <c r="AH5" s="7" t="s">
        <v>51</v>
      </c>
      <c r="AI5" s="6" t="s">
        <v>49</v>
      </c>
      <c r="AJ5" s="6" t="s">
        <v>49</v>
      </c>
      <c r="AK5" s="6" t="s">
        <v>49</v>
      </c>
      <c r="AL5" s="9" t="s">
        <v>49</v>
      </c>
      <c r="AM5" s="9" t="s">
        <v>52</v>
      </c>
      <c r="AN5" s="6" t="s">
        <v>49</v>
      </c>
      <c r="AO5" s="9" t="s">
        <v>52</v>
      </c>
      <c r="AP5" s="11">
        <v>0</v>
      </c>
      <c r="AQ5" s="11">
        <v>0</v>
      </c>
      <c r="AR5" s="11">
        <v>0</v>
      </c>
      <c r="AS5" s="11">
        <v>0</v>
      </c>
      <c r="AT5" s="11">
        <v>0</v>
      </c>
      <c r="AU5" s="11">
        <v>0</v>
      </c>
      <c r="AV5" s="11" t="s">
        <v>51</v>
      </c>
    </row>
    <row r="6" spans="1:49" ht="14.5" hidden="1">
      <c r="A6" s="6">
        <v>5</v>
      </c>
      <c r="B6" s="7" t="s">
        <v>61</v>
      </c>
      <c r="C6" s="7" t="s">
        <v>49</v>
      </c>
      <c r="D6" s="6">
        <v>15583</v>
      </c>
      <c r="E6" s="6" t="s">
        <v>62</v>
      </c>
      <c r="F6" s="8"/>
      <c r="G6" s="8"/>
      <c r="H6" s="7" t="s">
        <v>49</v>
      </c>
      <c r="I6" s="7"/>
      <c r="J6" s="6" t="s">
        <v>49</v>
      </c>
      <c r="K6" s="9" t="s">
        <v>49</v>
      </c>
      <c r="L6" s="9" t="s">
        <v>49</v>
      </c>
      <c r="M6" s="8"/>
      <c r="N6" s="12"/>
      <c r="O6" s="10">
        <v>45229</v>
      </c>
      <c r="P6" s="9" t="s">
        <v>49</v>
      </c>
      <c r="Q6" s="9" t="s">
        <v>49</v>
      </c>
      <c r="R6" s="8"/>
      <c r="S6" s="8"/>
      <c r="T6" s="8"/>
      <c r="U6" s="8"/>
      <c r="V6" s="9" t="s">
        <v>49</v>
      </c>
      <c r="W6" s="9" t="s">
        <v>49</v>
      </c>
      <c r="X6" s="8"/>
      <c r="Y6" s="8"/>
      <c r="Z6" s="8"/>
      <c r="AA6" s="8"/>
      <c r="AB6" s="8"/>
      <c r="AC6" s="8"/>
      <c r="AD6" s="8"/>
      <c r="AE6" s="8"/>
      <c r="AF6" s="8"/>
      <c r="AG6" s="8"/>
      <c r="AH6" s="7" t="s">
        <v>51</v>
      </c>
      <c r="AI6" s="6" t="s">
        <v>49</v>
      </c>
      <c r="AJ6" s="6" t="s">
        <v>49</v>
      </c>
      <c r="AK6" s="6" t="s">
        <v>49</v>
      </c>
      <c r="AL6" s="9" t="s">
        <v>49</v>
      </c>
      <c r="AM6" s="9" t="s">
        <v>52</v>
      </c>
      <c r="AN6" s="6" t="s">
        <v>49</v>
      </c>
      <c r="AO6" s="9" t="s">
        <v>52</v>
      </c>
      <c r="AP6" s="11">
        <v>0</v>
      </c>
      <c r="AQ6" s="11">
        <v>0</v>
      </c>
      <c r="AR6" s="11">
        <v>0</v>
      </c>
      <c r="AS6" s="11">
        <v>0</v>
      </c>
      <c r="AT6" s="11">
        <v>0</v>
      </c>
      <c r="AU6" s="11">
        <v>0</v>
      </c>
      <c r="AV6" s="11" t="s">
        <v>51</v>
      </c>
    </row>
    <row r="7" spans="1:49" ht="14.5" hidden="1">
      <c r="A7" s="6">
        <v>6</v>
      </c>
      <c r="B7" s="7" t="s">
        <v>63</v>
      </c>
      <c r="C7" s="7" t="s">
        <v>49</v>
      </c>
      <c r="D7" s="6">
        <v>15583</v>
      </c>
      <c r="E7" s="6" t="s">
        <v>64</v>
      </c>
      <c r="F7" s="8"/>
      <c r="G7" s="8"/>
      <c r="H7" s="7" t="s">
        <v>49</v>
      </c>
      <c r="I7" s="7"/>
      <c r="J7" s="6" t="s">
        <v>49</v>
      </c>
      <c r="K7" s="9" t="s">
        <v>49</v>
      </c>
      <c r="L7" s="9" t="s">
        <v>49</v>
      </c>
      <c r="M7" s="8"/>
      <c r="N7" s="12"/>
      <c r="O7" s="10">
        <v>45229</v>
      </c>
      <c r="P7" s="9" t="s">
        <v>49</v>
      </c>
      <c r="Q7" s="9" t="s">
        <v>49</v>
      </c>
      <c r="R7" s="8"/>
      <c r="S7" s="8"/>
      <c r="T7" s="8"/>
      <c r="U7" s="8"/>
      <c r="V7" s="9" t="s">
        <v>49</v>
      </c>
      <c r="W7" s="9" t="s">
        <v>49</v>
      </c>
      <c r="X7" s="8"/>
      <c r="Y7" s="8"/>
      <c r="Z7" s="8"/>
      <c r="AA7" s="8"/>
      <c r="AB7" s="8"/>
      <c r="AC7" s="8"/>
      <c r="AD7" s="8"/>
      <c r="AE7" s="8"/>
      <c r="AF7" s="8"/>
      <c r="AG7" s="8"/>
      <c r="AH7" s="7" t="s">
        <v>51</v>
      </c>
      <c r="AI7" s="6" t="s">
        <v>49</v>
      </c>
      <c r="AJ7" s="6" t="s">
        <v>49</v>
      </c>
      <c r="AK7" s="6" t="s">
        <v>49</v>
      </c>
      <c r="AL7" s="9" t="s">
        <v>49</v>
      </c>
      <c r="AM7" s="9" t="s">
        <v>52</v>
      </c>
      <c r="AN7" s="6" t="s">
        <v>49</v>
      </c>
      <c r="AO7" s="9" t="s">
        <v>52</v>
      </c>
      <c r="AP7" s="11">
        <v>0</v>
      </c>
      <c r="AQ7" s="11">
        <v>0</v>
      </c>
      <c r="AR7" s="11">
        <v>0</v>
      </c>
      <c r="AS7" s="11">
        <v>0</v>
      </c>
      <c r="AT7" s="11">
        <v>0</v>
      </c>
      <c r="AU7" s="11">
        <v>0</v>
      </c>
      <c r="AV7" s="11" t="s">
        <v>51</v>
      </c>
    </row>
    <row r="8" spans="1:49" ht="14.5" hidden="1">
      <c r="A8" s="6">
        <v>7</v>
      </c>
      <c r="B8" s="7" t="s">
        <v>65</v>
      </c>
      <c r="C8" s="7" t="s">
        <v>49</v>
      </c>
      <c r="D8" s="6">
        <v>15481</v>
      </c>
      <c r="E8" s="6" t="s">
        <v>66</v>
      </c>
      <c r="F8" s="8"/>
      <c r="G8" s="8"/>
      <c r="H8" s="7" t="s">
        <v>49</v>
      </c>
      <c r="I8" s="7"/>
      <c r="J8" s="6" t="s">
        <v>49</v>
      </c>
      <c r="K8" s="9" t="s">
        <v>49</v>
      </c>
      <c r="L8" s="9" t="s">
        <v>49</v>
      </c>
      <c r="M8" s="8"/>
      <c r="N8" s="10">
        <v>43440</v>
      </c>
      <c r="O8" s="10">
        <v>44925</v>
      </c>
      <c r="P8" s="9" t="s">
        <v>49</v>
      </c>
      <c r="Q8" s="9" t="s">
        <v>49</v>
      </c>
      <c r="R8" s="8"/>
      <c r="S8" s="8"/>
      <c r="T8" s="8"/>
      <c r="U8" s="8"/>
      <c r="V8" s="9" t="s">
        <v>49</v>
      </c>
      <c r="W8" s="9" t="s">
        <v>49</v>
      </c>
      <c r="X8" s="8"/>
      <c r="Y8" s="8"/>
      <c r="Z8" s="8"/>
      <c r="AA8" s="8"/>
      <c r="AB8" s="8"/>
      <c r="AC8" s="8"/>
      <c r="AD8" s="8"/>
      <c r="AE8" s="8"/>
      <c r="AF8" s="8"/>
      <c r="AG8" s="8"/>
      <c r="AH8" s="7" t="s">
        <v>57</v>
      </c>
      <c r="AI8" s="6" t="s">
        <v>49</v>
      </c>
      <c r="AJ8" s="6" t="s">
        <v>49</v>
      </c>
      <c r="AK8" s="6" t="s">
        <v>49</v>
      </c>
      <c r="AL8" s="9" t="s">
        <v>49</v>
      </c>
      <c r="AM8" s="9" t="s">
        <v>67</v>
      </c>
      <c r="AN8" s="6" t="s">
        <v>49</v>
      </c>
      <c r="AO8" s="9" t="s">
        <v>67</v>
      </c>
      <c r="AP8" s="11">
        <v>0</v>
      </c>
      <c r="AQ8" s="11">
        <v>0</v>
      </c>
      <c r="AR8" s="11">
        <v>0</v>
      </c>
      <c r="AS8" s="11">
        <v>0</v>
      </c>
      <c r="AT8" s="11">
        <v>0</v>
      </c>
      <c r="AU8" s="11">
        <v>0</v>
      </c>
      <c r="AV8" s="11" t="s">
        <v>57</v>
      </c>
    </row>
    <row r="9" spans="1:49" ht="14.5" hidden="1">
      <c r="A9" s="6">
        <v>8</v>
      </c>
      <c r="B9" s="7" t="s">
        <v>68</v>
      </c>
      <c r="C9" s="7" t="s">
        <v>69</v>
      </c>
      <c r="D9" s="6">
        <v>15648</v>
      </c>
      <c r="E9" s="6" t="s">
        <v>49</v>
      </c>
      <c r="F9" s="8"/>
      <c r="G9" s="8"/>
      <c r="H9" s="7" t="s">
        <v>70</v>
      </c>
      <c r="I9" s="7"/>
      <c r="J9" s="6" t="s">
        <v>49</v>
      </c>
      <c r="K9" s="9" t="s">
        <v>49</v>
      </c>
      <c r="L9" s="9" t="s">
        <v>49</v>
      </c>
      <c r="M9" s="8"/>
      <c r="N9" s="10">
        <v>43760</v>
      </c>
      <c r="O9" s="10">
        <v>44196</v>
      </c>
      <c r="P9" s="9" t="s">
        <v>49</v>
      </c>
      <c r="Q9" s="9" t="s">
        <v>49</v>
      </c>
      <c r="R9" s="8"/>
      <c r="S9" s="8"/>
      <c r="T9" s="8"/>
      <c r="U9" s="8"/>
      <c r="V9" s="9" t="s">
        <v>49</v>
      </c>
      <c r="W9" s="9" t="s">
        <v>49</v>
      </c>
      <c r="X9" s="8"/>
      <c r="Y9" s="8"/>
      <c r="Z9" s="8"/>
      <c r="AA9" s="12"/>
      <c r="AB9" s="12"/>
      <c r="AC9" s="8"/>
      <c r="AD9" s="12"/>
      <c r="AE9" s="8"/>
      <c r="AF9" s="12"/>
      <c r="AG9" s="12"/>
      <c r="AH9" s="7" t="s">
        <v>57</v>
      </c>
      <c r="AI9" s="6" t="s">
        <v>71</v>
      </c>
      <c r="AJ9" s="6" t="s">
        <v>49</v>
      </c>
      <c r="AK9" s="6" t="s">
        <v>49</v>
      </c>
      <c r="AL9" s="9" t="s">
        <v>72</v>
      </c>
      <c r="AM9" s="9" t="s">
        <v>49</v>
      </c>
      <c r="AN9" s="6" t="s">
        <v>73</v>
      </c>
      <c r="AO9" s="9" t="s">
        <v>49</v>
      </c>
      <c r="AP9" s="11">
        <v>7248.8885899999996</v>
      </c>
      <c r="AQ9" s="11">
        <v>0</v>
      </c>
      <c r="AR9" s="11">
        <v>0</v>
      </c>
      <c r="AS9" s="11">
        <v>41681.266040000002</v>
      </c>
      <c r="AT9" s="11">
        <v>0</v>
      </c>
      <c r="AU9" s="11"/>
      <c r="AV9" s="11">
        <v>0</v>
      </c>
    </row>
    <row r="10" spans="1:49" ht="14.5">
      <c r="A10" s="6">
        <v>9</v>
      </c>
      <c r="B10" s="7" t="s">
        <v>68</v>
      </c>
      <c r="C10" s="7" t="s">
        <v>69</v>
      </c>
      <c r="D10" s="6">
        <v>15648</v>
      </c>
      <c r="E10" s="6" t="s">
        <v>74</v>
      </c>
      <c r="F10" s="8"/>
      <c r="G10" s="8"/>
      <c r="H10" s="7" t="s">
        <v>70</v>
      </c>
      <c r="I10" s="7"/>
      <c r="J10" s="6" t="s">
        <v>75</v>
      </c>
      <c r="K10" s="9" t="s">
        <v>76</v>
      </c>
      <c r="L10" s="9" t="s">
        <v>73</v>
      </c>
      <c r="M10" s="13">
        <v>548</v>
      </c>
      <c r="N10" s="10">
        <v>43760</v>
      </c>
      <c r="O10" s="10">
        <v>44196</v>
      </c>
      <c r="P10" s="9" t="s">
        <v>77</v>
      </c>
      <c r="Q10" s="9" t="s">
        <v>49</v>
      </c>
      <c r="R10" s="8"/>
      <c r="S10" s="8"/>
      <c r="T10" s="8"/>
      <c r="U10" s="8"/>
      <c r="V10" s="9" t="s">
        <v>49</v>
      </c>
      <c r="W10" s="9" t="s">
        <v>49</v>
      </c>
      <c r="X10" s="8"/>
      <c r="Y10" s="8"/>
      <c r="Z10" s="6">
        <v>0.46800000000000003</v>
      </c>
      <c r="AA10" s="8"/>
      <c r="AB10" s="6">
        <v>0.46800000000000003</v>
      </c>
      <c r="AC10" s="8"/>
      <c r="AD10" s="6">
        <v>0.46800000000000003</v>
      </c>
      <c r="AE10" s="6">
        <v>0.374</v>
      </c>
      <c r="AF10" s="8"/>
      <c r="AG10" s="6">
        <v>0.374</v>
      </c>
      <c r="AH10" s="7" t="s">
        <v>57</v>
      </c>
      <c r="AI10" s="6" t="s">
        <v>49</v>
      </c>
      <c r="AJ10" s="6" t="s">
        <v>49</v>
      </c>
      <c r="AK10" s="6" t="s">
        <v>49</v>
      </c>
      <c r="AL10" s="9" t="s">
        <v>49</v>
      </c>
      <c r="AM10" s="9" t="s">
        <v>72</v>
      </c>
      <c r="AN10" s="6" t="s">
        <v>73</v>
      </c>
      <c r="AO10" s="9" t="s">
        <v>72</v>
      </c>
      <c r="AP10" s="11">
        <v>27.3247</v>
      </c>
      <c r="AQ10" s="11">
        <v>48856.12</v>
      </c>
      <c r="AR10" s="11">
        <v>48856.124166666668</v>
      </c>
      <c r="AS10" s="11">
        <v>27.3247</v>
      </c>
      <c r="AT10" s="11">
        <v>459.85611999999998</v>
      </c>
      <c r="AU10" s="11">
        <v>0</v>
      </c>
      <c r="AV10" s="11" t="s">
        <v>57</v>
      </c>
    </row>
    <row r="11" spans="1:49" ht="14.5" hidden="1">
      <c r="A11" s="6">
        <v>10</v>
      </c>
      <c r="B11" s="7" t="s">
        <v>78</v>
      </c>
      <c r="C11" s="7" t="s">
        <v>49</v>
      </c>
      <c r="D11" s="12"/>
      <c r="E11" s="6" t="s">
        <v>49</v>
      </c>
      <c r="F11" s="8"/>
      <c r="G11" s="8"/>
      <c r="H11" s="7" t="s">
        <v>49</v>
      </c>
      <c r="I11" s="7"/>
      <c r="J11" s="6" t="s">
        <v>49</v>
      </c>
      <c r="K11" s="9" t="s">
        <v>49</v>
      </c>
      <c r="L11" s="9" t="s">
        <v>49</v>
      </c>
      <c r="M11" s="8"/>
      <c r="N11" s="8"/>
      <c r="O11" s="8"/>
      <c r="P11" s="9" t="s">
        <v>49</v>
      </c>
      <c r="Q11" s="9" t="s">
        <v>49</v>
      </c>
      <c r="R11" s="8"/>
      <c r="S11" s="8"/>
      <c r="T11" s="8"/>
      <c r="U11" s="8"/>
      <c r="V11" s="9" t="s">
        <v>49</v>
      </c>
      <c r="W11" s="9" t="s">
        <v>49</v>
      </c>
      <c r="X11" s="8"/>
      <c r="Y11" s="8"/>
      <c r="Z11" s="8"/>
      <c r="AA11" s="8"/>
      <c r="AB11" s="8"/>
      <c r="AC11" s="8"/>
      <c r="AD11" s="8"/>
      <c r="AE11" s="8"/>
      <c r="AF11" s="8"/>
      <c r="AG11" s="8"/>
      <c r="AH11" s="7" t="s">
        <v>79</v>
      </c>
      <c r="AI11" s="6" t="s">
        <v>49</v>
      </c>
      <c r="AJ11" s="6" t="s">
        <v>49</v>
      </c>
      <c r="AK11" s="6" t="s">
        <v>49</v>
      </c>
      <c r="AL11" s="9" t="s">
        <v>49</v>
      </c>
      <c r="AM11" s="9" t="s">
        <v>49</v>
      </c>
      <c r="AN11" s="6" t="s">
        <v>49</v>
      </c>
      <c r="AO11" s="9" t="s">
        <v>49</v>
      </c>
      <c r="AP11" s="11">
        <v>7248.8885899999996</v>
      </c>
      <c r="AQ11" s="11">
        <v>0</v>
      </c>
      <c r="AR11" s="11">
        <v>0</v>
      </c>
      <c r="AS11" s="11">
        <v>41681.266040000002</v>
      </c>
      <c r="AT11" s="11">
        <v>0</v>
      </c>
      <c r="AU11" s="11">
        <v>0</v>
      </c>
      <c r="AV11" s="11">
        <v>0</v>
      </c>
    </row>
    <row r="12" spans="1:49" ht="14.5" hidden="1">
      <c r="A12" s="6">
        <v>11</v>
      </c>
      <c r="B12" s="7" t="s">
        <v>80</v>
      </c>
      <c r="C12" s="7" t="s">
        <v>81</v>
      </c>
      <c r="D12" s="6">
        <v>15700</v>
      </c>
      <c r="E12" s="6" t="s">
        <v>49</v>
      </c>
      <c r="F12" s="8"/>
      <c r="G12" s="8"/>
      <c r="H12" s="7" t="s">
        <v>49</v>
      </c>
      <c r="I12" s="7"/>
      <c r="J12" s="6" t="s">
        <v>49</v>
      </c>
      <c r="K12" s="9" t="s">
        <v>49</v>
      </c>
      <c r="L12" s="9" t="s">
        <v>49</v>
      </c>
      <c r="M12" s="8"/>
      <c r="N12" s="8"/>
      <c r="O12" s="10">
        <v>44196</v>
      </c>
      <c r="P12" s="9" t="s">
        <v>49</v>
      </c>
      <c r="Q12" s="9" t="s">
        <v>49</v>
      </c>
      <c r="R12" s="8"/>
      <c r="S12" s="8"/>
      <c r="T12" s="8"/>
      <c r="U12" s="8"/>
      <c r="V12" s="9" t="s">
        <v>49</v>
      </c>
      <c r="W12" s="9" t="s">
        <v>49</v>
      </c>
      <c r="X12" s="8"/>
      <c r="Y12" s="8"/>
      <c r="Z12" s="8"/>
      <c r="AA12" s="8"/>
      <c r="AB12" s="8"/>
      <c r="AC12" s="8"/>
      <c r="AD12" s="8"/>
      <c r="AE12" s="8"/>
      <c r="AF12" s="8"/>
      <c r="AG12" s="8"/>
      <c r="AH12" s="7" t="s">
        <v>57</v>
      </c>
      <c r="AI12" s="6" t="s">
        <v>71</v>
      </c>
      <c r="AJ12" s="6" t="s">
        <v>49</v>
      </c>
      <c r="AK12" s="6" t="s">
        <v>49</v>
      </c>
      <c r="AL12" s="9" t="s">
        <v>52</v>
      </c>
      <c r="AM12" s="9" t="s">
        <v>49</v>
      </c>
      <c r="AN12" s="6" t="s">
        <v>82</v>
      </c>
      <c r="AO12" s="9" t="s">
        <v>49</v>
      </c>
      <c r="AP12" s="11">
        <v>7248.8885899999996</v>
      </c>
      <c r="AQ12" s="11">
        <v>0</v>
      </c>
      <c r="AR12" s="11">
        <v>0</v>
      </c>
      <c r="AS12" s="11">
        <v>41681.266040000002</v>
      </c>
      <c r="AT12" s="11">
        <v>0</v>
      </c>
      <c r="AU12" s="11">
        <v>0</v>
      </c>
      <c r="AV12" s="11">
        <v>0</v>
      </c>
    </row>
    <row r="13" spans="1:49" ht="14.5" hidden="1">
      <c r="A13" s="6">
        <v>12</v>
      </c>
      <c r="B13" s="7" t="s">
        <v>80</v>
      </c>
      <c r="C13" s="7" t="s">
        <v>81</v>
      </c>
      <c r="D13" s="6">
        <v>15700</v>
      </c>
      <c r="E13" s="6" t="s">
        <v>83</v>
      </c>
      <c r="F13" s="8"/>
      <c r="G13" s="8"/>
      <c r="H13" s="7" t="s">
        <v>49</v>
      </c>
      <c r="I13" s="7"/>
      <c r="J13" s="6" t="s">
        <v>49</v>
      </c>
      <c r="K13" s="9" t="s">
        <v>49</v>
      </c>
      <c r="L13" s="9" t="s">
        <v>49</v>
      </c>
      <c r="M13" s="8"/>
      <c r="N13" s="8"/>
      <c r="O13" s="10">
        <v>44196</v>
      </c>
      <c r="P13" s="9" t="s">
        <v>49</v>
      </c>
      <c r="Q13" s="9" t="s">
        <v>49</v>
      </c>
      <c r="R13" s="8"/>
      <c r="S13" s="8"/>
      <c r="T13" s="8"/>
      <c r="U13" s="8"/>
      <c r="V13" s="9" t="s">
        <v>49</v>
      </c>
      <c r="W13" s="9" t="s">
        <v>49</v>
      </c>
      <c r="X13" s="8"/>
      <c r="Y13" s="8"/>
      <c r="Z13" s="8"/>
      <c r="AA13" s="12"/>
      <c r="AB13" s="12"/>
      <c r="AC13" s="8"/>
      <c r="AD13" s="12"/>
      <c r="AE13" s="8"/>
      <c r="AF13" s="12"/>
      <c r="AG13" s="12"/>
      <c r="AH13" s="7" t="s">
        <v>57</v>
      </c>
      <c r="AI13" s="6" t="s">
        <v>49</v>
      </c>
      <c r="AJ13" s="6" t="s">
        <v>49</v>
      </c>
      <c r="AK13" s="6" t="s">
        <v>49</v>
      </c>
      <c r="AL13" s="9" t="s">
        <v>49</v>
      </c>
      <c r="AM13" s="9" t="s">
        <v>52</v>
      </c>
      <c r="AN13" s="6" t="s">
        <v>49</v>
      </c>
      <c r="AO13" s="9" t="s">
        <v>52</v>
      </c>
      <c r="AP13" s="11">
        <v>0</v>
      </c>
      <c r="AQ13" s="11">
        <v>0</v>
      </c>
      <c r="AR13" s="11">
        <v>0</v>
      </c>
      <c r="AS13" s="11">
        <v>0</v>
      </c>
      <c r="AT13" s="11">
        <v>586</v>
      </c>
      <c r="AU13" s="11">
        <v>0</v>
      </c>
      <c r="AV13" s="11" t="s">
        <v>57</v>
      </c>
    </row>
    <row r="14" spans="1:49" ht="14.5" hidden="1">
      <c r="A14" s="6">
        <v>13</v>
      </c>
      <c r="B14" s="7" t="s">
        <v>84</v>
      </c>
      <c r="C14" s="7" t="s">
        <v>49</v>
      </c>
      <c r="D14" s="6">
        <v>15484</v>
      </c>
      <c r="E14" s="6" t="s">
        <v>49</v>
      </c>
      <c r="F14" s="8"/>
      <c r="G14" s="8"/>
      <c r="H14" s="7" t="s">
        <v>49</v>
      </c>
      <c r="I14" s="7"/>
      <c r="J14" s="6" t="s">
        <v>49</v>
      </c>
      <c r="K14" s="9" t="s">
        <v>49</v>
      </c>
      <c r="L14" s="9" t="s">
        <v>49</v>
      </c>
      <c r="M14" s="8"/>
      <c r="N14" s="10">
        <v>43788</v>
      </c>
      <c r="O14" s="10">
        <v>43980</v>
      </c>
      <c r="P14" s="9" t="s">
        <v>49</v>
      </c>
      <c r="Q14" s="9" t="s">
        <v>49</v>
      </c>
      <c r="R14" s="8"/>
      <c r="S14" s="8"/>
      <c r="T14" s="8"/>
      <c r="U14" s="8"/>
      <c r="V14" s="9" t="s">
        <v>49</v>
      </c>
      <c r="W14" s="9" t="s">
        <v>49</v>
      </c>
      <c r="X14" s="8"/>
      <c r="Y14" s="8"/>
      <c r="Z14" s="8"/>
      <c r="AA14" s="8"/>
      <c r="AB14" s="8"/>
      <c r="AC14" s="8"/>
      <c r="AD14" s="8"/>
      <c r="AE14" s="8"/>
      <c r="AF14" s="8"/>
      <c r="AG14" s="8"/>
      <c r="AH14" s="7" t="s">
        <v>57</v>
      </c>
      <c r="AI14" s="6" t="s">
        <v>71</v>
      </c>
      <c r="AJ14" s="6" t="s">
        <v>49</v>
      </c>
      <c r="AK14" s="6" t="s">
        <v>49</v>
      </c>
      <c r="AL14" s="9" t="s">
        <v>52</v>
      </c>
      <c r="AM14" s="9" t="s">
        <v>49</v>
      </c>
      <c r="AN14" s="6" t="s">
        <v>85</v>
      </c>
      <c r="AO14" s="9" t="s">
        <v>49</v>
      </c>
      <c r="AP14" s="11">
        <v>7248.8885899999996</v>
      </c>
      <c r="AQ14" s="11">
        <v>0</v>
      </c>
      <c r="AR14" s="11">
        <v>0</v>
      </c>
      <c r="AS14" s="11">
        <v>41681.266040000002</v>
      </c>
      <c r="AT14" s="11">
        <v>0</v>
      </c>
      <c r="AU14" s="11">
        <v>0</v>
      </c>
      <c r="AV14" s="11">
        <v>0</v>
      </c>
    </row>
    <row r="15" spans="1:49" ht="14.5" hidden="1">
      <c r="A15" s="6">
        <v>14</v>
      </c>
      <c r="B15" s="7" t="s">
        <v>84</v>
      </c>
      <c r="C15" s="7" t="s">
        <v>86</v>
      </c>
      <c r="D15" s="6">
        <v>15484</v>
      </c>
      <c r="E15" s="6" t="s">
        <v>87</v>
      </c>
      <c r="F15" s="6">
        <v>83267</v>
      </c>
      <c r="G15" s="8"/>
      <c r="H15" s="7" t="s">
        <v>88</v>
      </c>
      <c r="I15" s="7"/>
      <c r="J15" s="6" t="s">
        <v>75</v>
      </c>
      <c r="K15" s="9" t="s">
        <v>89</v>
      </c>
      <c r="L15" s="9" t="s">
        <v>73</v>
      </c>
      <c r="M15" s="14">
        <v>233</v>
      </c>
      <c r="N15" s="10">
        <v>43788</v>
      </c>
      <c r="O15" s="10">
        <v>43980</v>
      </c>
      <c r="P15" s="9" t="s">
        <v>90</v>
      </c>
      <c r="Q15" s="9" t="s">
        <v>91</v>
      </c>
      <c r="R15" s="8"/>
      <c r="S15" s="8"/>
      <c r="T15" s="8"/>
      <c r="U15" s="8"/>
      <c r="V15" s="9" t="s">
        <v>49</v>
      </c>
      <c r="W15" s="9" t="s">
        <v>49</v>
      </c>
      <c r="X15" s="8"/>
      <c r="Y15" s="8"/>
      <c r="Z15" s="6">
        <v>0.23300000000000001</v>
      </c>
      <c r="AA15" s="8"/>
      <c r="AB15" s="6">
        <v>0.23300000000000001</v>
      </c>
      <c r="AC15" s="8"/>
      <c r="AD15" s="6">
        <v>0.23300000000000001</v>
      </c>
      <c r="AE15" s="6">
        <v>0.186</v>
      </c>
      <c r="AF15" s="8"/>
      <c r="AG15" s="6">
        <v>0.186</v>
      </c>
      <c r="AH15" s="7" t="s">
        <v>51</v>
      </c>
      <c r="AI15" s="6" t="s">
        <v>49</v>
      </c>
      <c r="AJ15" s="6" t="s">
        <v>49</v>
      </c>
      <c r="AK15" s="6" t="s">
        <v>49</v>
      </c>
      <c r="AL15" s="9" t="s">
        <v>49</v>
      </c>
      <c r="AM15" s="9" t="s">
        <v>92</v>
      </c>
      <c r="AN15" s="6" t="s">
        <v>49</v>
      </c>
      <c r="AO15" s="9" t="s">
        <v>92</v>
      </c>
      <c r="AP15" s="11">
        <v>42.69453</v>
      </c>
      <c r="AQ15" s="11">
        <v>54369.13</v>
      </c>
      <c r="AR15" s="11">
        <v>54369.13416666667</v>
      </c>
      <c r="AS15" s="11">
        <v>59.814529999999998</v>
      </c>
      <c r="AT15" s="11">
        <v>171.03613000000001</v>
      </c>
      <c r="AU15" s="11">
        <v>204</v>
      </c>
      <c r="AV15" s="11" t="s">
        <v>51</v>
      </c>
      <c r="AW15" t="s">
        <v>93</v>
      </c>
    </row>
    <row r="16" spans="1:49" ht="14.5" hidden="1">
      <c r="A16" s="6">
        <v>15</v>
      </c>
      <c r="B16" s="7" t="s">
        <v>94</v>
      </c>
      <c r="C16" s="7" t="s">
        <v>49</v>
      </c>
      <c r="D16" s="6">
        <v>12652</v>
      </c>
      <c r="E16" s="6" t="s">
        <v>49</v>
      </c>
      <c r="F16" s="8"/>
      <c r="G16" s="8"/>
      <c r="H16" s="7" t="s">
        <v>49</v>
      </c>
      <c r="I16" s="7"/>
      <c r="J16" s="6" t="s">
        <v>49</v>
      </c>
      <c r="K16" s="9" t="s">
        <v>49</v>
      </c>
      <c r="L16" s="9" t="s">
        <v>49</v>
      </c>
      <c r="M16" s="8"/>
      <c r="N16" s="10">
        <v>43766</v>
      </c>
      <c r="O16" s="10">
        <v>43830</v>
      </c>
      <c r="P16" s="9" t="s">
        <v>49</v>
      </c>
      <c r="Q16" s="9" t="s">
        <v>49</v>
      </c>
      <c r="R16" s="8"/>
      <c r="S16" s="8"/>
      <c r="T16" s="8"/>
      <c r="U16" s="8"/>
      <c r="V16" s="9" t="s">
        <v>49</v>
      </c>
      <c r="W16" s="9" t="s">
        <v>49</v>
      </c>
      <c r="X16" s="8"/>
      <c r="Y16" s="8"/>
      <c r="Z16" s="8"/>
      <c r="AA16" s="8"/>
      <c r="AB16" s="8"/>
      <c r="AC16" s="8"/>
      <c r="AD16" s="8"/>
      <c r="AE16" s="8"/>
      <c r="AF16" s="8"/>
      <c r="AG16" s="8"/>
      <c r="AH16" s="7" t="s">
        <v>57</v>
      </c>
      <c r="AI16" s="6" t="s">
        <v>71</v>
      </c>
      <c r="AJ16" s="6" t="s">
        <v>49</v>
      </c>
      <c r="AK16" s="6" t="s">
        <v>49</v>
      </c>
      <c r="AL16" s="9" t="s">
        <v>95</v>
      </c>
      <c r="AM16" s="9" t="s">
        <v>49</v>
      </c>
      <c r="AN16" s="6" t="s">
        <v>96</v>
      </c>
      <c r="AO16" s="9" t="s">
        <v>49</v>
      </c>
      <c r="AP16" s="11">
        <v>7248.8885899999996</v>
      </c>
      <c r="AQ16" s="11">
        <v>0</v>
      </c>
      <c r="AR16" s="11">
        <v>0</v>
      </c>
      <c r="AS16" s="11">
        <v>41681.266040000002</v>
      </c>
      <c r="AT16" s="11">
        <v>0</v>
      </c>
      <c r="AU16" s="11">
        <v>0</v>
      </c>
      <c r="AV16" s="11">
        <v>0</v>
      </c>
    </row>
    <row r="17" spans="1:49" ht="14.5" hidden="1">
      <c r="A17" s="6">
        <v>16</v>
      </c>
      <c r="B17" s="7" t="s">
        <v>97</v>
      </c>
      <c r="C17" s="7" t="s">
        <v>49</v>
      </c>
      <c r="D17" s="6">
        <v>12652</v>
      </c>
      <c r="E17" s="6" t="s">
        <v>98</v>
      </c>
      <c r="F17" s="8"/>
      <c r="G17" s="8"/>
      <c r="H17" s="7" t="s">
        <v>49</v>
      </c>
      <c r="I17" s="7"/>
      <c r="J17" s="6" t="s">
        <v>49</v>
      </c>
      <c r="K17" s="9" t="s">
        <v>49</v>
      </c>
      <c r="L17" s="9" t="s">
        <v>49</v>
      </c>
      <c r="M17" s="8"/>
      <c r="N17" s="10">
        <v>43766</v>
      </c>
      <c r="O17" s="10">
        <v>43830</v>
      </c>
      <c r="P17" s="9" t="s">
        <v>49</v>
      </c>
      <c r="Q17" s="9" t="s">
        <v>49</v>
      </c>
      <c r="R17" s="8"/>
      <c r="S17" s="8"/>
      <c r="T17" s="8"/>
      <c r="U17" s="8"/>
      <c r="V17" s="9" t="s">
        <v>49</v>
      </c>
      <c r="W17" s="9" t="s">
        <v>49</v>
      </c>
      <c r="X17" s="8"/>
      <c r="Y17" s="8"/>
      <c r="Z17" s="8"/>
      <c r="AA17" s="8"/>
      <c r="AB17" s="8"/>
      <c r="AC17" s="8"/>
      <c r="AD17" s="8"/>
      <c r="AE17" s="8"/>
      <c r="AF17" s="8"/>
      <c r="AG17" s="8"/>
      <c r="AH17" s="7" t="s">
        <v>51</v>
      </c>
      <c r="AI17" s="6" t="s">
        <v>49</v>
      </c>
      <c r="AJ17" s="6" t="s">
        <v>49</v>
      </c>
      <c r="AK17" s="6" t="s">
        <v>49</v>
      </c>
      <c r="AL17" s="9" t="s">
        <v>49</v>
      </c>
      <c r="AM17" s="9" t="s">
        <v>95</v>
      </c>
      <c r="AN17" s="6" t="s">
        <v>49</v>
      </c>
      <c r="AO17" s="9" t="s">
        <v>99</v>
      </c>
      <c r="AP17" s="11">
        <v>0</v>
      </c>
      <c r="AQ17" s="11">
        <v>0</v>
      </c>
      <c r="AR17" s="11">
        <v>0</v>
      </c>
      <c r="AS17" s="11">
        <v>0</v>
      </c>
      <c r="AT17" s="11">
        <v>0</v>
      </c>
      <c r="AU17" s="11">
        <v>0</v>
      </c>
      <c r="AV17" s="11" t="s">
        <v>51</v>
      </c>
    </row>
    <row r="18" spans="1:49" ht="14.5" hidden="1">
      <c r="A18" s="6">
        <v>17</v>
      </c>
      <c r="B18" s="7" t="s">
        <v>100</v>
      </c>
      <c r="C18" s="7" t="s">
        <v>101</v>
      </c>
      <c r="D18" s="6">
        <v>15377</v>
      </c>
      <c r="E18" s="6" t="s">
        <v>49</v>
      </c>
      <c r="F18" s="8"/>
      <c r="G18" s="8"/>
      <c r="H18" s="7" t="s">
        <v>49</v>
      </c>
      <c r="I18" s="7"/>
      <c r="J18" s="6" t="s">
        <v>49</v>
      </c>
      <c r="K18" s="9" t="s">
        <v>49</v>
      </c>
      <c r="L18" s="9" t="s">
        <v>49</v>
      </c>
      <c r="M18" s="15"/>
      <c r="N18" s="10">
        <v>43346</v>
      </c>
      <c r="O18" s="10">
        <v>43860</v>
      </c>
      <c r="P18" s="9" t="s">
        <v>49</v>
      </c>
      <c r="Q18" s="9" t="s">
        <v>49</v>
      </c>
      <c r="R18" s="8"/>
      <c r="S18" s="8"/>
      <c r="T18" s="8"/>
      <c r="U18" s="8"/>
      <c r="V18" s="9" t="s">
        <v>49</v>
      </c>
      <c r="W18" s="9" t="s">
        <v>49</v>
      </c>
      <c r="X18" s="8"/>
      <c r="Y18" s="8"/>
      <c r="Z18" s="8"/>
      <c r="AA18" s="8"/>
      <c r="AB18" s="8"/>
      <c r="AC18" s="8"/>
      <c r="AD18" s="8"/>
      <c r="AE18" s="8"/>
      <c r="AF18" s="8"/>
      <c r="AG18" s="8"/>
      <c r="AH18" s="7" t="s">
        <v>57</v>
      </c>
      <c r="AI18" s="6" t="s">
        <v>71</v>
      </c>
      <c r="AJ18" s="6" t="s">
        <v>49</v>
      </c>
      <c r="AK18" s="6" t="s">
        <v>49</v>
      </c>
      <c r="AL18" s="9" t="s">
        <v>102</v>
      </c>
      <c r="AM18" s="9" t="s">
        <v>49</v>
      </c>
      <c r="AN18" s="6" t="s">
        <v>82</v>
      </c>
      <c r="AO18" s="9" t="s">
        <v>49</v>
      </c>
      <c r="AP18" s="11">
        <v>7248.8885899999996</v>
      </c>
      <c r="AQ18" s="11">
        <v>0</v>
      </c>
      <c r="AR18" s="11">
        <v>0</v>
      </c>
      <c r="AS18" s="11">
        <v>41681.266040000002</v>
      </c>
      <c r="AT18" s="11">
        <v>0</v>
      </c>
      <c r="AU18" s="11">
        <v>0</v>
      </c>
      <c r="AV18" s="11">
        <v>0</v>
      </c>
    </row>
    <row r="19" spans="1:49" ht="14.5" hidden="1">
      <c r="A19" s="6">
        <v>18</v>
      </c>
      <c r="B19" s="7" t="s">
        <v>103</v>
      </c>
      <c r="C19" s="7" t="s">
        <v>101</v>
      </c>
      <c r="D19" s="12"/>
      <c r="E19" s="6" t="s">
        <v>104</v>
      </c>
      <c r="F19" s="12"/>
      <c r="G19" s="8"/>
      <c r="H19" s="7" t="s">
        <v>88</v>
      </c>
      <c r="I19" s="7"/>
      <c r="J19" s="6" t="s">
        <v>105</v>
      </c>
      <c r="K19" s="9" t="s">
        <v>106</v>
      </c>
      <c r="L19" s="9" t="s">
        <v>73</v>
      </c>
      <c r="M19" s="15">
        <v>200</v>
      </c>
      <c r="N19" s="8"/>
      <c r="O19" s="8"/>
      <c r="P19" s="9" t="s">
        <v>103</v>
      </c>
      <c r="Q19" s="9" t="s">
        <v>107</v>
      </c>
      <c r="R19" s="12"/>
      <c r="S19" s="12"/>
      <c r="T19" s="12"/>
      <c r="U19" s="12"/>
      <c r="V19" s="9" t="s">
        <v>49</v>
      </c>
      <c r="W19" s="9" t="s">
        <v>108</v>
      </c>
      <c r="X19" s="6">
        <v>0.2</v>
      </c>
      <c r="Y19" s="8"/>
      <c r="Z19" s="8"/>
      <c r="AA19" s="12"/>
      <c r="AB19" s="6">
        <v>0.2</v>
      </c>
      <c r="AC19" s="8"/>
      <c r="AD19" s="6">
        <v>0.2</v>
      </c>
      <c r="AE19" s="6">
        <v>0.16</v>
      </c>
      <c r="AF19" s="12"/>
      <c r="AG19" s="6">
        <v>0.16</v>
      </c>
      <c r="AH19" s="7" t="s">
        <v>49</v>
      </c>
      <c r="AI19" s="6" t="s">
        <v>49</v>
      </c>
      <c r="AJ19" s="6" t="s">
        <v>49</v>
      </c>
      <c r="AK19" s="6" t="s">
        <v>49</v>
      </c>
      <c r="AL19" s="9" t="s">
        <v>49</v>
      </c>
      <c r="AM19" s="9" t="s">
        <v>49</v>
      </c>
      <c r="AN19" s="6" t="s">
        <v>49</v>
      </c>
      <c r="AO19" s="9" t="s">
        <v>49</v>
      </c>
      <c r="AP19" s="11">
        <v>0</v>
      </c>
      <c r="AQ19" s="11">
        <v>0</v>
      </c>
      <c r="AR19" s="11">
        <v>0</v>
      </c>
      <c r="AS19" s="11">
        <v>0</v>
      </c>
      <c r="AT19" s="11">
        <v>0</v>
      </c>
      <c r="AU19" s="11">
        <v>0</v>
      </c>
      <c r="AV19" s="11">
        <v>0</v>
      </c>
    </row>
    <row r="20" spans="1:49" ht="14.5" hidden="1">
      <c r="A20" s="6">
        <v>19</v>
      </c>
      <c r="B20" s="7" t="s">
        <v>109</v>
      </c>
      <c r="C20" s="7" t="s">
        <v>49</v>
      </c>
      <c r="D20" s="6">
        <v>15644</v>
      </c>
      <c r="E20" s="6" t="s">
        <v>49</v>
      </c>
      <c r="F20" s="8"/>
      <c r="G20" s="8"/>
      <c r="H20" s="7" t="s">
        <v>49</v>
      </c>
      <c r="I20" s="7"/>
      <c r="J20" s="6" t="s">
        <v>49</v>
      </c>
      <c r="K20" s="9" t="s">
        <v>49</v>
      </c>
      <c r="L20" s="9" t="s">
        <v>49</v>
      </c>
      <c r="M20" s="8"/>
      <c r="N20" s="12"/>
      <c r="O20" s="12"/>
      <c r="P20" s="9" t="s">
        <v>49</v>
      </c>
      <c r="Q20" s="9" t="s">
        <v>49</v>
      </c>
      <c r="R20" s="8"/>
      <c r="S20" s="8"/>
      <c r="T20" s="8"/>
      <c r="U20" s="8"/>
      <c r="V20" s="9" t="s">
        <v>49</v>
      </c>
      <c r="W20" s="9" t="s">
        <v>49</v>
      </c>
      <c r="X20" s="8"/>
      <c r="Y20" s="8"/>
      <c r="Z20" s="8"/>
      <c r="AA20" s="8"/>
      <c r="AB20" s="8"/>
      <c r="AC20" s="8"/>
      <c r="AD20" s="8"/>
      <c r="AE20" s="8"/>
      <c r="AF20" s="8"/>
      <c r="AG20" s="8"/>
      <c r="AH20" s="7" t="s">
        <v>79</v>
      </c>
      <c r="AI20" s="6" t="s">
        <v>110</v>
      </c>
      <c r="AJ20" s="6" t="s">
        <v>49</v>
      </c>
      <c r="AK20" s="6" t="s">
        <v>49</v>
      </c>
      <c r="AL20" s="9" t="s">
        <v>111</v>
      </c>
      <c r="AM20" s="9" t="s">
        <v>49</v>
      </c>
      <c r="AN20" s="6" t="s">
        <v>82</v>
      </c>
      <c r="AO20" s="9" t="s">
        <v>49</v>
      </c>
      <c r="AP20" s="11">
        <v>7248.8885899999996</v>
      </c>
      <c r="AQ20" s="11">
        <v>0</v>
      </c>
      <c r="AR20" s="11">
        <v>0</v>
      </c>
      <c r="AS20" s="11">
        <v>41681.266040000002</v>
      </c>
      <c r="AT20" s="11">
        <v>0</v>
      </c>
      <c r="AU20" s="11">
        <v>0</v>
      </c>
      <c r="AV20" s="11">
        <v>0</v>
      </c>
    </row>
    <row r="21" spans="1:49" ht="14.5" hidden="1">
      <c r="A21" s="6">
        <v>20</v>
      </c>
      <c r="B21" s="7" t="s">
        <v>112</v>
      </c>
      <c r="C21" s="7" t="s">
        <v>49</v>
      </c>
      <c r="D21" s="6">
        <v>15671</v>
      </c>
      <c r="E21" s="6" t="s">
        <v>49</v>
      </c>
      <c r="F21" s="12"/>
      <c r="G21" s="8"/>
      <c r="H21" s="7" t="s">
        <v>49</v>
      </c>
      <c r="I21" s="7"/>
      <c r="J21" s="6" t="s">
        <v>49</v>
      </c>
      <c r="K21" s="9" t="s">
        <v>49</v>
      </c>
      <c r="L21" s="9" t="s">
        <v>49</v>
      </c>
      <c r="M21" s="12"/>
      <c r="N21" s="10">
        <v>43773</v>
      </c>
      <c r="O21" s="10">
        <v>44196</v>
      </c>
      <c r="P21" s="9" t="s">
        <v>49</v>
      </c>
      <c r="Q21" s="9" t="s">
        <v>49</v>
      </c>
      <c r="R21" s="12"/>
      <c r="S21" s="12"/>
      <c r="T21" s="12"/>
      <c r="U21" s="12"/>
      <c r="V21" s="9" t="s">
        <v>49</v>
      </c>
      <c r="W21" s="9" t="s">
        <v>49</v>
      </c>
      <c r="X21" s="12"/>
      <c r="Y21" s="8"/>
      <c r="Z21" s="12"/>
      <c r="AA21" s="8"/>
      <c r="AB21" s="12"/>
      <c r="AC21" s="8"/>
      <c r="AD21" s="12"/>
      <c r="AE21" s="12"/>
      <c r="AF21" s="8"/>
      <c r="AG21" s="12"/>
      <c r="AH21" s="7" t="s">
        <v>57</v>
      </c>
      <c r="AI21" s="6" t="s">
        <v>71</v>
      </c>
      <c r="AJ21" s="6" t="s">
        <v>49</v>
      </c>
      <c r="AK21" s="6" t="s">
        <v>49</v>
      </c>
      <c r="AL21" s="9" t="s">
        <v>52</v>
      </c>
      <c r="AM21" s="9" t="s">
        <v>49</v>
      </c>
      <c r="AN21" s="6" t="s">
        <v>85</v>
      </c>
      <c r="AO21" s="9" t="s">
        <v>49</v>
      </c>
      <c r="AP21" s="11">
        <v>7248.8885899999996</v>
      </c>
      <c r="AQ21" s="11">
        <v>0</v>
      </c>
      <c r="AR21" s="11">
        <v>0</v>
      </c>
      <c r="AS21" s="11">
        <v>41681.266040000002</v>
      </c>
      <c r="AT21" s="11">
        <v>0</v>
      </c>
      <c r="AU21" s="11">
        <v>0</v>
      </c>
      <c r="AV21" s="11">
        <v>0</v>
      </c>
    </row>
    <row r="22" spans="1:49" ht="14.5" hidden="1">
      <c r="A22" s="6">
        <v>21</v>
      </c>
      <c r="B22" s="7" t="s">
        <v>112</v>
      </c>
      <c r="C22" s="7" t="s">
        <v>49</v>
      </c>
      <c r="D22" s="6">
        <v>15671</v>
      </c>
      <c r="E22" s="6" t="s">
        <v>113</v>
      </c>
      <c r="F22" s="8"/>
      <c r="G22" s="8"/>
      <c r="H22" s="7" t="s">
        <v>49</v>
      </c>
      <c r="I22" s="7"/>
      <c r="J22" s="6" t="s">
        <v>49</v>
      </c>
      <c r="K22" s="9" t="s">
        <v>49</v>
      </c>
      <c r="L22" s="9" t="s">
        <v>49</v>
      </c>
      <c r="M22" s="8"/>
      <c r="N22" s="10">
        <v>43773</v>
      </c>
      <c r="O22" s="10">
        <v>44196</v>
      </c>
      <c r="P22" s="9" t="s">
        <v>49</v>
      </c>
      <c r="Q22" s="9" t="s">
        <v>49</v>
      </c>
      <c r="R22" s="8"/>
      <c r="S22" s="8"/>
      <c r="T22" s="8"/>
      <c r="U22" s="8"/>
      <c r="V22" s="9" t="s">
        <v>49</v>
      </c>
      <c r="W22" s="9" t="s">
        <v>49</v>
      </c>
      <c r="X22" s="8"/>
      <c r="Y22" s="8"/>
      <c r="Z22" s="8"/>
      <c r="AA22" s="8"/>
      <c r="AB22" s="8"/>
      <c r="AC22" s="8"/>
      <c r="AD22" s="8"/>
      <c r="AE22" s="8"/>
      <c r="AF22" s="8"/>
      <c r="AG22" s="8"/>
      <c r="AH22" s="7" t="s">
        <v>57</v>
      </c>
      <c r="AI22" s="6" t="s">
        <v>49</v>
      </c>
      <c r="AJ22" s="6" t="s">
        <v>49</v>
      </c>
      <c r="AK22" s="6" t="s">
        <v>49</v>
      </c>
      <c r="AL22" s="9" t="s">
        <v>49</v>
      </c>
      <c r="AM22" s="9" t="s">
        <v>52</v>
      </c>
      <c r="AN22" s="6" t="s">
        <v>49</v>
      </c>
      <c r="AO22" s="9" t="s">
        <v>52</v>
      </c>
      <c r="AP22" s="11">
        <v>0</v>
      </c>
      <c r="AQ22" s="11">
        <v>0</v>
      </c>
      <c r="AR22" s="11">
        <v>0</v>
      </c>
      <c r="AS22" s="11">
        <v>0</v>
      </c>
      <c r="AT22" s="11">
        <v>0</v>
      </c>
      <c r="AU22" s="11">
        <v>0</v>
      </c>
      <c r="AV22" s="11" t="s">
        <v>57</v>
      </c>
    </row>
    <row r="23" spans="1:49" ht="14.5" hidden="1">
      <c r="A23" s="6">
        <v>22</v>
      </c>
      <c r="B23" s="7" t="s">
        <v>114</v>
      </c>
      <c r="C23" s="7" t="s">
        <v>49</v>
      </c>
      <c r="D23" s="6">
        <v>12517</v>
      </c>
      <c r="E23" s="6" t="s">
        <v>115</v>
      </c>
      <c r="F23" s="8"/>
      <c r="G23" s="8"/>
      <c r="H23" s="7" t="s">
        <v>49</v>
      </c>
      <c r="I23" s="7"/>
      <c r="J23" s="6" t="s">
        <v>49</v>
      </c>
      <c r="K23" s="9" t="s">
        <v>49</v>
      </c>
      <c r="L23" s="9" t="s">
        <v>49</v>
      </c>
      <c r="M23" s="8"/>
      <c r="N23" s="10">
        <v>42919</v>
      </c>
      <c r="O23" s="10">
        <v>43860</v>
      </c>
      <c r="P23" s="9" t="s">
        <v>49</v>
      </c>
      <c r="Q23" s="9" t="s">
        <v>49</v>
      </c>
      <c r="R23" s="8"/>
      <c r="S23" s="8"/>
      <c r="T23" s="8"/>
      <c r="U23" s="8"/>
      <c r="V23" s="9" t="s">
        <v>49</v>
      </c>
      <c r="W23" s="9" t="s">
        <v>49</v>
      </c>
      <c r="X23" s="8"/>
      <c r="Y23" s="8"/>
      <c r="Z23" s="8"/>
      <c r="AA23" s="8"/>
      <c r="AB23" s="8"/>
      <c r="AC23" s="8"/>
      <c r="AD23" s="8"/>
      <c r="AE23" s="8"/>
      <c r="AF23" s="8"/>
      <c r="AG23" s="8"/>
      <c r="AH23" s="7" t="s">
        <v>51</v>
      </c>
      <c r="AI23" s="6" t="s">
        <v>49</v>
      </c>
      <c r="AJ23" s="6" t="s">
        <v>49</v>
      </c>
      <c r="AK23" s="6" t="s">
        <v>49</v>
      </c>
      <c r="AL23" s="9" t="s">
        <v>49</v>
      </c>
      <c r="AM23" s="9" t="s">
        <v>116</v>
      </c>
      <c r="AN23" s="6" t="s">
        <v>49</v>
      </c>
      <c r="AO23" s="9" t="s">
        <v>116</v>
      </c>
      <c r="AP23" s="11">
        <v>0</v>
      </c>
      <c r="AQ23" s="11">
        <v>0</v>
      </c>
      <c r="AR23" s="11">
        <v>0</v>
      </c>
      <c r="AS23" s="11">
        <v>0</v>
      </c>
      <c r="AT23" s="11">
        <v>0</v>
      </c>
      <c r="AU23" s="11">
        <v>0</v>
      </c>
      <c r="AV23" s="11" t="s">
        <v>51</v>
      </c>
    </row>
    <row r="24" spans="1:49" ht="14.5" hidden="1">
      <c r="A24" s="6">
        <v>23</v>
      </c>
      <c r="B24" s="7" t="s">
        <v>117</v>
      </c>
      <c r="C24" s="7" t="s">
        <v>49</v>
      </c>
      <c r="D24" s="6">
        <v>12505</v>
      </c>
      <c r="E24" s="6" t="s">
        <v>49</v>
      </c>
      <c r="F24" s="8"/>
      <c r="G24" s="8"/>
      <c r="H24" s="7" t="s">
        <v>49</v>
      </c>
      <c r="I24" s="7"/>
      <c r="J24" s="6" t="s">
        <v>49</v>
      </c>
      <c r="K24" s="9" t="s">
        <v>49</v>
      </c>
      <c r="L24" s="9" t="s">
        <v>49</v>
      </c>
      <c r="M24" s="8"/>
      <c r="N24" s="10">
        <v>43313</v>
      </c>
      <c r="O24" s="10">
        <v>43831</v>
      </c>
      <c r="P24" s="9" t="s">
        <v>49</v>
      </c>
      <c r="Q24" s="9" t="s">
        <v>49</v>
      </c>
      <c r="R24" s="8"/>
      <c r="S24" s="8"/>
      <c r="T24" s="8"/>
      <c r="U24" s="8"/>
      <c r="V24" s="9" t="s">
        <v>49</v>
      </c>
      <c r="W24" s="9" t="s">
        <v>49</v>
      </c>
      <c r="X24" s="8"/>
      <c r="Y24" s="8"/>
      <c r="Z24" s="8"/>
      <c r="AA24" s="8"/>
      <c r="AB24" s="8"/>
      <c r="AC24" s="8"/>
      <c r="AD24" s="8"/>
      <c r="AE24" s="8"/>
      <c r="AF24" s="8"/>
      <c r="AG24" s="8"/>
      <c r="AH24" s="7" t="s">
        <v>51</v>
      </c>
      <c r="AI24" s="6" t="s">
        <v>71</v>
      </c>
      <c r="AJ24" s="6" t="s">
        <v>49</v>
      </c>
      <c r="AK24" s="6" t="s">
        <v>118</v>
      </c>
      <c r="AL24" s="9" t="s">
        <v>119</v>
      </c>
      <c r="AM24" s="9" t="s">
        <v>49</v>
      </c>
      <c r="AN24" s="6" t="s">
        <v>82</v>
      </c>
      <c r="AO24" s="9" t="s">
        <v>49</v>
      </c>
      <c r="AP24" s="11">
        <v>7248.8885899999996</v>
      </c>
      <c r="AQ24" s="11">
        <v>0</v>
      </c>
      <c r="AR24" s="11">
        <v>0</v>
      </c>
      <c r="AS24" s="11">
        <v>41681.266040000002</v>
      </c>
      <c r="AT24" s="11">
        <v>0</v>
      </c>
      <c r="AU24" s="11">
        <v>0</v>
      </c>
      <c r="AV24" s="11">
        <v>0</v>
      </c>
    </row>
    <row r="25" spans="1:49" ht="14.5" hidden="1">
      <c r="A25" s="6">
        <v>24</v>
      </c>
      <c r="B25" s="7" t="s">
        <v>120</v>
      </c>
      <c r="C25" s="7" t="s">
        <v>49</v>
      </c>
      <c r="D25" s="6">
        <v>12505</v>
      </c>
      <c r="E25" s="6" t="s">
        <v>121</v>
      </c>
      <c r="F25" s="8"/>
      <c r="G25" s="8"/>
      <c r="H25" s="7" t="s">
        <v>49</v>
      </c>
      <c r="I25" s="7"/>
      <c r="J25" s="6" t="s">
        <v>49</v>
      </c>
      <c r="K25" s="9" t="s">
        <v>49</v>
      </c>
      <c r="L25" s="9" t="s">
        <v>49</v>
      </c>
      <c r="M25" s="8"/>
      <c r="N25" s="10">
        <v>43313</v>
      </c>
      <c r="O25" s="10">
        <v>43831</v>
      </c>
      <c r="P25" s="9" t="s">
        <v>49</v>
      </c>
      <c r="Q25" s="9" t="s">
        <v>49</v>
      </c>
      <c r="R25" s="8"/>
      <c r="S25" s="8"/>
      <c r="T25" s="8"/>
      <c r="U25" s="8"/>
      <c r="V25" s="9" t="s">
        <v>49</v>
      </c>
      <c r="W25" s="9" t="s">
        <v>49</v>
      </c>
      <c r="X25" s="8"/>
      <c r="Y25" s="8"/>
      <c r="Z25" s="8"/>
      <c r="AA25" s="8"/>
      <c r="AB25" s="8"/>
      <c r="AC25" s="8"/>
      <c r="AD25" s="8"/>
      <c r="AE25" s="8"/>
      <c r="AF25" s="8"/>
      <c r="AG25" s="8"/>
      <c r="AH25" s="7" t="s">
        <v>51</v>
      </c>
      <c r="AI25" s="6" t="s">
        <v>49</v>
      </c>
      <c r="AJ25" s="6" t="s">
        <v>49</v>
      </c>
      <c r="AK25" s="6" t="s">
        <v>49</v>
      </c>
      <c r="AL25" s="9" t="s">
        <v>49</v>
      </c>
      <c r="AM25" s="9" t="s">
        <v>122</v>
      </c>
      <c r="AN25" s="6" t="s">
        <v>49</v>
      </c>
      <c r="AO25" s="9" t="s">
        <v>122</v>
      </c>
      <c r="AP25" s="11">
        <v>-4.4724399999999997</v>
      </c>
      <c r="AQ25" s="11">
        <v>-4472.4399999999996</v>
      </c>
      <c r="AR25" s="11">
        <v>-4472.4375000000009</v>
      </c>
      <c r="AS25" s="11">
        <v>-8.2207699999999999</v>
      </c>
      <c r="AT25" s="11">
        <v>-4.4724399999999997</v>
      </c>
      <c r="AU25" s="11">
        <v>0</v>
      </c>
      <c r="AV25" s="11" t="s">
        <v>51</v>
      </c>
    </row>
    <row r="26" spans="1:49" ht="14.5" hidden="1">
      <c r="A26" s="6">
        <v>25</v>
      </c>
      <c r="B26" s="7" t="s">
        <v>123</v>
      </c>
      <c r="C26" s="7" t="s">
        <v>49</v>
      </c>
      <c r="D26" s="6">
        <v>15481</v>
      </c>
      <c r="E26" s="6" t="s">
        <v>124</v>
      </c>
      <c r="F26" s="12"/>
      <c r="G26" s="8"/>
      <c r="H26" s="7" t="s">
        <v>49</v>
      </c>
      <c r="I26" s="7"/>
      <c r="J26" s="6" t="s">
        <v>49</v>
      </c>
      <c r="K26" s="9" t="s">
        <v>49</v>
      </c>
      <c r="L26" s="9" t="s">
        <v>49</v>
      </c>
      <c r="M26" s="12"/>
      <c r="N26" s="12"/>
      <c r="O26" s="10">
        <v>44104</v>
      </c>
      <c r="P26" s="9" t="s">
        <v>49</v>
      </c>
      <c r="Q26" s="9" t="s">
        <v>49</v>
      </c>
      <c r="R26" s="8"/>
      <c r="S26" s="8"/>
      <c r="T26" s="8"/>
      <c r="U26" s="8"/>
      <c r="V26" s="9" t="s">
        <v>49</v>
      </c>
      <c r="W26" s="9" t="s">
        <v>49</v>
      </c>
      <c r="X26" s="8"/>
      <c r="Y26" s="8"/>
      <c r="Z26" s="12"/>
      <c r="AA26" s="8"/>
      <c r="AB26" s="12"/>
      <c r="AC26" s="8"/>
      <c r="AD26" s="12"/>
      <c r="AE26" s="12"/>
      <c r="AF26" s="8"/>
      <c r="AG26" s="12"/>
      <c r="AH26" s="7" t="s">
        <v>57</v>
      </c>
      <c r="AI26" s="6" t="s">
        <v>49</v>
      </c>
      <c r="AJ26" s="6" t="s">
        <v>49</v>
      </c>
      <c r="AK26" s="6" t="s">
        <v>49</v>
      </c>
      <c r="AL26" s="9" t="s">
        <v>49</v>
      </c>
      <c r="AM26" s="9" t="s">
        <v>67</v>
      </c>
      <c r="AN26" s="6" t="s">
        <v>49</v>
      </c>
      <c r="AO26" s="9" t="s">
        <v>67</v>
      </c>
      <c r="AP26" s="11">
        <v>0</v>
      </c>
      <c r="AQ26" s="11">
        <v>0</v>
      </c>
      <c r="AR26" s="11">
        <v>0</v>
      </c>
      <c r="AS26" s="11">
        <v>0</v>
      </c>
      <c r="AT26" s="11">
        <v>0</v>
      </c>
      <c r="AU26" s="11">
        <v>0</v>
      </c>
      <c r="AV26" s="11" t="s">
        <v>57</v>
      </c>
    </row>
    <row r="27" spans="1:49" ht="14.5" hidden="1">
      <c r="A27" s="6">
        <v>26</v>
      </c>
      <c r="B27" s="7" t="s">
        <v>125</v>
      </c>
      <c r="C27" s="7" t="s">
        <v>49</v>
      </c>
      <c r="D27" s="6">
        <v>15481</v>
      </c>
      <c r="E27" s="6" t="s">
        <v>126</v>
      </c>
      <c r="F27" s="12"/>
      <c r="G27" s="8"/>
      <c r="H27" s="7" t="s">
        <v>49</v>
      </c>
      <c r="I27" s="7"/>
      <c r="J27" s="6" t="s">
        <v>49</v>
      </c>
      <c r="K27" s="9" t="s">
        <v>49</v>
      </c>
      <c r="L27" s="9" t="s">
        <v>49</v>
      </c>
      <c r="M27" s="12"/>
      <c r="N27" s="12"/>
      <c r="O27" s="10">
        <v>43525</v>
      </c>
      <c r="P27" s="9" t="s">
        <v>49</v>
      </c>
      <c r="Q27" s="9" t="s">
        <v>49</v>
      </c>
      <c r="R27" s="8"/>
      <c r="S27" s="8"/>
      <c r="T27" s="8"/>
      <c r="U27" s="8"/>
      <c r="V27" s="9" t="s">
        <v>49</v>
      </c>
      <c r="W27" s="9" t="s">
        <v>49</v>
      </c>
      <c r="X27" s="8"/>
      <c r="Y27" s="8"/>
      <c r="Z27" s="8"/>
      <c r="AA27" s="8"/>
      <c r="AB27" s="8"/>
      <c r="AC27" s="8"/>
      <c r="AD27" s="8"/>
      <c r="AE27" s="8"/>
      <c r="AF27" s="8"/>
      <c r="AG27" s="8"/>
      <c r="AH27" s="7" t="s">
        <v>57</v>
      </c>
      <c r="AI27" s="6" t="s">
        <v>49</v>
      </c>
      <c r="AJ27" s="6" t="s">
        <v>49</v>
      </c>
      <c r="AK27" s="6" t="s">
        <v>49</v>
      </c>
      <c r="AL27" s="9" t="s">
        <v>49</v>
      </c>
      <c r="AM27" s="9" t="s">
        <v>67</v>
      </c>
      <c r="AN27" s="6" t="s">
        <v>49</v>
      </c>
      <c r="AO27" s="9" t="s">
        <v>67</v>
      </c>
      <c r="AP27" s="11">
        <v>0</v>
      </c>
      <c r="AQ27" s="11">
        <v>0</v>
      </c>
      <c r="AR27" s="11">
        <v>0</v>
      </c>
      <c r="AS27" s="11">
        <v>0</v>
      </c>
      <c r="AT27" s="11">
        <v>0</v>
      </c>
      <c r="AU27" s="11">
        <v>0</v>
      </c>
      <c r="AV27" s="11" t="s">
        <v>57</v>
      </c>
    </row>
    <row r="28" spans="1:49" ht="14.5" hidden="1">
      <c r="A28" s="6">
        <v>27</v>
      </c>
      <c r="B28" s="7" t="s">
        <v>127</v>
      </c>
      <c r="C28" s="7" t="s">
        <v>49</v>
      </c>
      <c r="D28" s="6">
        <v>12517</v>
      </c>
      <c r="E28" s="6" t="s">
        <v>49</v>
      </c>
      <c r="F28" s="8"/>
      <c r="G28" s="8"/>
      <c r="H28" s="7" t="s">
        <v>49</v>
      </c>
      <c r="I28" s="7"/>
      <c r="J28" s="6" t="s">
        <v>49</v>
      </c>
      <c r="K28" s="9" t="s">
        <v>49</v>
      </c>
      <c r="L28" s="9" t="s">
        <v>49</v>
      </c>
      <c r="M28" s="8"/>
      <c r="N28" s="10">
        <v>42919</v>
      </c>
      <c r="O28" s="10">
        <v>43860</v>
      </c>
      <c r="P28" s="9" t="s">
        <v>49</v>
      </c>
      <c r="Q28" s="9" t="s">
        <v>49</v>
      </c>
      <c r="R28" s="8"/>
      <c r="S28" s="8"/>
      <c r="T28" s="8"/>
      <c r="U28" s="8"/>
      <c r="V28" s="9" t="s">
        <v>49</v>
      </c>
      <c r="W28" s="9" t="s">
        <v>49</v>
      </c>
      <c r="X28" s="8"/>
      <c r="Y28" s="8"/>
      <c r="Z28" s="8"/>
      <c r="AA28" s="8"/>
      <c r="AB28" s="8"/>
      <c r="AC28" s="8"/>
      <c r="AD28" s="8"/>
      <c r="AE28" s="8"/>
      <c r="AF28" s="8"/>
      <c r="AG28" s="8"/>
      <c r="AH28" s="7" t="s">
        <v>51</v>
      </c>
      <c r="AI28" s="6" t="s">
        <v>71</v>
      </c>
      <c r="AJ28" s="6" t="s">
        <v>49</v>
      </c>
      <c r="AK28" s="6" t="s">
        <v>118</v>
      </c>
      <c r="AL28" s="9" t="s">
        <v>116</v>
      </c>
      <c r="AM28" s="9" t="s">
        <v>49</v>
      </c>
      <c r="AN28" s="6" t="s">
        <v>82</v>
      </c>
      <c r="AO28" s="9" t="s">
        <v>49</v>
      </c>
      <c r="AP28" s="11">
        <v>7248.8885899999996</v>
      </c>
      <c r="AQ28" s="11">
        <v>0</v>
      </c>
      <c r="AR28" s="11">
        <v>0</v>
      </c>
      <c r="AS28" s="11">
        <v>41681.266040000002</v>
      </c>
      <c r="AT28" s="11">
        <v>0</v>
      </c>
      <c r="AU28" s="11">
        <v>0</v>
      </c>
      <c r="AV28" s="11">
        <v>0</v>
      </c>
    </row>
    <row r="29" spans="1:49" ht="14.5" hidden="1">
      <c r="A29" s="6">
        <v>28</v>
      </c>
      <c r="B29" s="7" t="s">
        <v>128</v>
      </c>
      <c r="C29" s="7" t="s">
        <v>49</v>
      </c>
      <c r="D29" s="6">
        <v>12517</v>
      </c>
      <c r="E29" s="6" t="s">
        <v>129</v>
      </c>
      <c r="F29" s="8"/>
      <c r="G29" s="8"/>
      <c r="H29" s="7" t="s">
        <v>49</v>
      </c>
      <c r="I29" s="7"/>
      <c r="J29" s="6" t="s">
        <v>49</v>
      </c>
      <c r="K29" s="9" t="s">
        <v>49</v>
      </c>
      <c r="L29" s="9" t="s">
        <v>49</v>
      </c>
      <c r="M29" s="8"/>
      <c r="N29" s="10">
        <v>43474</v>
      </c>
      <c r="O29" s="10">
        <v>43831</v>
      </c>
      <c r="P29" s="9" t="s">
        <v>49</v>
      </c>
      <c r="Q29" s="9" t="s">
        <v>49</v>
      </c>
      <c r="R29" s="8"/>
      <c r="S29" s="8"/>
      <c r="T29" s="8"/>
      <c r="U29" s="8"/>
      <c r="V29" s="9" t="s">
        <v>49</v>
      </c>
      <c r="W29" s="9" t="s">
        <v>49</v>
      </c>
      <c r="X29" s="8"/>
      <c r="Y29" s="8"/>
      <c r="Z29" s="8"/>
      <c r="AA29" s="8"/>
      <c r="AB29" s="8"/>
      <c r="AC29" s="8"/>
      <c r="AD29" s="8"/>
      <c r="AE29" s="8"/>
      <c r="AF29" s="8"/>
      <c r="AG29" s="8"/>
      <c r="AH29" s="7" t="s">
        <v>57</v>
      </c>
      <c r="AI29" s="6" t="s">
        <v>49</v>
      </c>
      <c r="AJ29" s="6" t="s">
        <v>49</v>
      </c>
      <c r="AK29" s="6" t="s">
        <v>49</v>
      </c>
      <c r="AL29" s="9" t="s">
        <v>49</v>
      </c>
      <c r="AM29" s="9" t="s">
        <v>116</v>
      </c>
      <c r="AN29" s="6" t="s">
        <v>49</v>
      </c>
      <c r="AO29" s="9" t="s">
        <v>116</v>
      </c>
      <c r="AP29" s="11">
        <v>0</v>
      </c>
      <c r="AQ29" s="11">
        <v>0</v>
      </c>
      <c r="AR29" s="11">
        <v>0</v>
      </c>
      <c r="AS29" s="11">
        <v>0</v>
      </c>
      <c r="AT29" s="11">
        <v>0</v>
      </c>
      <c r="AU29" s="11">
        <v>0</v>
      </c>
      <c r="AV29" s="11" t="s">
        <v>57</v>
      </c>
    </row>
    <row r="30" spans="1:49" ht="14.5" hidden="1">
      <c r="A30" s="6">
        <v>29</v>
      </c>
      <c r="B30" s="7" t="s">
        <v>130</v>
      </c>
      <c r="C30" s="7" t="s">
        <v>131</v>
      </c>
      <c r="D30" s="6">
        <v>15378</v>
      </c>
      <c r="E30" s="6"/>
      <c r="F30" s="6"/>
      <c r="G30" s="8"/>
      <c r="H30" s="7" t="s">
        <v>49</v>
      </c>
      <c r="I30" s="7"/>
      <c r="J30" s="6" t="s">
        <v>49</v>
      </c>
      <c r="K30" s="9" t="s">
        <v>49</v>
      </c>
      <c r="L30" s="9" t="s">
        <v>73</v>
      </c>
      <c r="M30" s="12"/>
      <c r="N30" s="10">
        <v>43318</v>
      </c>
      <c r="O30" s="10">
        <v>44897</v>
      </c>
      <c r="P30" s="9" t="s">
        <v>130</v>
      </c>
      <c r="Q30" s="9" t="s">
        <v>107</v>
      </c>
      <c r="R30" s="8"/>
      <c r="S30" s="8"/>
      <c r="T30" s="8"/>
      <c r="U30" s="8"/>
      <c r="V30" s="9" t="s">
        <v>49</v>
      </c>
      <c r="W30" s="9" t="s">
        <v>132</v>
      </c>
      <c r="X30" s="8"/>
      <c r="Y30" s="8"/>
      <c r="Z30" s="12"/>
      <c r="AA30" s="8"/>
      <c r="AB30" s="12"/>
      <c r="AC30" s="12"/>
      <c r="AD30" s="12"/>
      <c r="AE30" s="12"/>
      <c r="AF30" s="8"/>
      <c r="AG30" s="12"/>
      <c r="AH30" s="7" t="s">
        <v>57</v>
      </c>
      <c r="AI30" s="6" t="s">
        <v>71</v>
      </c>
      <c r="AJ30" s="6" t="s">
        <v>49</v>
      </c>
      <c r="AK30" s="6" t="s">
        <v>49</v>
      </c>
      <c r="AL30" s="9" t="s">
        <v>133</v>
      </c>
      <c r="AM30" s="9" t="s">
        <v>49</v>
      </c>
      <c r="AN30" s="6" t="s">
        <v>73</v>
      </c>
      <c r="AO30" s="9" t="s">
        <v>134</v>
      </c>
      <c r="AP30" s="11">
        <v>0</v>
      </c>
      <c r="AQ30" s="11">
        <v>0</v>
      </c>
      <c r="AR30" s="11">
        <v>0</v>
      </c>
      <c r="AS30" s="11">
        <v>0</v>
      </c>
      <c r="AT30" s="11">
        <v>0</v>
      </c>
      <c r="AU30" s="11">
        <v>0</v>
      </c>
      <c r="AV30" s="11">
        <v>0</v>
      </c>
    </row>
    <row r="31" spans="1:49" ht="14.5">
      <c r="A31" s="6">
        <v>30</v>
      </c>
      <c r="B31" s="7" t="s">
        <v>135</v>
      </c>
      <c r="C31" s="7" t="s">
        <v>86</v>
      </c>
      <c r="D31" s="6">
        <v>12506</v>
      </c>
      <c r="E31" s="6" t="s">
        <v>136</v>
      </c>
      <c r="F31" s="6">
        <v>49076</v>
      </c>
      <c r="G31" s="8"/>
      <c r="H31" s="7" t="s">
        <v>70</v>
      </c>
      <c r="I31" s="7"/>
      <c r="J31" s="6" t="s">
        <v>75</v>
      </c>
      <c r="K31" s="9" t="s">
        <v>89</v>
      </c>
      <c r="L31" s="9" t="s">
        <v>73</v>
      </c>
      <c r="M31" s="14">
        <v>202</v>
      </c>
      <c r="N31" s="10">
        <v>42919</v>
      </c>
      <c r="O31" s="10">
        <v>43845</v>
      </c>
      <c r="P31" s="9" t="s">
        <v>137</v>
      </c>
      <c r="Q31" s="9" t="s">
        <v>138</v>
      </c>
      <c r="R31" s="8"/>
      <c r="S31" s="8"/>
      <c r="T31" s="8"/>
      <c r="U31" s="8"/>
      <c r="V31" s="9" t="s">
        <v>49</v>
      </c>
      <c r="W31" s="9" t="s">
        <v>49</v>
      </c>
      <c r="X31" s="8"/>
      <c r="Y31" s="8"/>
      <c r="Z31" s="6">
        <v>0.20200000000000001</v>
      </c>
      <c r="AA31" s="8"/>
      <c r="AB31" s="6">
        <v>0.20200000000000001</v>
      </c>
      <c r="AC31" s="6">
        <v>0.47199999999999998</v>
      </c>
      <c r="AD31" s="6">
        <v>0.67400000000000004</v>
      </c>
      <c r="AE31" s="6">
        <v>0.16200000000000001</v>
      </c>
      <c r="AF31" s="8"/>
      <c r="AG31" s="6">
        <v>0.16200000000000001</v>
      </c>
      <c r="AH31" s="7" t="s">
        <v>51</v>
      </c>
      <c r="AI31" s="6" t="s">
        <v>49</v>
      </c>
      <c r="AJ31" s="6" t="s">
        <v>49</v>
      </c>
      <c r="AK31" s="6" t="s">
        <v>49</v>
      </c>
      <c r="AL31" s="9" t="s">
        <v>49</v>
      </c>
      <c r="AM31" s="9" t="s">
        <v>139</v>
      </c>
      <c r="AN31" s="6" t="s">
        <v>49</v>
      </c>
      <c r="AO31" s="9" t="s">
        <v>140</v>
      </c>
      <c r="AP31" s="11">
        <v>66.479350000000011</v>
      </c>
      <c r="AQ31" s="11">
        <v>111670.08</v>
      </c>
      <c r="AR31" s="11">
        <v>111670.08208333334</v>
      </c>
      <c r="AS31" s="11">
        <v>588.35106000000007</v>
      </c>
      <c r="AT31" s="11">
        <v>360.01384000000002</v>
      </c>
      <c r="AU31" s="11">
        <v>395</v>
      </c>
      <c r="AV31" s="11" t="s">
        <v>51</v>
      </c>
      <c r="AW31" t="s">
        <v>93</v>
      </c>
    </row>
    <row r="32" spans="1:49" ht="14.5" hidden="1">
      <c r="A32" s="6">
        <v>31</v>
      </c>
      <c r="B32" s="7" t="s">
        <v>141</v>
      </c>
      <c r="C32" s="7" t="s">
        <v>86</v>
      </c>
      <c r="D32" s="6">
        <v>12506</v>
      </c>
      <c r="E32" s="6" t="s">
        <v>49</v>
      </c>
      <c r="F32" s="8"/>
      <c r="G32" s="8"/>
      <c r="H32" s="7" t="s">
        <v>49</v>
      </c>
      <c r="I32" s="7"/>
      <c r="J32" s="6" t="s">
        <v>49</v>
      </c>
      <c r="K32" s="9" t="s">
        <v>49</v>
      </c>
      <c r="L32" s="9" t="s">
        <v>49</v>
      </c>
      <c r="M32" s="8"/>
      <c r="N32" s="10">
        <v>42919</v>
      </c>
      <c r="O32" s="10">
        <v>43845</v>
      </c>
      <c r="P32" s="9" t="s">
        <v>49</v>
      </c>
      <c r="Q32" s="9" t="s">
        <v>49</v>
      </c>
      <c r="R32" s="8"/>
      <c r="S32" s="8"/>
      <c r="T32" s="8"/>
      <c r="U32" s="8"/>
      <c r="V32" s="9" t="s">
        <v>49</v>
      </c>
      <c r="W32" s="9" t="s">
        <v>49</v>
      </c>
      <c r="X32" s="8"/>
      <c r="Y32" s="8"/>
      <c r="Z32" s="8"/>
      <c r="AA32" s="8"/>
      <c r="AB32" s="8"/>
      <c r="AC32" s="8"/>
      <c r="AD32" s="8"/>
      <c r="AE32" s="8"/>
      <c r="AF32" s="8"/>
      <c r="AG32" s="8"/>
      <c r="AH32" s="7" t="s">
        <v>51</v>
      </c>
      <c r="AI32" s="6" t="s">
        <v>71</v>
      </c>
      <c r="AJ32" s="6" t="s">
        <v>49</v>
      </c>
      <c r="AK32" s="6" t="s">
        <v>118</v>
      </c>
      <c r="AL32" s="9" t="s">
        <v>139</v>
      </c>
      <c r="AM32" s="9" t="s">
        <v>49</v>
      </c>
      <c r="AN32" s="6" t="s">
        <v>96</v>
      </c>
      <c r="AO32" s="9" t="s">
        <v>49</v>
      </c>
      <c r="AP32" s="11">
        <v>7248.8885899999996</v>
      </c>
      <c r="AQ32" s="11">
        <v>0</v>
      </c>
      <c r="AR32" s="11">
        <v>0</v>
      </c>
      <c r="AS32" s="11">
        <v>41681.266040000002</v>
      </c>
      <c r="AT32" s="11">
        <v>0</v>
      </c>
      <c r="AU32" s="11">
        <v>0</v>
      </c>
      <c r="AV32" s="11">
        <v>0</v>
      </c>
    </row>
    <row r="33" spans="1:49" ht="14.5" hidden="1">
      <c r="A33" s="6">
        <v>32</v>
      </c>
      <c r="B33" s="7" t="s">
        <v>142</v>
      </c>
      <c r="C33" s="7" t="s">
        <v>49</v>
      </c>
      <c r="D33" s="6">
        <v>15367</v>
      </c>
      <c r="E33" s="6" t="s">
        <v>143</v>
      </c>
      <c r="F33" s="8"/>
      <c r="G33" s="8"/>
      <c r="H33" s="7" t="s">
        <v>49</v>
      </c>
      <c r="I33" s="7"/>
      <c r="J33" s="6" t="s">
        <v>49</v>
      </c>
      <c r="K33" s="9" t="s">
        <v>49</v>
      </c>
      <c r="L33" s="9" t="s">
        <v>49</v>
      </c>
      <c r="M33" s="8"/>
      <c r="N33" s="10">
        <v>43598</v>
      </c>
      <c r="O33" s="10">
        <v>43859</v>
      </c>
      <c r="P33" s="9" t="s">
        <v>49</v>
      </c>
      <c r="Q33" s="9" t="s">
        <v>49</v>
      </c>
      <c r="R33" s="8"/>
      <c r="S33" s="8"/>
      <c r="T33" s="8"/>
      <c r="U33" s="8"/>
      <c r="V33" s="9" t="s">
        <v>49</v>
      </c>
      <c r="W33" s="9" t="s">
        <v>49</v>
      </c>
      <c r="X33" s="8"/>
      <c r="Y33" s="8"/>
      <c r="Z33" s="8"/>
      <c r="AA33" s="8"/>
      <c r="AB33" s="8"/>
      <c r="AC33" s="8"/>
      <c r="AD33" s="8"/>
      <c r="AE33" s="8"/>
      <c r="AF33" s="8"/>
      <c r="AG33" s="8"/>
      <c r="AH33" s="7" t="s">
        <v>57</v>
      </c>
      <c r="AI33" s="6" t="s">
        <v>49</v>
      </c>
      <c r="AJ33" s="6" t="s">
        <v>49</v>
      </c>
      <c r="AK33" s="6" t="s">
        <v>49</v>
      </c>
      <c r="AL33" s="9" t="s">
        <v>49</v>
      </c>
      <c r="AM33" s="9" t="s">
        <v>122</v>
      </c>
      <c r="AN33" s="6" t="s">
        <v>49</v>
      </c>
      <c r="AO33" s="9" t="s">
        <v>122</v>
      </c>
      <c r="AP33" s="11">
        <v>0</v>
      </c>
      <c r="AQ33" s="11">
        <v>0</v>
      </c>
      <c r="AR33" s="11">
        <v>0</v>
      </c>
      <c r="AS33" s="11">
        <v>180.57220999999998</v>
      </c>
      <c r="AT33" s="11">
        <v>0</v>
      </c>
      <c r="AU33" s="11">
        <v>0</v>
      </c>
      <c r="AV33" s="11" t="s">
        <v>57</v>
      </c>
    </row>
    <row r="34" spans="1:49" ht="14.5" hidden="1">
      <c r="A34" s="6">
        <v>33</v>
      </c>
      <c r="B34" s="7" t="s">
        <v>144</v>
      </c>
      <c r="C34" s="7" t="s">
        <v>81</v>
      </c>
      <c r="D34" s="6">
        <v>15522</v>
      </c>
      <c r="E34" s="6" t="s">
        <v>49</v>
      </c>
      <c r="F34" s="12"/>
      <c r="G34" s="8"/>
      <c r="H34" s="7" t="s">
        <v>49</v>
      </c>
      <c r="I34" s="7"/>
      <c r="J34" s="6" t="s">
        <v>49</v>
      </c>
      <c r="K34" s="9" t="s">
        <v>49</v>
      </c>
      <c r="L34" s="9" t="s">
        <v>49</v>
      </c>
      <c r="M34" s="12"/>
      <c r="N34" s="10">
        <v>43500</v>
      </c>
      <c r="O34" s="10">
        <v>43889</v>
      </c>
      <c r="P34" s="9" t="s">
        <v>49</v>
      </c>
      <c r="Q34" s="9" t="s">
        <v>49</v>
      </c>
      <c r="R34" s="12"/>
      <c r="S34" s="12"/>
      <c r="T34" s="12"/>
      <c r="U34" s="12"/>
      <c r="V34" s="9" t="s">
        <v>49</v>
      </c>
      <c r="W34" s="9" t="s">
        <v>49</v>
      </c>
      <c r="X34" s="12"/>
      <c r="Y34" s="8"/>
      <c r="Z34" s="12"/>
      <c r="AA34" s="8"/>
      <c r="AB34" s="12"/>
      <c r="AC34" s="12"/>
      <c r="AD34" s="12"/>
      <c r="AE34" s="12"/>
      <c r="AF34" s="8"/>
      <c r="AG34" s="12"/>
      <c r="AH34" s="7" t="s">
        <v>57</v>
      </c>
      <c r="AI34" s="6" t="s">
        <v>71</v>
      </c>
      <c r="AJ34" s="6" t="s">
        <v>49</v>
      </c>
      <c r="AK34" s="6" t="s">
        <v>49</v>
      </c>
      <c r="AL34" s="9" t="s">
        <v>145</v>
      </c>
      <c r="AM34" s="9" t="s">
        <v>49</v>
      </c>
      <c r="AN34" s="6" t="s">
        <v>82</v>
      </c>
      <c r="AO34" s="9" t="s">
        <v>49</v>
      </c>
      <c r="AP34" s="11">
        <v>7248.8885899999996</v>
      </c>
      <c r="AQ34" s="11">
        <v>0</v>
      </c>
      <c r="AR34" s="11">
        <v>0</v>
      </c>
      <c r="AS34" s="11">
        <v>41681.266040000002</v>
      </c>
      <c r="AT34" s="11">
        <v>0</v>
      </c>
      <c r="AU34" s="11">
        <v>0</v>
      </c>
      <c r="AV34" s="11">
        <v>0</v>
      </c>
    </row>
    <row r="35" spans="1:49" ht="14.5" hidden="1">
      <c r="A35" s="6">
        <v>34</v>
      </c>
      <c r="B35" s="7" t="s">
        <v>144</v>
      </c>
      <c r="C35" s="7" t="s">
        <v>81</v>
      </c>
      <c r="D35" s="6">
        <v>15522</v>
      </c>
      <c r="E35" s="6" t="s">
        <v>146</v>
      </c>
      <c r="F35" s="8"/>
      <c r="G35" s="8"/>
      <c r="H35" s="7" t="s">
        <v>88</v>
      </c>
      <c r="I35" s="7" t="s">
        <v>147</v>
      </c>
      <c r="J35" s="6" t="s">
        <v>49</v>
      </c>
      <c r="K35" s="9" t="s">
        <v>49</v>
      </c>
      <c r="L35" s="9" t="s">
        <v>49</v>
      </c>
      <c r="M35" s="8"/>
      <c r="N35" s="10">
        <v>43500</v>
      </c>
      <c r="O35" s="10">
        <v>43889</v>
      </c>
      <c r="P35" s="9" t="s">
        <v>49</v>
      </c>
      <c r="Q35" s="9" t="s">
        <v>49</v>
      </c>
      <c r="R35" s="8">
        <v>23.49</v>
      </c>
      <c r="S35" s="8">
        <v>129.19999999999999</v>
      </c>
      <c r="T35" s="8">
        <v>133.6</v>
      </c>
      <c r="U35" s="8">
        <v>5.5</v>
      </c>
      <c r="V35" s="16">
        <v>0.49</v>
      </c>
      <c r="W35" s="9" t="s">
        <v>49</v>
      </c>
      <c r="X35" s="8"/>
      <c r="Y35" s="8"/>
      <c r="Z35" s="8"/>
      <c r="AA35" s="12"/>
      <c r="AB35" s="12"/>
      <c r="AC35" s="8"/>
      <c r="AD35" s="12"/>
      <c r="AE35" s="8"/>
      <c r="AF35" s="12"/>
      <c r="AG35" s="12"/>
      <c r="AH35" s="7" t="s">
        <v>57</v>
      </c>
      <c r="AI35" s="6" t="s">
        <v>49</v>
      </c>
      <c r="AJ35" s="6" t="s">
        <v>49</v>
      </c>
      <c r="AK35" s="6" t="s">
        <v>49</v>
      </c>
      <c r="AL35" s="9" t="s">
        <v>49</v>
      </c>
      <c r="AM35" s="9" t="s">
        <v>145</v>
      </c>
      <c r="AN35" s="6" t="s">
        <v>49</v>
      </c>
      <c r="AO35" s="9" t="s">
        <v>145</v>
      </c>
      <c r="AP35" s="11">
        <v>0</v>
      </c>
      <c r="AQ35" s="11">
        <v>48750.02</v>
      </c>
      <c r="AR35" s="11">
        <v>48750.02</v>
      </c>
      <c r="AS35" s="11">
        <v>0</v>
      </c>
      <c r="AT35" s="11">
        <v>963.75202000000002</v>
      </c>
      <c r="AU35" s="11">
        <v>1600</v>
      </c>
      <c r="AV35" s="11" t="s">
        <v>57</v>
      </c>
      <c r="AW35" t="s">
        <v>93</v>
      </c>
    </row>
    <row r="36" spans="1:49" ht="14.5" hidden="1">
      <c r="A36" s="6">
        <v>35</v>
      </c>
      <c r="B36" s="7" t="s">
        <v>148</v>
      </c>
      <c r="C36" s="7" t="s">
        <v>49</v>
      </c>
      <c r="D36" s="6">
        <v>15298</v>
      </c>
      <c r="E36" s="6" t="s">
        <v>49</v>
      </c>
      <c r="F36" s="8"/>
      <c r="G36" s="8"/>
      <c r="H36" s="7" t="s">
        <v>49</v>
      </c>
      <c r="I36" s="7"/>
      <c r="J36" s="6" t="s">
        <v>49</v>
      </c>
      <c r="K36" s="9" t="s">
        <v>49</v>
      </c>
      <c r="L36" s="9" t="s">
        <v>49</v>
      </c>
      <c r="M36" s="8"/>
      <c r="N36" s="10">
        <v>42916</v>
      </c>
      <c r="O36" s="10">
        <v>44196</v>
      </c>
      <c r="P36" s="9" t="s">
        <v>49</v>
      </c>
      <c r="Q36" s="9" t="s">
        <v>49</v>
      </c>
      <c r="R36" s="8"/>
      <c r="S36" s="8"/>
      <c r="T36" s="8"/>
      <c r="U36" s="8"/>
      <c r="V36" s="9" t="s">
        <v>49</v>
      </c>
      <c r="W36" s="9" t="s">
        <v>49</v>
      </c>
      <c r="X36" s="8"/>
      <c r="Y36" s="8"/>
      <c r="Z36" s="8"/>
      <c r="AA36" s="8"/>
      <c r="AB36" s="8"/>
      <c r="AC36" s="8"/>
      <c r="AD36" s="8"/>
      <c r="AE36" s="8"/>
      <c r="AF36" s="8"/>
      <c r="AG36" s="8"/>
      <c r="AH36" s="7" t="s">
        <v>51</v>
      </c>
      <c r="AI36" s="6" t="s">
        <v>71</v>
      </c>
      <c r="AJ36" s="6" t="s">
        <v>49</v>
      </c>
      <c r="AK36" s="6" t="s">
        <v>49</v>
      </c>
      <c r="AL36" s="9" t="s">
        <v>149</v>
      </c>
      <c r="AM36" s="9" t="s">
        <v>49</v>
      </c>
      <c r="AN36" s="6" t="s">
        <v>96</v>
      </c>
      <c r="AO36" s="9" t="s">
        <v>49</v>
      </c>
      <c r="AP36" s="11">
        <v>7248.8885899999996</v>
      </c>
      <c r="AQ36" s="11">
        <v>0</v>
      </c>
      <c r="AR36" s="11">
        <v>0</v>
      </c>
      <c r="AS36" s="11">
        <v>41681.266040000002</v>
      </c>
      <c r="AT36" s="11">
        <v>0</v>
      </c>
      <c r="AU36" s="11">
        <v>0</v>
      </c>
      <c r="AV36" s="11">
        <v>0</v>
      </c>
    </row>
    <row r="37" spans="1:49" ht="14.5" hidden="1">
      <c r="A37" s="6">
        <v>36</v>
      </c>
      <c r="B37" s="7" t="s">
        <v>150</v>
      </c>
      <c r="C37" s="7" t="s">
        <v>49</v>
      </c>
      <c r="D37" s="6">
        <v>15298</v>
      </c>
      <c r="E37" s="6" t="s">
        <v>151</v>
      </c>
      <c r="F37" s="8"/>
      <c r="G37" s="8"/>
      <c r="H37" s="7" t="s">
        <v>49</v>
      </c>
      <c r="I37" s="7"/>
      <c r="J37" s="6" t="s">
        <v>49</v>
      </c>
      <c r="K37" s="9" t="s">
        <v>49</v>
      </c>
      <c r="L37" s="9" t="s">
        <v>49</v>
      </c>
      <c r="M37" s="8"/>
      <c r="N37" s="10">
        <v>42916</v>
      </c>
      <c r="O37" s="10">
        <v>44196</v>
      </c>
      <c r="P37" s="9" t="s">
        <v>49</v>
      </c>
      <c r="Q37" s="9" t="s">
        <v>49</v>
      </c>
      <c r="R37" s="8"/>
      <c r="S37" s="8"/>
      <c r="T37" s="8"/>
      <c r="U37" s="8"/>
      <c r="V37" s="9" t="s">
        <v>49</v>
      </c>
      <c r="W37" s="9" t="s">
        <v>49</v>
      </c>
      <c r="X37" s="8"/>
      <c r="Y37" s="8"/>
      <c r="Z37" s="8"/>
      <c r="AA37" s="8"/>
      <c r="AB37" s="8"/>
      <c r="AC37" s="8"/>
      <c r="AD37" s="8"/>
      <c r="AE37" s="8"/>
      <c r="AF37" s="8"/>
      <c r="AG37" s="8"/>
      <c r="AH37" s="7" t="s">
        <v>57</v>
      </c>
      <c r="AI37" s="6" t="s">
        <v>49</v>
      </c>
      <c r="AJ37" s="6" t="s">
        <v>49</v>
      </c>
      <c r="AK37" s="6" t="s">
        <v>49</v>
      </c>
      <c r="AL37" s="9" t="s">
        <v>49</v>
      </c>
      <c r="AM37" s="9" t="s">
        <v>102</v>
      </c>
      <c r="AN37" s="6" t="s">
        <v>49</v>
      </c>
      <c r="AO37" s="9" t="s">
        <v>102</v>
      </c>
      <c r="AP37" s="11">
        <v>0</v>
      </c>
      <c r="AQ37" s="11">
        <v>0</v>
      </c>
      <c r="AR37" s="11">
        <v>0</v>
      </c>
      <c r="AS37" s="11">
        <v>0</v>
      </c>
      <c r="AT37" s="11">
        <v>0</v>
      </c>
      <c r="AU37" s="11">
        <v>0</v>
      </c>
      <c r="AV37" s="11" t="s">
        <v>57</v>
      </c>
    </row>
    <row r="38" spans="1:49" ht="14.5" hidden="1">
      <c r="A38" s="6">
        <v>37</v>
      </c>
      <c r="B38" s="7" t="s">
        <v>152</v>
      </c>
      <c r="C38" s="7" t="s">
        <v>49</v>
      </c>
      <c r="D38" s="6">
        <v>12583</v>
      </c>
      <c r="E38" s="6" t="s">
        <v>153</v>
      </c>
      <c r="F38" s="8"/>
      <c r="G38" s="8"/>
      <c r="H38" s="7" t="s">
        <v>49</v>
      </c>
      <c r="I38" s="7"/>
      <c r="J38" s="6" t="s">
        <v>49</v>
      </c>
      <c r="K38" s="9" t="s">
        <v>49</v>
      </c>
      <c r="L38" s="9" t="s">
        <v>49</v>
      </c>
      <c r="M38" s="8"/>
      <c r="N38" s="10">
        <v>42737</v>
      </c>
      <c r="O38" s="10">
        <v>43831</v>
      </c>
      <c r="P38" s="9" t="s">
        <v>49</v>
      </c>
      <c r="Q38" s="9" t="s">
        <v>49</v>
      </c>
      <c r="R38" s="8"/>
      <c r="S38" s="8"/>
      <c r="T38" s="8"/>
      <c r="U38" s="8"/>
      <c r="V38" s="9" t="s">
        <v>49</v>
      </c>
      <c r="W38" s="9" t="s">
        <v>49</v>
      </c>
      <c r="X38" s="8"/>
      <c r="Y38" s="8"/>
      <c r="Z38" s="8"/>
      <c r="AA38" s="8"/>
      <c r="AB38" s="8"/>
      <c r="AC38" s="8"/>
      <c r="AD38" s="8"/>
      <c r="AE38" s="8"/>
      <c r="AF38" s="8"/>
      <c r="AG38" s="8"/>
      <c r="AH38" s="7" t="s">
        <v>51</v>
      </c>
      <c r="AI38" s="6" t="s">
        <v>49</v>
      </c>
      <c r="AJ38" s="6" t="s">
        <v>49</v>
      </c>
      <c r="AK38" s="6" t="s">
        <v>49</v>
      </c>
      <c r="AL38" s="9" t="s">
        <v>49</v>
      </c>
      <c r="AM38" s="9" t="s">
        <v>154</v>
      </c>
      <c r="AN38" s="6" t="s">
        <v>49</v>
      </c>
      <c r="AO38" s="9" t="s">
        <v>154</v>
      </c>
      <c r="AP38" s="11">
        <v>0</v>
      </c>
      <c r="AQ38" s="11">
        <v>0</v>
      </c>
      <c r="AR38" s="11">
        <v>0</v>
      </c>
      <c r="AS38" s="11">
        <v>0</v>
      </c>
      <c r="AT38" s="11">
        <v>0</v>
      </c>
      <c r="AU38" s="11">
        <v>0</v>
      </c>
      <c r="AV38" s="11" t="s">
        <v>51</v>
      </c>
    </row>
    <row r="39" spans="1:49" ht="14.5" hidden="1">
      <c r="A39" s="6">
        <v>38</v>
      </c>
      <c r="B39" s="7" t="s">
        <v>155</v>
      </c>
      <c r="C39" s="7" t="s">
        <v>49</v>
      </c>
      <c r="D39" s="6">
        <v>12583</v>
      </c>
      <c r="E39" s="6" t="s">
        <v>49</v>
      </c>
      <c r="F39" s="8"/>
      <c r="G39" s="8"/>
      <c r="H39" s="7" t="s">
        <v>49</v>
      </c>
      <c r="I39" s="7"/>
      <c r="J39" s="6" t="s">
        <v>49</v>
      </c>
      <c r="K39" s="9" t="s">
        <v>49</v>
      </c>
      <c r="L39" s="9" t="s">
        <v>49</v>
      </c>
      <c r="M39" s="8"/>
      <c r="N39" s="10">
        <v>42704</v>
      </c>
      <c r="O39" s="10">
        <v>45687</v>
      </c>
      <c r="P39" s="9" t="s">
        <v>49</v>
      </c>
      <c r="Q39" s="9" t="s">
        <v>49</v>
      </c>
      <c r="R39" s="8"/>
      <c r="S39" s="8"/>
      <c r="T39" s="8"/>
      <c r="U39" s="8"/>
      <c r="V39" s="9" t="s">
        <v>49</v>
      </c>
      <c r="W39" s="9" t="s">
        <v>49</v>
      </c>
      <c r="X39" s="8"/>
      <c r="Y39" s="8"/>
      <c r="Z39" s="8"/>
      <c r="AA39" s="12"/>
      <c r="AB39" s="12"/>
      <c r="AC39" s="8"/>
      <c r="AD39" s="12"/>
      <c r="AE39" s="8"/>
      <c r="AF39" s="12"/>
      <c r="AG39" s="12"/>
      <c r="AH39" s="7" t="s">
        <v>51</v>
      </c>
      <c r="AI39" s="6" t="s">
        <v>71</v>
      </c>
      <c r="AJ39" s="6" t="s">
        <v>49</v>
      </c>
      <c r="AK39" s="6" t="s">
        <v>118</v>
      </c>
      <c r="AL39" s="9" t="s">
        <v>156</v>
      </c>
      <c r="AM39" s="9" t="s">
        <v>49</v>
      </c>
      <c r="AN39" s="6" t="s">
        <v>96</v>
      </c>
      <c r="AO39" s="9" t="s">
        <v>49</v>
      </c>
      <c r="AP39" s="11">
        <v>7248.8885899999996</v>
      </c>
      <c r="AQ39" s="11">
        <v>0</v>
      </c>
      <c r="AR39" s="11">
        <v>0</v>
      </c>
      <c r="AS39" s="11">
        <v>41681.266040000002</v>
      </c>
      <c r="AT39" s="11">
        <v>0</v>
      </c>
      <c r="AU39" s="11">
        <v>0</v>
      </c>
      <c r="AV39" s="11">
        <v>0</v>
      </c>
    </row>
    <row r="40" spans="1:49" ht="14.5" hidden="1">
      <c r="A40" s="6">
        <v>39</v>
      </c>
      <c r="B40" s="7" t="s">
        <v>157</v>
      </c>
      <c r="C40" s="7" t="s">
        <v>49</v>
      </c>
      <c r="D40" s="6">
        <v>12583</v>
      </c>
      <c r="E40" s="6" t="s">
        <v>158</v>
      </c>
      <c r="F40" s="12"/>
      <c r="G40" s="8"/>
      <c r="H40" s="7" t="s">
        <v>49</v>
      </c>
      <c r="I40" s="7"/>
      <c r="J40" s="6" t="s">
        <v>49</v>
      </c>
      <c r="K40" s="9" t="s">
        <v>49</v>
      </c>
      <c r="L40" s="9" t="s">
        <v>49</v>
      </c>
      <c r="M40" s="12"/>
      <c r="N40" s="10">
        <v>42738</v>
      </c>
      <c r="O40" s="10">
        <v>45687</v>
      </c>
      <c r="P40" s="9" t="s">
        <v>49</v>
      </c>
      <c r="Q40" s="9" t="s">
        <v>49</v>
      </c>
      <c r="R40" s="12"/>
      <c r="S40" s="12"/>
      <c r="T40" s="12"/>
      <c r="U40" s="12"/>
      <c r="V40" s="9" t="s">
        <v>49</v>
      </c>
      <c r="W40" s="9" t="s">
        <v>49</v>
      </c>
      <c r="X40" s="8"/>
      <c r="Y40" s="8"/>
      <c r="Z40" s="12"/>
      <c r="AA40" s="8"/>
      <c r="AB40" s="12"/>
      <c r="AC40" s="12"/>
      <c r="AD40" s="12"/>
      <c r="AE40" s="12"/>
      <c r="AF40" s="8"/>
      <c r="AG40" s="12"/>
      <c r="AH40" s="7" t="s">
        <v>51</v>
      </c>
      <c r="AI40" s="6" t="s">
        <v>49</v>
      </c>
      <c r="AJ40" s="6" t="s">
        <v>49</v>
      </c>
      <c r="AK40" s="6" t="s">
        <v>49</v>
      </c>
      <c r="AL40" s="9" t="s">
        <v>49</v>
      </c>
      <c r="AM40" s="9" t="s">
        <v>156</v>
      </c>
      <c r="AN40" s="6" t="s">
        <v>49</v>
      </c>
      <c r="AO40" s="9" t="s">
        <v>159</v>
      </c>
      <c r="AP40" s="11">
        <v>0</v>
      </c>
      <c r="AQ40" s="11">
        <v>0</v>
      </c>
      <c r="AR40" s="11">
        <v>0</v>
      </c>
      <c r="AS40" s="11">
        <v>0</v>
      </c>
      <c r="AT40" s="11">
        <v>0</v>
      </c>
      <c r="AU40" s="11">
        <v>0</v>
      </c>
      <c r="AV40" s="11" t="s">
        <v>51</v>
      </c>
    </row>
    <row r="41" spans="1:49" ht="14.5" hidden="1">
      <c r="A41" s="6">
        <v>40</v>
      </c>
      <c r="B41" s="7" t="s">
        <v>160</v>
      </c>
      <c r="C41" s="7" t="s">
        <v>49</v>
      </c>
      <c r="D41" s="6">
        <v>12583</v>
      </c>
      <c r="E41" s="6" t="s">
        <v>161</v>
      </c>
      <c r="F41" s="8"/>
      <c r="G41" s="8"/>
      <c r="H41" s="7" t="s">
        <v>88</v>
      </c>
      <c r="I41" s="7"/>
      <c r="J41" s="6" t="s">
        <v>75</v>
      </c>
      <c r="K41" s="9" t="s">
        <v>76</v>
      </c>
      <c r="L41" s="9" t="s">
        <v>49</v>
      </c>
      <c r="M41" s="8"/>
      <c r="N41" s="10">
        <v>42766</v>
      </c>
      <c r="O41" s="10">
        <v>43860</v>
      </c>
      <c r="P41" s="9" t="s">
        <v>49</v>
      </c>
      <c r="Q41" s="9" t="s">
        <v>49</v>
      </c>
      <c r="R41" s="8"/>
      <c r="S41" s="8"/>
      <c r="T41" s="8"/>
      <c r="U41" s="8"/>
      <c r="V41" s="9" t="s">
        <v>49</v>
      </c>
      <c r="W41" s="9" t="s">
        <v>49</v>
      </c>
      <c r="X41" s="8"/>
      <c r="Y41" s="8"/>
      <c r="Z41" s="8"/>
      <c r="AA41" s="6">
        <v>0.309</v>
      </c>
      <c r="AB41" s="6">
        <v>0.309</v>
      </c>
      <c r="AC41" s="8"/>
      <c r="AD41" s="6">
        <v>0.309</v>
      </c>
      <c r="AE41" s="8"/>
      <c r="AF41" s="6">
        <v>0.155</v>
      </c>
      <c r="AG41" s="6">
        <v>0.155</v>
      </c>
      <c r="AH41" s="7" t="s">
        <v>51</v>
      </c>
      <c r="AI41" s="6" t="s">
        <v>49</v>
      </c>
      <c r="AJ41" s="6" t="s">
        <v>49</v>
      </c>
      <c r="AK41" s="6" t="s">
        <v>49</v>
      </c>
      <c r="AL41" s="9" t="s">
        <v>49</v>
      </c>
      <c r="AM41" s="9" t="s">
        <v>156</v>
      </c>
      <c r="AN41" s="6" t="s">
        <v>49</v>
      </c>
      <c r="AO41" s="9" t="s">
        <v>162</v>
      </c>
      <c r="AP41" s="11">
        <v>0</v>
      </c>
      <c r="AQ41" s="11">
        <v>0</v>
      </c>
      <c r="AR41" s="11">
        <v>0</v>
      </c>
      <c r="AS41" s="11">
        <v>0</v>
      </c>
      <c r="AT41" s="11">
        <v>0</v>
      </c>
      <c r="AU41" s="11">
        <v>0</v>
      </c>
      <c r="AV41" s="11" t="s">
        <v>51</v>
      </c>
    </row>
    <row r="42" spans="1:49" ht="14.5" hidden="1">
      <c r="A42" s="6">
        <v>41</v>
      </c>
      <c r="B42" s="7" t="s">
        <v>163</v>
      </c>
      <c r="C42" s="7" t="s">
        <v>49</v>
      </c>
      <c r="D42" s="6">
        <v>12583</v>
      </c>
      <c r="E42" s="6" t="s">
        <v>164</v>
      </c>
      <c r="F42" s="8"/>
      <c r="G42" s="8"/>
      <c r="H42" s="7" t="s">
        <v>49</v>
      </c>
      <c r="I42" s="7"/>
      <c r="J42" s="6" t="s">
        <v>49</v>
      </c>
      <c r="K42" s="9" t="s">
        <v>49</v>
      </c>
      <c r="L42" s="9" t="s">
        <v>49</v>
      </c>
      <c r="M42" s="8"/>
      <c r="N42" s="10">
        <v>42704</v>
      </c>
      <c r="O42" s="10">
        <v>43831</v>
      </c>
      <c r="P42" s="9" t="s">
        <v>49</v>
      </c>
      <c r="Q42" s="9" t="s">
        <v>49</v>
      </c>
      <c r="R42" s="8"/>
      <c r="S42" s="8"/>
      <c r="T42" s="8"/>
      <c r="U42" s="8"/>
      <c r="V42" s="9" t="s">
        <v>49</v>
      </c>
      <c r="W42" s="9" t="s">
        <v>49</v>
      </c>
      <c r="X42" s="8"/>
      <c r="Y42" s="8"/>
      <c r="Z42" s="8"/>
      <c r="AA42" s="8"/>
      <c r="AB42" s="8"/>
      <c r="AC42" s="8"/>
      <c r="AD42" s="8"/>
      <c r="AE42" s="8"/>
      <c r="AF42" s="8"/>
      <c r="AG42" s="8"/>
      <c r="AH42" s="7" t="s">
        <v>51</v>
      </c>
      <c r="AI42" s="6" t="s">
        <v>49</v>
      </c>
      <c r="AJ42" s="6" t="s">
        <v>49</v>
      </c>
      <c r="AK42" s="6" t="s">
        <v>49</v>
      </c>
      <c r="AL42" s="9" t="s">
        <v>49</v>
      </c>
      <c r="AM42" s="9" t="s">
        <v>156</v>
      </c>
      <c r="AN42" s="6" t="s">
        <v>49</v>
      </c>
      <c r="AO42" s="9" t="s">
        <v>162</v>
      </c>
      <c r="AP42" s="11">
        <v>0</v>
      </c>
      <c r="AQ42" s="11">
        <v>0</v>
      </c>
      <c r="AR42" s="11">
        <v>0</v>
      </c>
      <c r="AS42" s="11">
        <v>0</v>
      </c>
      <c r="AT42" s="11">
        <v>0</v>
      </c>
      <c r="AU42" s="11">
        <v>0</v>
      </c>
      <c r="AV42" s="11" t="s">
        <v>51</v>
      </c>
    </row>
    <row r="43" spans="1:49" ht="14.5" hidden="1">
      <c r="A43" s="6">
        <v>42</v>
      </c>
      <c r="B43" s="7" t="s">
        <v>165</v>
      </c>
      <c r="C43" s="7" t="s">
        <v>49</v>
      </c>
      <c r="D43" s="6">
        <v>12583</v>
      </c>
      <c r="E43" s="6" t="s">
        <v>166</v>
      </c>
      <c r="F43" s="8"/>
      <c r="G43" s="8"/>
      <c r="H43" s="7" t="s">
        <v>49</v>
      </c>
      <c r="I43" s="7"/>
      <c r="J43" s="6" t="s">
        <v>49</v>
      </c>
      <c r="K43" s="9" t="s">
        <v>49</v>
      </c>
      <c r="L43" s="9" t="s">
        <v>49</v>
      </c>
      <c r="M43" s="8"/>
      <c r="N43" s="10">
        <v>42916</v>
      </c>
      <c r="O43" s="10">
        <v>43860</v>
      </c>
      <c r="P43" s="9" t="s">
        <v>49</v>
      </c>
      <c r="Q43" s="9" t="s">
        <v>49</v>
      </c>
      <c r="R43" s="8"/>
      <c r="S43" s="8"/>
      <c r="T43" s="8"/>
      <c r="U43" s="8"/>
      <c r="V43" s="9" t="s">
        <v>49</v>
      </c>
      <c r="W43" s="9" t="s">
        <v>49</v>
      </c>
      <c r="X43" s="8"/>
      <c r="Y43" s="8"/>
      <c r="Z43" s="8"/>
      <c r="AA43" s="8"/>
      <c r="AB43" s="8"/>
      <c r="AC43" s="8"/>
      <c r="AD43" s="8"/>
      <c r="AE43" s="8"/>
      <c r="AF43" s="8"/>
      <c r="AG43" s="8"/>
      <c r="AH43" s="7" t="s">
        <v>51</v>
      </c>
      <c r="AI43" s="6" t="s">
        <v>49</v>
      </c>
      <c r="AJ43" s="6" t="s">
        <v>49</v>
      </c>
      <c r="AK43" s="6" t="s">
        <v>49</v>
      </c>
      <c r="AL43" s="9" t="s">
        <v>49</v>
      </c>
      <c r="AM43" s="9" t="s">
        <v>156</v>
      </c>
      <c r="AN43" s="6" t="s">
        <v>49</v>
      </c>
      <c r="AO43" s="9" t="s">
        <v>162</v>
      </c>
      <c r="AP43" s="11">
        <v>0</v>
      </c>
      <c r="AQ43" s="11">
        <v>0</v>
      </c>
      <c r="AR43" s="11">
        <v>0</v>
      </c>
      <c r="AS43" s="11">
        <v>0</v>
      </c>
      <c r="AT43" s="11">
        <v>0</v>
      </c>
      <c r="AU43" s="11">
        <v>0</v>
      </c>
      <c r="AV43" s="11" t="s">
        <v>51</v>
      </c>
    </row>
    <row r="44" spans="1:49" ht="14.5" hidden="1">
      <c r="A44" s="6">
        <v>43</v>
      </c>
      <c r="B44" s="7" t="s">
        <v>167</v>
      </c>
      <c r="C44" s="7" t="s">
        <v>49</v>
      </c>
      <c r="D44" s="6">
        <v>12583</v>
      </c>
      <c r="E44" s="6" t="s">
        <v>168</v>
      </c>
      <c r="F44" s="8"/>
      <c r="G44" s="8"/>
      <c r="H44" s="7" t="s">
        <v>49</v>
      </c>
      <c r="I44" s="7"/>
      <c r="J44" s="6" t="s">
        <v>49</v>
      </c>
      <c r="K44" s="9" t="s">
        <v>49</v>
      </c>
      <c r="L44" s="9" t="s">
        <v>49</v>
      </c>
      <c r="M44" s="12"/>
      <c r="N44" s="10">
        <v>42762</v>
      </c>
      <c r="O44" s="10">
        <v>43860</v>
      </c>
      <c r="P44" s="9" t="s">
        <v>49</v>
      </c>
      <c r="Q44" s="9" t="s">
        <v>49</v>
      </c>
      <c r="R44" s="8"/>
      <c r="S44" s="8"/>
      <c r="T44" s="8"/>
      <c r="U44" s="8"/>
      <c r="V44" s="9" t="s">
        <v>49</v>
      </c>
      <c r="W44" s="9" t="s">
        <v>49</v>
      </c>
      <c r="X44" s="8"/>
      <c r="Y44" s="8"/>
      <c r="Z44" s="8"/>
      <c r="AA44" s="8"/>
      <c r="AB44" s="8"/>
      <c r="AC44" s="8"/>
      <c r="AD44" s="8"/>
      <c r="AE44" s="8"/>
      <c r="AF44" s="8"/>
      <c r="AG44" s="8"/>
      <c r="AH44" s="7" t="s">
        <v>51</v>
      </c>
      <c r="AI44" s="6" t="s">
        <v>49</v>
      </c>
      <c r="AJ44" s="6" t="s">
        <v>49</v>
      </c>
      <c r="AK44" s="6" t="s">
        <v>49</v>
      </c>
      <c r="AL44" s="9" t="s">
        <v>49</v>
      </c>
      <c r="AM44" s="9" t="s">
        <v>156</v>
      </c>
      <c r="AN44" s="6" t="s">
        <v>49</v>
      </c>
      <c r="AO44" s="9" t="s">
        <v>162</v>
      </c>
      <c r="AP44" s="11">
        <v>0</v>
      </c>
      <c r="AQ44" s="11">
        <v>0</v>
      </c>
      <c r="AR44" s="11">
        <v>0</v>
      </c>
      <c r="AS44" s="11">
        <v>0</v>
      </c>
      <c r="AT44" s="11">
        <v>0</v>
      </c>
      <c r="AU44" s="11">
        <v>0</v>
      </c>
      <c r="AV44" s="11" t="s">
        <v>51</v>
      </c>
    </row>
    <row r="45" spans="1:49" ht="14.5" hidden="1">
      <c r="A45" s="6">
        <v>44</v>
      </c>
      <c r="B45" s="7" t="s">
        <v>169</v>
      </c>
      <c r="C45" s="7" t="s">
        <v>49</v>
      </c>
      <c r="D45" s="6">
        <v>12583</v>
      </c>
      <c r="E45" s="6" t="s">
        <v>170</v>
      </c>
      <c r="F45" s="8"/>
      <c r="G45" s="8"/>
      <c r="H45" s="7" t="s">
        <v>49</v>
      </c>
      <c r="I45" s="7"/>
      <c r="J45" s="6" t="s">
        <v>49</v>
      </c>
      <c r="K45" s="9" t="s">
        <v>49</v>
      </c>
      <c r="L45" s="9" t="s">
        <v>49</v>
      </c>
      <c r="M45" s="8"/>
      <c r="N45" s="10">
        <v>42738</v>
      </c>
      <c r="O45" s="10">
        <v>43042</v>
      </c>
      <c r="P45" s="9" t="s">
        <v>49</v>
      </c>
      <c r="Q45" s="9" t="s">
        <v>49</v>
      </c>
      <c r="R45" s="8"/>
      <c r="S45" s="8"/>
      <c r="T45" s="8"/>
      <c r="U45" s="8"/>
      <c r="V45" s="9" t="s">
        <v>49</v>
      </c>
      <c r="W45" s="9" t="s">
        <v>49</v>
      </c>
      <c r="X45" s="8"/>
      <c r="Y45" s="8"/>
      <c r="Z45" s="8"/>
      <c r="AA45" s="8"/>
      <c r="AB45" s="8"/>
      <c r="AC45" s="8"/>
      <c r="AD45" s="8"/>
      <c r="AE45" s="8"/>
      <c r="AF45" s="8"/>
      <c r="AG45" s="8"/>
      <c r="AH45" s="7" t="s">
        <v>51</v>
      </c>
      <c r="AI45" s="6" t="s">
        <v>49</v>
      </c>
      <c r="AJ45" s="6" t="s">
        <v>49</v>
      </c>
      <c r="AK45" s="6" t="s">
        <v>49</v>
      </c>
      <c r="AL45" s="9" t="s">
        <v>49</v>
      </c>
      <c r="AM45" s="9" t="s">
        <v>156</v>
      </c>
      <c r="AN45" s="6" t="s">
        <v>49</v>
      </c>
      <c r="AO45" s="9" t="s">
        <v>156</v>
      </c>
      <c r="AP45" s="11">
        <v>0</v>
      </c>
      <c r="AQ45" s="11">
        <v>0</v>
      </c>
      <c r="AR45" s="11">
        <v>0</v>
      </c>
      <c r="AS45" s="11">
        <v>0</v>
      </c>
      <c r="AT45" s="11">
        <v>0</v>
      </c>
      <c r="AU45" s="11">
        <v>0</v>
      </c>
      <c r="AV45" s="11" t="s">
        <v>51</v>
      </c>
    </row>
    <row r="46" spans="1:49" ht="14.5" hidden="1">
      <c r="A46" s="6">
        <v>45</v>
      </c>
      <c r="B46" s="7" t="s">
        <v>171</v>
      </c>
      <c r="C46" s="7" t="s">
        <v>49</v>
      </c>
      <c r="D46" s="6">
        <v>12583</v>
      </c>
      <c r="E46" s="6" t="s">
        <v>172</v>
      </c>
      <c r="F46" s="8"/>
      <c r="G46" s="8"/>
      <c r="H46" s="7" t="s">
        <v>49</v>
      </c>
      <c r="I46" s="7"/>
      <c r="J46" s="6" t="s">
        <v>49</v>
      </c>
      <c r="K46" s="9" t="s">
        <v>49</v>
      </c>
      <c r="L46" s="9" t="s">
        <v>49</v>
      </c>
      <c r="M46" s="12"/>
      <c r="N46" s="10">
        <v>42738</v>
      </c>
      <c r="O46" s="10">
        <v>44012</v>
      </c>
      <c r="P46" s="9" t="s">
        <v>49</v>
      </c>
      <c r="Q46" s="9" t="s">
        <v>49</v>
      </c>
      <c r="R46" s="8"/>
      <c r="S46" s="8"/>
      <c r="T46" s="8"/>
      <c r="U46" s="8"/>
      <c r="V46" s="9" t="s">
        <v>49</v>
      </c>
      <c r="W46" s="9" t="s">
        <v>49</v>
      </c>
      <c r="X46" s="8"/>
      <c r="Y46" s="8"/>
      <c r="Z46" s="8"/>
      <c r="AA46" s="8"/>
      <c r="AB46" s="8"/>
      <c r="AC46" s="8"/>
      <c r="AD46" s="8"/>
      <c r="AE46" s="8"/>
      <c r="AF46" s="8"/>
      <c r="AG46" s="8"/>
      <c r="AH46" s="7" t="s">
        <v>51</v>
      </c>
      <c r="AI46" s="6" t="s">
        <v>49</v>
      </c>
      <c r="AJ46" s="6" t="s">
        <v>49</v>
      </c>
      <c r="AK46" s="6" t="s">
        <v>49</v>
      </c>
      <c r="AL46" s="9" t="s">
        <v>49</v>
      </c>
      <c r="AM46" s="9" t="s">
        <v>156</v>
      </c>
      <c r="AN46" s="6" t="s">
        <v>49</v>
      </c>
      <c r="AO46" s="9" t="s">
        <v>156</v>
      </c>
      <c r="AP46" s="11">
        <v>0</v>
      </c>
      <c r="AQ46" s="11">
        <v>0</v>
      </c>
      <c r="AR46" s="11">
        <v>0</v>
      </c>
      <c r="AS46" s="11">
        <v>0</v>
      </c>
      <c r="AT46" s="11">
        <v>0</v>
      </c>
      <c r="AU46" s="11">
        <v>0</v>
      </c>
      <c r="AV46" s="11" t="s">
        <v>51</v>
      </c>
    </row>
    <row r="47" spans="1:49" ht="14.5" hidden="1">
      <c r="A47" s="6">
        <v>46</v>
      </c>
      <c r="B47" s="7" t="s">
        <v>173</v>
      </c>
      <c r="C47" s="7" t="s">
        <v>49</v>
      </c>
      <c r="D47" s="6">
        <v>15389</v>
      </c>
      <c r="E47" s="6" t="s">
        <v>49</v>
      </c>
      <c r="F47" s="8"/>
      <c r="G47" s="8"/>
      <c r="H47" s="7" t="s">
        <v>49</v>
      </c>
      <c r="I47" s="7"/>
      <c r="J47" s="6" t="s">
        <v>49</v>
      </c>
      <c r="K47" s="9" t="s">
        <v>49</v>
      </c>
      <c r="L47" s="9" t="s">
        <v>49</v>
      </c>
      <c r="M47" s="8"/>
      <c r="N47" s="12"/>
      <c r="O47" s="10">
        <v>43830</v>
      </c>
      <c r="P47" s="9" t="s">
        <v>49</v>
      </c>
      <c r="Q47" s="9" t="s">
        <v>49</v>
      </c>
      <c r="R47" s="8"/>
      <c r="S47" s="8"/>
      <c r="T47" s="8"/>
      <c r="U47" s="8"/>
      <c r="V47" s="9" t="s">
        <v>49</v>
      </c>
      <c r="W47" s="9" t="s">
        <v>49</v>
      </c>
      <c r="X47" s="8"/>
      <c r="Y47" s="8"/>
      <c r="Z47" s="8"/>
      <c r="AA47" s="8"/>
      <c r="AB47" s="8"/>
      <c r="AC47" s="8"/>
      <c r="AD47" s="8"/>
      <c r="AE47" s="8"/>
      <c r="AF47" s="8"/>
      <c r="AG47" s="8"/>
      <c r="AH47" s="7" t="s">
        <v>57</v>
      </c>
      <c r="AI47" s="6" t="s">
        <v>71</v>
      </c>
      <c r="AJ47" s="6" t="s">
        <v>49</v>
      </c>
      <c r="AK47" s="6" t="s">
        <v>49</v>
      </c>
      <c r="AL47" s="9" t="s">
        <v>52</v>
      </c>
      <c r="AM47" s="9" t="s">
        <v>49</v>
      </c>
      <c r="AN47" s="6" t="s">
        <v>82</v>
      </c>
      <c r="AO47" s="9" t="s">
        <v>49</v>
      </c>
      <c r="AP47" s="11">
        <v>7248.8885899999996</v>
      </c>
      <c r="AQ47" s="11">
        <v>0</v>
      </c>
      <c r="AR47" s="11">
        <v>0</v>
      </c>
      <c r="AS47" s="11">
        <v>41681.266040000002</v>
      </c>
      <c r="AT47" s="11">
        <v>0</v>
      </c>
      <c r="AU47" s="11">
        <v>0</v>
      </c>
      <c r="AV47" s="11">
        <v>0</v>
      </c>
    </row>
    <row r="48" spans="1:49" ht="14.5" hidden="1">
      <c r="A48" s="6">
        <v>47</v>
      </c>
      <c r="B48" s="7" t="s">
        <v>174</v>
      </c>
      <c r="C48" s="7" t="s">
        <v>49</v>
      </c>
      <c r="D48" s="6">
        <v>15389</v>
      </c>
      <c r="E48" s="6" t="s">
        <v>175</v>
      </c>
      <c r="F48" s="8"/>
      <c r="G48" s="8"/>
      <c r="H48" s="7" t="s">
        <v>49</v>
      </c>
      <c r="I48" s="7"/>
      <c r="J48" s="6" t="s">
        <v>49</v>
      </c>
      <c r="K48" s="9" t="s">
        <v>49</v>
      </c>
      <c r="L48" s="9" t="s">
        <v>49</v>
      </c>
      <c r="M48" s="8"/>
      <c r="N48" s="12"/>
      <c r="O48" s="10">
        <v>43830</v>
      </c>
      <c r="P48" s="9" t="s">
        <v>49</v>
      </c>
      <c r="Q48" s="9" t="s">
        <v>49</v>
      </c>
      <c r="R48" s="8"/>
      <c r="S48" s="8"/>
      <c r="T48" s="8"/>
      <c r="U48" s="8"/>
      <c r="V48" s="9" t="s">
        <v>49</v>
      </c>
      <c r="W48" s="9" t="s">
        <v>49</v>
      </c>
      <c r="X48" s="8"/>
      <c r="Y48" s="8"/>
      <c r="Z48" s="8"/>
      <c r="AA48" s="8"/>
      <c r="AB48" s="8"/>
      <c r="AC48" s="8"/>
      <c r="AD48" s="8"/>
      <c r="AE48" s="8"/>
      <c r="AF48" s="8"/>
      <c r="AG48" s="8"/>
      <c r="AH48" s="7" t="s">
        <v>51</v>
      </c>
      <c r="AI48" s="6" t="s">
        <v>49</v>
      </c>
      <c r="AJ48" s="6" t="s">
        <v>49</v>
      </c>
      <c r="AK48" s="6" t="s">
        <v>49</v>
      </c>
      <c r="AL48" s="9" t="s">
        <v>49</v>
      </c>
      <c r="AM48" s="9" t="s">
        <v>176</v>
      </c>
      <c r="AN48" s="6" t="s">
        <v>49</v>
      </c>
      <c r="AO48" s="9" t="s">
        <v>176</v>
      </c>
      <c r="AP48" s="11">
        <v>0</v>
      </c>
      <c r="AQ48" s="11">
        <v>0</v>
      </c>
      <c r="AR48" s="11">
        <v>0</v>
      </c>
      <c r="AS48" s="11">
        <v>0</v>
      </c>
      <c r="AT48" s="11">
        <v>0</v>
      </c>
      <c r="AU48" s="11">
        <v>0</v>
      </c>
      <c r="AV48" s="11" t="s">
        <v>51</v>
      </c>
    </row>
    <row r="49" spans="1:48" ht="14.5" hidden="1">
      <c r="A49" s="6">
        <v>48</v>
      </c>
      <c r="B49" s="7" t="s">
        <v>177</v>
      </c>
      <c r="C49" s="7" t="s">
        <v>49</v>
      </c>
      <c r="D49" s="6">
        <v>15502</v>
      </c>
      <c r="E49" s="6" t="s">
        <v>49</v>
      </c>
      <c r="F49" s="8"/>
      <c r="G49" s="8"/>
      <c r="H49" s="7" t="s">
        <v>49</v>
      </c>
      <c r="I49" s="7"/>
      <c r="J49" s="6" t="s">
        <v>49</v>
      </c>
      <c r="K49" s="9" t="s">
        <v>49</v>
      </c>
      <c r="L49" s="9" t="s">
        <v>49</v>
      </c>
      <c r="M49" s="8"/>
      <c r="N49" s="12"/>
      <c r="O49" s="10">
        <v>43525</v>
      </c>
      <c r="P49" s="9" t="s">
        <v>49</v>
      </c>
      <c r="Q49" s="9" t="s">
        <v>49</v>
      </c>
      <c r="R49" s="8"/>
      <c r="S49" s="8"/>
      <c r="T49" s="8"/>
      <c r="U49" s="8"/>
      <c r="V49" s="9" t="s">
        <v>49</v>
      </c>
      <c r="W49" s="9" t="s">
        <v>49</v>
      </c>
      <c r="X49" s="8"/>
      <c r="Y49" s="8"/>
      <c r="Z49" s="8"/>
      <c r="AA49" s="8"/>
      <c r="AB49" s="8"/>
      <c r="AC49" s="8"/>
      <c r="AD49" s="8"/>
      <c r="AE49" s="8"/>
      <c r="AF49" s="8"/>
      <c r="AG49" s="8"/>
      <c r="AH49" s="7" t="s">
        <v>57</v>
      </c>
      <c r="AI49" s="6" t="s">
        <v>71</v>
      </c>
      <c r="AJ49" s="6" t="s">
        <v>49</v>
      </c>
      <c r="AK49" s="6" t="s">
        <v>49</v>
      </c>
      <c r="AL49" s="9" t="s">
        <v>67</v>
      </c>
      <c r="AM49" s="9" t="s">
        <v>49</v>
      </c>
      <c r="AN49" s="6" t="s">
        <v>85</v>
      </c>
      <c r="AO49" s="9" t="s">
        <v>49</v>
      </c>
      <c r="AP49" s="11">
        <v>7248.8885899999996</v>
      </c>
      <c r="AQ49" s="11">
        <v>0</v>
      </c>
      <c r="AR49" s="11">
        <v>0</v>
      </c>
      <c r="AS49" s="11">
        <v>41681.266040000002</v>
      </c>
      <c r="AT49" s="11">
        <v>0</v>
      </c>
      <c r="AU49" s="11">
        <v>0</v>
      </c>
      <c r="AV49" s="11">
        <v>0</v>
      </c>
    </row>
    <row r="50" spans="1:48" ht="14.5" hidden="1">
      <c r="A50" s="6">
        <v>49</v>
      </c>
      <c r="B50" s="7" t="s">
        <v>177</v>
      </c>
      <c r="C50" s="7" t="s">
        <v>49</v>
      </c>
      <c r="D50" s="6">
        <v>15502</v>
      </c>
      <c r="E50" s="6" t="s">
        <v>178</v>
      </c>
      <c r="F50" s="8"/>
      <c r="G50" s="8"/>
      <c r="H50" s="7" t="s">
        <v>49</v>
      </c>
      <c r="I50" s="7"/>
      <c r="J50" s="6" t="s">
        <v>49</v>
      </c>
      <c r="K50" s="9" t="s">
        <v>49</v>
      </c>
      <c r="L50" s="9" t="s">
        <v>49</v>
      </c>
      <c r="M50" s="8"/>
      <c r="N50" s="8"/>
      <c r="O50" s="10">
        <v>43525</v>
      </c>
      <c r="P50" s="9" t="s">
        <v>49</v>
      </c>
      <c r="Q50" s="9" t="s">
        <v>49</v>
      </c>
      <c r="R50" s="8"/>
      <c r="S50" s="8"/>
      <c r="T50" s="8"/>
      <c r="U50" s="8"/>
      <c r="V50" s="9" t="s">
        <v>49</v>
      </c>
      <c r="W50" s="9" t="s">
        <v>49</v>
      </c>
      <c r="X50" s="8"/>
      <c r="Y50" s="8"/>
      <c r="Z50" s="8"/>
      <c r="AA50" s="8"/>
      <c r="AB50" s="8"/>
      <c r="AC50" s="8"/>
      <c r="AD50" s="8"/>
      <c r="AE50" s="8"/>
      <c r="AF50" s="8"/>
      <c r="AG50" s="8"/>
      <c r="AH50" s="7" t="s">
        <v>57</v>
      </c>
      <c r="AI50" s="6" t="s">
        <v>49</v>
      </c>
      <c r="AJ50" s="6" t="s">
        <v>49</v>
      </c>
      <c r="AK50" s="6" t="s">
        <v>49</v>
      </c>
      <c r="AL50" s="9" t="s">
        <v>49</v>
      </c>
      <c r="AM50" s="9" t="s">
        <v>67</v>
      </c>
      <c r="AN50" s="6" t="s">
        <v>49</v>
      </c>
      <c r="AO50" s="9" t="s">
        <v>67</v>
      </c>
      <c r="AP50" s="11">
        <v>0</v>
      </c>
      <c r="AQ50" s="11">
        <v>0</v>
      </c>
      <c r="AR50" s="11">
        <v>0</v>
      </c>
      <c r="AS50" s="11">
        <v>0</v>
      </c>
      <c r="AT50" s="11">
        <v>0</v>
      </c>
      <c r="AU50" s="11">
        <v>0</v>
      </c>
      <c r="AV50" s="11" t="s">
        <v>57</v>
      </c>
    </row>
    <row r="51" spans="1:48" ht="14.5" hidden="1">
      <c r="A51" s="6">
        <v>50</v>
      </c>
      <c r="B51" s="7" t="s">
        <v>179</v>
      </c>
      <c r="C51" s="7" t="s">
        <v>49</v>
      </c>
      <c r="D51" s="6">
        <v>12561</v>
      </c>
      <c r="E51" s="6" t="s">
        <v>49</v>
      </c>
      <c r="F51" s="8"/>
      <c r="G51" s="8"/>
      <c r="H51" s="7" t="s">
        <v>49</v>
      </c>
      <c r="I51" s="7"/>
      <c r="J51" s="6" t="s">
        <v>49</v>
      </c>
      <c r="K51" s="9" t="s">
        <v>49</v>
      </c>
      <c r="L51" s="9" t="s">
        <v>49</v>
      </c>
      <c r="M51" s="8"/>
      <c r="N51" s="10">
        <v>42592</v>
      </c>
      <c r="O51" s="10">
        <v>44196</v>
      </c>
      <c r="P51" s="9" t="s">
        <v>49</v>
      </c>
      <c r="Q51" s="9" t="s">
        <v>49</v>
      </c>
      <c r="R51" s="8"/>
      <c r="S51" s="8"/>
      <c r="T51" s="8"/>
      <c r="U51" s="8"/>
      <c r="V51" s="9" t="s">
        <v>49</v>
      </c>
      <c r="W51" s="9" t="s">
        <v>49</v>
      </c>
      <c r="X51" s="8"/>
      <c r="Y51" s="8"/>
      <c r="Z51" s="8"/>
      <c r="AA51" s="8"/>
      <c r="AB51" s="8"/>
      <c r="AC51" s="8"/>
      <c r="AD51" s="8"/>
      <c r="AE51" s="8"/>
      <c r="AF51" s="8"/>
      <c r="AG51" s="8"/>
      <c r="AH51" s="7" t="s">
        <v>51</v>
      </c>
      <c r="AI51" s="6" t="s">
        <v>180</v>
      </c>
      <c r="AJ51" s="6" t="s">
        <v>49</v>
      </c>
      <c r="AK51" s="6" t="s">
        <v>118</v>
      </c>
      <c r="AL51" s="9" t="s">
        <v>181</v>
      </c>
      <c r="AM51" s="9" t="s">
        <v>49</v>
      </c>
      <c r="AN51" s="6" t="s">
        <v>96</v>
      </c>
      <c r="AO51" s="9" t="s">
        <v>49</v>
      </c>
      <c r="AP51" s="11">
        <v>7248.8885899999996</v>
      </c>
      <c r="AQ51" s="11">
        <v>0</v>
      </c>
      <c r="AR51" s="11">
        <v>0</v>
      </c>
      <c r="AS51" s="11">
        <v>41681.266040000002</v>
      </c>
      <c r="AT51" s="11">
        <v>0</v>
      </c>
      <c r="AU51" s="11">
        <v>0</v>
      </c>
      <c r="AV51" s="11">
        <v>0</v>
      </c>
    </row>
    <row r="52" spans="1:48" ht="14.5" hidden="1">
      <c r="A52" s="6">
        <v>51</v>
      </c>
      <c r="B52" s="7" t="s">
        <v>182</v>
      </c>
      <c r="C52" s="7" t="s">
        <v>49</v>
      </c>
      <c r="D52" s="6">
        <v>12561</v>
      </c>
      <c r="E52" s="6" t="s">
        <v>183</v>
      </c>
      <c r="F52" s="8"/>
      <c r="G52" s="8"/>
      <c r="H52" s="7" t="s">
        <v>49</v>
      </c>
      <c r="I52" s="7"/>
      <c r="J52" s="6" t="s">
        <v>49</v>
      </c>
      <c r="K52" s="9" t="s">
        <v>49</v>
      </c>
      <c r="L52" s="9" t="s">
        <v>49</v>
      </c>
      <c r="M52" s="8"/>
      <c r="N52" s="10">
        <v>43132</v>
      </c>
      <c r="O52" s="10">
        <v>44196</v>
      </c>
      <c r="P52" s="9" t="s">
        <v>49</v>
      </c>
      <c r="Q52" s="9" t="s">
        <v>49</v>
      </c>
      <c r="R52" s="8"/>
      <c r="S52" s="8"/>
      <c r="T52" s="8"/>
      <c r="U52" s="8"/>
      <c r="V52" s="9" t="s">
        <v>49</v>
      </c>
      <c r="W52" s="9" t="s">
        <v>49</v>
      </c>
      <c r="X52" s="8"/>
      <c r="Y52" s="8"/>
      <c r="Z52" s="8"/>
      <c r="AA52" s="8"/>
      <c r="AB52" s="8"/>
      <c r="AC52" s="8"/>
      <c r="AD52" s="8"/>
      <c r="AE52" s="8"/>
      <c r="AF52" s="8"/>
      <c r="AG52" s="8"/>
      <c r="AH52" s="7" t="s">
        <v>51</v>
      </c>
      <c r="AI52" s="6" t="s">
        <v>49</v>
      </c>
      <c r="AJ52" s="6" t="s">
        <v>49</v>
      </c>
      <c r="AK52" s="6" t="s">
        <v>49</v>
      </c>
      <c r="AL52" s="9" t="s">
        <v>49</v>
      </c>
      <c r="AM52" s="9" t="s">
        <v>184</v>
      </c>
      <c r="AN52" s="6" t="s">
        <v>49</v>
      </c>
      <c r="AO52" s="9" t="s">
        <v>184</v>
      </c>
      <c r="AP52" s="11">
        <v>-29.665400000000002</v>
      </c>
      <c r="AQ52" s="11">
        <v>-69610.36</v>
      </c>
      <c r="AR52" s="11">
        <v>0</v>
      </c>
      <c r="AS52" s="11">
        <v>99.280710000000013</v>
      </c>
      <c r="AT52" s="11">
        <v>-69.61036</v>
      </c>
      <c r="AU52" s="11">
        <v>0</v>
      </c>
      <c r="AV52" s="11" t="s">
        <v>51</v>
      </c>
    </row>
    <row r="53" spans="1:48" ht="14.5" hidden="1">
      <c r="A53" s="6">
        <v>52</v>
      </c>
      <c r="B53" s="7" t="s">
        <v>185</v>
      </c>
      <c r="C53" s="7" t="s">
        <v>49</v>
      </c>
      <c r="D53" s="6">
        <v>12561</v>
      </c>
      <c r="E53" s="6" t="s">
        <v>186</v>
      </c>
      <c r="F53" s="8"/>
      <c r="G53" s="8"/>
      <c r="H53" s="7" t="s">
        <v>49</v>
      </c>
      <c r="I53" s="7"/>
      <c r="J53" s="6" t="s">
        <v>49</v>
      </c>
      <c r="K53" s="9" t="s">
        <v>49</v>
      </c>
      <c r="L53" s="9" t="s">
        <v>49</v>
      </c>
      <c r="M53" s="8"/>
      <c r="N53" s="8"/>
      <c r="O53" s="10">
        <v>43525</v>
      </c>
      <c r="P53" s="9" t="s">
        <v>49</v>
      </c>
      <c r="Q53" s="9" t="s">
        <v>49</v>
      </c>
      <c r="R53" s="8"/>
      <c r="S53" s="8"/>
      <c r="T53" s="8"/>
      <c r="U53" s="8"/>
      <c r="V53" s="9" t="s">
        <v>49</v>
      </c>
      <c r="W53" s="9" t="s">
        <v>49</v>
      </c>
      <c r="X53" s="8"/>
      <c r="Y53" s="8"/>
      <c r="Z53" s="8"/>
      <c r="AA53" s="8"/>
      <c r="AB53" s="8"/>
      <c r="AC53" s="8"/>
      <c r="AD53" s="8"/>
      <c r="AE53" s="8"/>
      <c r="AF53" s="8"/>
      <c r="AG53" s="8"/>
      <c r="AH53" s="7" t="s">
        <v>57</v>
      </c>
      <c r="AI53" s="6" t="s">
        <v>49</v>
      </c>
      <c r="AJ53" s="6" t="s">
        <v>49</v>
      </c>
      <c r="AK53" s="6" t="s">
        <v>49</v>
      </c>
      <c r="AL53" s="9" t="s">
        <v>49</v>
      </c>
      <c r="AM53" s="9" t="s">
        <v>187</v>
      </c>
      <c r="AN53" s="6" t="s">
        <v>49</v>
      </c>
      <c r="AO53" s="9" t="s">
        <v>188</v>
      </c>
      <c r="AP53" s="11">
        <v>0</v>
      </c>
      <c r="AQ53" s="11">
        <v>0</v>
      </c>
      <c r="AR53" s="11">
        <v>0</v>
      </c>
      <c r="AS53" s="11">
        <v>0</v>
      </c>
      <c r="AT53" s="11">
        <v>134</v>
      </c>
      <c r="AU53" s="11">
        <v>0</v>
      </c>
      <c r="AV53" s="11" t="s">
        <v>57</v>
      </c>
    </row>
    <row r="54" spans="1:48" ht="14.5" hidden="1">
      <c r="A54" s="6">
        <v>53</v>
      </c>
      <c r="B54" s="7" t="s">
        <v>189</v>
      </c>
      <c r="C54" s="7" t="s">
        <v>49</v>
      </c>
      <c r="D54" s="6">
        <v>15225</v>
      </c>
      <c r="E54" s="6" t="s">
        <v>49</v>
      </c>
      <c r="F54" s="8"/>
      <c r="G54" s="8"/>
      <c r="H54" s="7" t="s">
        <v>49</v>
      </c>
      <c r="I54" s="7"/>
      <c r="J54" s="6" t="s">
        <v>49</v>
      </c>
      <c r="K54" s="9" t="s">
        <v>49</v>
      </c>
      <c r="L54" s="9" t="s">
        <v>49</v>
      </c>
      <c r="M54" s="8"/>
      <c r="N54" s="10">
        <v>43038</v>
      </c>
      <c r="O54" s="10">
        <v>43889</v>
      </c>
      <c r="P54" s="9" t="s">
        <v>49</v>
      </c>
      <c r="Q54" s="9" t="s">
        <v>49</v>
      </c>
      <c r="R54" s="8"/>
      <c r="S54" s="8"/>
      <c r="T54" s="8"/>
      <c r="U54" s="8"/>
      <c r="V54" s="9" t="s">
        <v>49</v>
      </c>
      <c r="W54" s="9" t="s">
        <v>49</v>
      </c>
      <c r="X54" s="8"/>
      <c r="Y54" s="8"/>
      <c r="Z54" s="8"/>
      <c r="AA54" s="8"/>
      <c r="AB54" s="8"/>
      <c r="AC54" s="8"/>
      <c r="AD54" s="8"/>
      <c r="AE54" s="8"/>
      <c r="AF54" s="8"/>
      <c r="AG54" s="8"/>
      <c r="AH54" s="7" t="s">
        <v>51</v>
      </c>
      <c r="AI54" s="6" t="s">
        <v>71</v>
      </c>
      <c r="AJ54" s="6" t="s">
        <v>49</v>
      </c>
      <c r="AK54" s="6" t="s">
        <v>49</v>
      </c>
      <c r="AL54" s="9" t="s">
        <v>119</v>
      </c>
      <c r="AM54" s="9" t="s">
        <v>49</v>
      </c>
      <c r="AN54" s="6" t="s">
        <v>96</v>
      </c>
      <c r="AO54" s="9" t="s">
        <v>49</v>
      </c>
      <c r="AP54" s="11">
        <v>7248.8885899999996</v>
      </c>
      <c r="AQ54" s="11">
        <v>0</v>
      </c>
      <c r="AR54" s="11">
        <v>0</v>
      </c>
      <c r="AS54" s="11">
        <v>41681.266040000002</v>
      </c>
      <c r="AT54" s="11">
        <v>0</v>
      </c>
      <c r="AU54" s="11">
        <v>0</v>
      </c>
      <c r="AV54" s="11">
        <v>0</v>
      </c>
    </row>
    <row r="55" spans="1:48" ht="14.5" hidden="1">
      <c r="A55" s="6">
        <v>54</v>
      </c>
      <c r="B55" s="7" t="s">
        <v>190</v>
      </c>
      <c r="C55" s="7" t="s">
        <v>49</v>
      </c>
      <c r="D55" s="6">
        <v>15225</v>
      </c>
      <c r="E55" s="6" t="s">
        <v>191</v>
      </c>
      <c r="F55" s="12"/>
      <c r="G55" s="8"/>
      <c r="H55" s="7" t="s">
        <v>49</v>
      </c>
      <c r="I55" s="7"/>
      <c r="J55" s="6" t="s">
        <v>49</v>
      </c>
      <c r="K55" s="9" t="s">
        <v>49</v>
      </c>
      <c r="L55" s="9" t="s">
        <v>49</v>
      </c>
      <c r="M55" s="8"/>
      <c r="N55" s="10">
        <v>43038</v>
      </c>
      <c r="O55" s="10">
        <v>43889</v>
      </c>
      <c r="P55" s="9" t="s">
        <v>49</v>
      </c>
      <c r="Q55" s="9" t="s">
        <v>49</v>
      </c>
      <c r="R55" s="12"/>
      <c r="S55" s="12"/>
      <c r="T55" s="12"/>
      <c r="U55" s="12"/>
      <c r="V55" s="9" t="s">
        <v>49</v>
      </c>
      <c r="W55" s="9" t="s">
        <v>49</v>
      </c>
      <c r="X55" s="12"/>
      <c r="Y55" s="12"/>
      <c r="Z55" s="8"/>
      <c r="AA55" s="8"/>
      <c r="AB55" s="12"/>
      <c r="AC55" s="8"/>
      <c r="AD55" s="12"/>
      <c r="AE55" s="12"/>
      <c r="AF55" s="12"/>
      <c r="AG55" s="12"/>
      <c r="AH55" s="7" t="s">
        <v>51</v>
      </c>
      <c r="AI55" s="6" t="s">
        <v>49</v>
      </c>
      <c r="AJ55" s="6" t="s">
        <v>49</v>
      </c>
      <c r="AK55" s="6" t="s">
        <v>49</v>
      </c>
      <c r="AL55" s="9" t="s">
        <v>49</v>
      </c>
      <c r="AM55" s="9" t="s">
        <v>122</v>
      </c>
      <c r="AN55" s="6" t="s">
        <v>49</v>
      </c>
      <c r="AO55" s="9" t="s">
        <v>122</v>
      </c>
      <c r="AP55" s="11">
        <v>0</v>
      </c>
      <c r="AQ55" s="11">
        <v>0</v>
      </c>
      <c r="AR55" s="11">
        <v>0</v>
      </c>
      <c r="AS55" s="11">
        <v>0</v>
      </c>
      <c r="AT55" s="11">
        <v>0</v>
      </c>
      <c r="AU55" s="11">
        <v>0</v>
      </c>
      <c r="AV55" s="11" t="s">
        <v>51</v>
      </c>
    </row>
    <row r="56" spans="1:48" ht="14.5" hidden="1">
      <c r="A56" s="6">
        <v>55</v>
      </c>
      <c r="B56" s="7" t="s">
        <v>192</v>
      </c>
      <c r="C56" s="7" t="s">
        <v>49</v>
      </c>
      <c r="D56" s="6">
        <v>15644</v>
      </c>
      <c r="E56" s="6" t="s">
        <v>49</v>
      </c>
      <c r="F56" s="8"/>
      <c r="G56" s="8"/>
      <c r="H56" s="7" t="s">
        <v>49</v>
      </c>
      <c r="I56" s="7"/>
      <c r="J56" s="6" t="s">
        <v>49</v>
      </c>
      <c r="K56" s="9" t="s">
        <v>49</v>
      </c>
      <c r="L56" s="9" t="s">
        <v>49</v>
      </c>
      <c r="M56" s="8"/>
      <c r="N56" s="12"/>
      <c r="O56" s="12"/>
      <c r="P56" s="9" t="s">
        <v>49</v>
      </c>
      <c r="Q56" s="9" t="s">
        <v>49</v>
      </c>
      <c r="R56" s="8"/>
      <c r="S56" s="8"/>
      <c r="T56" s="8"/>
      <c r="U56" s="8"/>
      <c r="V56" s="9" t="s">
        <v>49</v>
      </c>
      <c r="W56" s="9" t="s">
        <v>49</v>
      </c>
      <c r="X56" s="8"/>
      <c r="Y56" s="8"/>
      <c r="Z56" s="8"/>
      <c r="AA56" s="8"/>
      <c r="AB56" s="8"/>
      <c r="AC56" s="8"/>
      <c r="AD56" s="8"/>
      <c r="AE56" s="8"/>
      <c r="AF56" s="8"/>
      <c r="AG56" s="8"/>
      <c r="AH56" s="7" t="s">
        <v>79</v>
      </c>
      <c r="AI56" s="6" t="s">
        <v>110</v>
      </c>
      <c r="AJ56" s="6" t="s">
        <v>49</v>
      </c>
      <c r="AK56" s="6" t="s">
        <v>49</v>
      </c>
      <c r="AL56" s="9" t="s">
        <v>111</v>
      </c>
      <c r="AM56" s="9" t="s">
        <v>49</v>
      </c>
      <c r="AN56" s="6" t="s">
        <v>82</v>
      </c>
      <c r="AO56" s="9" t="s">
        <v>49</v>
      </c>
      <c r="AP56" s="11">
        <v>7248.8885899999996</v>
      </c>
      <c r="AQ56" s="11">
        <v>0</v>
      </c>
      <c r="AR56" s="11">
        <v>0</v>
      </c>
      <c r="AS56" s="11">
        <v>41681.266040000002</v>
      </c>
      <c r="AT56" s="11">
        <v>0</v>
      </c>
      <c r="AU56" s="11">
        <v>0</v>
      </c>
      <c r="AV56" s="11">
        <v>0</v>
      </c>
    </row>
    <row r="57" spans="1:48" ht="14.5" hidden="1">
      <c r="A57" s="6">
        <v>56</v>
      </c>
      <c r="B57" s="7" t="s">
        <v>193</v>
      </c>
      <c r="C57" s="7" t="s">
        <v>49</v>
      </c>
      <c r="D57" s="6">
        <v>15644</v>
      </c>
      <c r="E57" s="6" t="s">
        <v>49</v>
      </c>
      <c r="F57" s="12"/>
      <c r="G57" s="8"/>
      <c r="H57" s="7" t="s">
        <v>49</v>
      </c>
      <c r="I57" s="7"/>
      <c r="J57" s="6" t="s">
        <v>49</v>
      </c>
      <c r="K57" s="9" t="s">
        <v>49</v>
      </c>
      <c r="L57" s="9" t="s">
        <v>49</v>
      </c>
      <c r="M57" s="12"/>
      <c r="N57" s="12"/>
      <c r="O57" s="12"/>
      <c r="P57" s="9" t="s">
        <v>49</v>
      </c>
      <c r="Q57" s="9" t="s">
        <v>49</v>
      </c>
      <c r="R57" s="12"/>
      <c r="S57" s="12"/>
      <c r="T57" s="12"/>
      <c r="U57" s="12"/>
      <c r="V57" s="9" t="s">
        <v>49</v>
      </c>
      <c r="W57" s="9" t="s">
        <v>49</v>
      </c>
      <c r="X57" s="8"/>
      <c r="Y57" s="8"/>
      <c r="Z57" s="12"/>
      <c r="AA57" s="8"/>
      <c r="AB57" s="12"/>
      <c r="AC57" s="8"/>
      <c r="AD57" s="12"/>
      <c r="AE57" s="12"/>
      <c r="AF57" s="8"/>
      <c r="AG57" s="12"/>
      <c r="AH57" s="7" t="s">
        <v>79</v>
      </c>
      <c r="AI57" s="6" t="s">
        <v>110</v>
      </c>
      <c r="AJ57" s="6" t="s">
        <v>49</v>
      </c>
      <c r="AK57" s="6" t="s">
        <v>49</v>
      </c>
      <c r="AL57" s="9" t="s">
        <v>111</v>
      </c>
      <c r="AM57" s="9" t="s">
        <v>49</v>
      </c>
      <c r="AN57" s="6" t="s">
        <v>82</v>
      </c>
      <c r="AO57" s="9" t="s">
        <v>49</v>
      </c>
      <c r="AP57" s="11">
        <v>7248.8885899999996</v>
      </c>
      <c r="AQ57" s="11">
        <v>0</v>
      </c>
      <c r="AR57" s="11">
        <v>0</v>
      </c>
      <c r="AS57" s="11">
        <v>41681.266040000002</v>
      </c>
      <c r="AT57" s="11">
        <v>0</v>
      </c>
      <c r="AU57" s="11">
        <v>0</v>
      </c>
      <c r="AV57" s="11">
        <v>0</v>
      </c>
    </row>
    <row r="58" spans="1:48" ht="14.5" hidden="1">
      <c r="A58" s="6">
        <v>57</v>
      </c>
      <c r="B58" s="7" t="s">
        <v>194</v>
      </c>
      <c r="C58" s="7" t="s">
        <v>81</v>
      </c>
      <c r="D58" s="6">
        <v>15376</v>
      </c>
      <c r="E58" s="6" t="s">
        <v>195</v>
      </c>
      <c r="F58" s="6">
        <v>83348</v>
      </c>
      <c r="G58" s="8"/>
      <c r="H58" s="7" t="s">
        <v>88</v>
      </c>
      <c r="I58" s="7" t="s">
        <v>147</v>
      </c>
      <c r="J58" s="6" t="s">
        <v>196</v>
      </c>
      <c r="K58" s="9" t="s">
        <v>76</v>
      </c>
      <c r="L58" s="9" t="s">
        <v>73</v>
      </c>
      <c r="M58" s="17">
        <v>2125</v>
      </c>
      <c r="N58" s="10">
        <v>43280</v>
      </c>
      <c r="O58" s="10">
        <v>44104</v>
      </c>
      <c r="P58" s="9" t="s">
        <v>194</v>
      </c>
      <c r="Q58" s="9" t="s">
        <v>197</v>
      </c>
      <c r="R58" s="6">
        <v>0.37</v>
      </c>
      <c r="S58" s="6">
        <v>3.9</v>
      </c>
      <c r="T58" s="6">
        <v>130.30000000000001</v>
      </c>
      <c r="U58" s="6">
        <v>10.4</v>
      </c>
      <c r="V58" s="9" t="s">
        <v>198</v>
      </c>
      <c r="W58" s="9" t="s">
        <v>199</v>
      </c>
      <c r="X58" s="8"/>
      <c r="Y58" s="8"/>
      <c r="Z58" s="6">
        <v>2.125</v>
      </c>
      <c r="AA58" s="8"/>
      <c r="AB58" s="6">
        <v>2.125</v>
      </c>
      <c r="AC58" s="8"/>
      <c r="AD58" s="6">
        <v>2.125</v>
      </c>
      <c r="AE58" s="6">
        <v>1.7</v>
      </c>
      <c r="AF58" s="8"/>
      <c r="AG58" s="6">
        <v>1.7</v>
      </c>
      <c r="AH58" s="7" t="s">
        <v>51</v>
      </c>
      <c r="AI58" s="6" t="s">
        <v>49</v>
      </c>
      <c r="AJ58" s="6" t="s">
        <v>49</v>
      </c>
      <c r="AK58" s="6" t="s">
        <v>49</v>
      </c>
      <c r="AL58" s="9" t="s">
        <v>49</v>
      </c>
      <c r="AM58" s="9" t="s">
        <v>200</v>
      </c>
      <c r="AN58" s="6" t="s">
        <v>73</v>
      </c>
      <c r="AO58" s="9" t="s">
        <v>201</v>
      </c>
      <c r="AP58" s="11">
        <v>-0.48375999999999997</v>
      </c>
      <c r="AQ58" s="11">
        <v>-483.76</v>
      </c>
      <c r="AR58" s="11">
        <v>-483.76</v>
      </c>
      <c r="AS58" s="11">
        <v>2141.6038900000003</v>
      </c>
      <c r="AT58" s="11">
        <v>2124.5162400000004</v>
      </c>
      <c r="AU58" s="11">
        <v>0</v>
      </c>
      <c r="AV58" s="11" t="s">
        <v>51</v>
      </c>
    </row>
    <row r="59" spans="1:48" ht="14.5" hidden="1">
      <c r="A59" s="6">
        <v>58</v>
      </c>
      <c r="B59" s="7" t="s">
        <v>202</v>
      </c>
      <c r="C59" s="7" t="s">
        <v>203</v>
      </c>
      <c r="D59" s="12"/>
      <c r="E59" s="6" t="s">
        <v>104</v>
      </c>
      <c r="F59" s="8"/>
      <c r="G59" s="8"/>
      <c r="H59" s="7" t="s">
        <v>49</v>
      </c>
      <c r="I59" s="7"/>
      <c r="J59" s="6" t="s">
        <v>49</v>
      </c>
      <c r="K59" s="9" t="s">
        <v>49</v>
      </c>
      <c r="L59" s="9" t="s">
        <v>49</v>
      </c>
      <c r="M59" s="18">
        <v>250</v>
      </c>
      <c r="N59" s="12"/>
      <c r="O59" s="12"/>
      <c r="P59" s="9" t="s">
        <v>49</v>
      </c>
      <c r="Q59" s="9" t="s">
        <v>49</v>
      </c>
      <c r="R59" s="8"/>
      <c r="S59" s="8"/>
      <c r="T59" s="8"/>
      <c r="U59" s="8"/>
      <c r="V59" s="9" t="s">
        <v>49</v>
      </c>
      <c r="W59" s="9" t="s">
        <v>49</v>
      </c>
      <c r="X59" s="8"/>
      <c r="Y59" s="8"/>
      <c r="Z59" s="8"/>
      <c r="AA59" s="8"/>
      <c r="AB59" s="8"/>
      <c r="AC59" s="8"/>
      <c r="AD59" s="8"/>
      <c r="AE59" s="8"/>
      <c r="AF59" s="8"/>
      <c r="AG59" s="8"/>
      <c r="AH59" s="7" t="s">
        <v>49</v>
      </c>
      <c r="AI59" s="6" t="s">
        <v>49</v>
      </c>
      <c r="AJ59" s="6" t="s">
        <v>49</v>
      </c>
      <c r="AK59" s="6" t="s">
        <v>49</v>
      </c>
      <c r="AL59" s="9" t="s">
        <v>49</v>
      </c>
      <c r="AM59" s="9" t="s">
        <v>49</v>
      </c>
      <c r="AN59" s="6" t="s">
        <v>49</v>
      </c>
      <c r="AO59" s="9" t="s">
        <v>49</v>
      </c>
      <c r="AP59" s="11">
        <v>0</v>
      </c>
      <c r="AQ59" s="11">
        <v>0</v>
      </c>
      <c r="AR59" s="11">
        <v>0</v>
      </c>
      <c r="AS59" s="11">
        <v>0</v>
      </c>
      <c r="AT59" s="11">
        <v>0</v>
      </c>
      <c r="AU59" s="11">
        <v>0</v>
      </c>
      <c r="AV59" s="11">
        <v>0</v>
      </c>
    </row>
    <row r="60" spans="1:48" ht="14.5" hidden="1">
      <c r="A60" s="6">
        <v>59</v>
      </c>
      <c r="B60" s="7" t="s">
        <v>204</v>
      </c>
      <c r="C60" s="7" t="s">
        <v>49</v>
      </c>
      <c r="D60" s="6">
        <v>15377</v>
      </c>
      <c r="E60" s="6" t="s">
        <v>205</v>
      </c>
      <c r="F60" s="8"/>
      <c r="G60" s="8"/>
      <c r="H60" s="7" t="s">
        <v>49</v>
      </c>
      <c r="I60" s="7"/>
      <c r="J60" s="6" t="s">
        <v>49</v>
      </c>
      <c r="K60" s="9" t="s">
        <v>49</v>
      </c>
      <c r="L60" s="9" t="s">
        <v>49</v>
      </c>
      <c r="M60" s="8"/>
      <c r="N60" s="10">
        <v>43437</v>
      </c>
      <c r="O60" s="10">
        <v>43860</v>
      </c>
      <c r="P60" s="9" t="s">
        <v>49</v>
      </c>
      <c r="Q60" s="9" t="s">
        <v>49</v>
      </c>
      <c r="R60" s="8"/>
      <c r="S60" s="8"/>
      <c r="T60" s="8"/>
      <c r="U60" s="8"/>
      <c r="V60" s="9" t="s">
        <v>49</v>
      </c>
      <c r="W60" s="9" t="s">
        <v>49</v>
      </c>
      <c r="X60" s="8"/>
      <c r="Y60" s="8"/>
      <c r="Z60" s="8"/>
      <c r="AA60" s="8"/>
      <c r="AB60" s="8"/>
      <c r="AC60" s="8"/>
      <c r="AD60" s="8"/>
      <c r="AE60" s="8"/>
      <c r="AF60" s="8"/>
      <c r="AG60" s="8"/>
      <c r="AH60" s="7" t="s">
        <v>51</v>
      </c>
      <c r="AI60" s="6" t="s">
        <v>49</v>
      </c>
      <c r="AJ60" s="6" t="s">
        <v>49</v>
      </c>
      <c r="AK60" s="6" t="s">
        <v>49</v>
      </c>
      <c r="AL60" s="9" t="s">
        <v>49</v>
      </c>
      <c r="AM60" s="9" t="s">
        <v>206</v>
      </c>
      <c r="AN60" s="6" t="s">
        <v>49</v>
      </c>
      <c r="AO60" s="9" t="s">
        <v>206</v>
      </c>
      <c r="AP60" s="11">
        <v>0</v>
      </c>
      <c r="AQ60" s="11">
        <v>0</v>
      </c>
      <c r="AR60" s="11">
        <v>0</v>
      </c>
      <c r="AS60" s="11">
        <v>0</v>
      </c>
      <c r="AT60" s="11">
        <v>250</v>
      </c>
      <c r="AU60" s="11">
        <v>0</v>
      </c>
      <c r="AV60" s="11" t="s">
        <v>51</v>
      </c>
    </row>
    <row r="61" spans="1:48" ht="14.5" hidden="1">
      <c r="A61" s="6">
        <v>60</v>
      </c>
      <c r="B61" s="7" t="s">
        <v>207</v>
      </c>
      <c r="C61" s="7" t="s">
        <v>49</v>
      </c>
      <c r="D61" s="6">
        <v>12531</v>
      </c>
      <c r="E61" s="6" t="s">
        <v>208</v>
      </c>
      <c r="F61" s="8"/>
      <c r="G61" s="8"/>
      <c r="H61" s="7" t="s">
        <v>49</v>
      </c>
      <c r="I61" s="7"/>
      <c r="J61" s="6" t="s">
        <v>49</v>
      </c>
      <c r="K61" s="9" t="s">
        <v>49</v>
      </c>
      <c r="L61" s="9" t="s">
        <v>49</v>
      </c>
      <c r="M61" s="8"/>
      <c r="N61" s="10">
        <v>42916</v>
      </c>
      <c r="O61" s="10">
        <v>44851</v>
      </c>
      <c r="P61" s="9" t="s">
        <v>49</v>
      </c>
      <c r="Q61" s="9" t="s">
        <v>49</v>
      </c>
      <c r="R61" s="8"/>
      <c r="S61" s="8"/>
      <c r="T61" s="8"/>
      <c r="U61" s="8"/>
      <c r="V61" s="9" t="s">
        <v>49</v>
      </c>
      <c r="W61" s="9" t="s">
        <v>49</v>
      </c>
      <c r="X61" s="8"/>
      <c r="Y61" s="8"/>
      <c r="Z61" s="8"/>
      <c r="AA61" s="8"/>
      <c r="AB61" s="8"/>
      <c r="AC61" s="8"/>
      <c r="AD61" s="8"/>
      <c r="AE61" s="8"/>
      <c r="AF61" s="8"/>
      <c r="AG61" s="8"/>
      <c r="AH61" s="7" t="s">
        <v>51</v>
      </c>
      <c r="AI61" s="6" t="s">
        <v>49</v>
      </c>
      <c r="AJ61" s="6" t="s">
        <v>49</v>
      </c>
      <c r="AK61" s="6" t="s">
        <v>49</v>
      </c>
      <c r="AL61" s="9" t="s">
        <v>49</v>
      </c>
      <c r="AM61" s="9" t="s">
        <v>122</v>
      </c>
      <c r="AN61" s="6" t="s">
        <v>49</v>
      </c>
      <c r="AO61" s="9" t="s">
        <v>162</v>
      </c>
      <c r="AP61" s="11">
        <v>0</v>
      </c>
      <c r="AQ61" s="11">
        <v>0</v>
      </c>
      <c r="AR61" s="11">
        <v>0</v>
      </c>
      <c r="AS61" s="11">
        <v>0</v>
      </c>
      <c r="AT61" s="11">
        <v>0</v>
      </c>
      <c r="AU61" s="11">
        <v>0</v>
      </c>
      <c r="AV61" s="11" t="s">
        <v>51</v>
      </c>
    </row>
    <row r="62" spans="1:48" ht="14.5" hidden="1">
      <c r="A62" s="6">
        <v>61</v>
      </c>
      <c r="B62" s="7" t="s">
        <v>209</v>
      </c>
      <c r="C62" s="7" t="s">
        <v>49</v>
      </c>
      <c r="D62" s="6">
        <v>12531</v>
      </c>
      <c r="E62" s="6" t="s">
        <v>49</v>
      </c>
      <c r="F62" s="8"/>
      <c r="G62" s="8"/>
      <c r="H62" s="7" t="s">
        <v>49</v>
      </c>
      <c r="I62" s="7"/>
      <c r="J62" s="6" t="s">
        <v>49</v>
      </c>
      <c r="K62" s="9" t="s">
        <v>49</v>
      </c>
      <c r="L62" s="9" t="s">
        <v>49</v>
      </c>
      <c r="M62" s="8"/>
      <c r="N62" s="10">
        <v>42916</v>
      </c>
      <c r="O62" s="10">
        <v>44851</v>
      </c>
      <c r="P62" s="9" t="s">
        <v>49</v>
      </c>
      <c r="Q62" s="9" t="s">
        <v>49</v>
      </c>
      <c r="R62" s="8"/>
      <c r="S62" s="8"/>
      <c r="T62" s="8"/>
      <c r="U62" s="8"/>
      <c r="V62" s="9" t="s">
        <v>49</v>
      </c>
      <c r="W62" s="9" t="s">
        <v>49</v>
      </c>
      <c r="X62" s="8"/>
      <c r="Y62" s="8"/>
      <c r="Z62" s="8"/>
      <c r="AA62" s="8"/>
      <c r="AB62" s="8"/>
      <c r="AC62" s="8"/>
      <c r="AD62" s="8"/>
      <c r="AE62" s="8"/>
      <c r="AF62" s="8"/>
      <c r="AG62" s="8"/>
      <c r="AH62" s="7" t="s">
        <v>51</v>
      </c>
      <c r="AI62" s="6" t="s">
        <v>71</v>
      </c>
      <c r="AJ62" s="6" t="s">
        <v>49</v>
      </c>
      <c r="AK62" s="6" t="s">
        <v>118</v>
      </c>
      <c r="AL62" s="9" t="s">
        <v>119</v>
      </c>
      <c r="AM62" s="9" t="s">
        <v>49</v>
      </c>
      <c r="AN62" s="6" t="s">
        <v>210</v>
      </c>
      <c r="AO62" s="9" t="s">
        <v>49</v>
      </c>
      <c r="AP62" s="11">
        <v>7248.8885899999996</v>
      </c>
      <c r="AQ62" s="11">
        <v>0</v>
      </c>
      <c r="AR62" s="11">
        <v>0</v>
      </c>
      <c r="AS62" s="11">
        <v>41681.266040000002</v>
      </c>
      <c r="AT62" s="11">
        <v>0</v>
      </c>
      <c r="AU62" s="11">
        <v>0</v>
      </c>
      <c r="AV62" s="11">
        <v>0</v>
      </c>
    </row>
    <row r="63" spans="1:48" ht="14.5">
      <c r="A63" s="6">
        <v>62</v>
      </c>
      <c r="B63" s="7" t="s">
        <v>211</v>
      </c>
      <c r="C63" s="7" t="s">
        <v>81</v>
      </c>
      <c r="D63" s="6">
        <v>15432</v>
      </c>
      <c r="E63" s="6" t="s">
        <v>212</v>
      </c>
      <c r="F63" s="8"/>
      <c r="G63" s="8"/>
      <c r="H63" s="7" t="s">
        <v>49</v>
      </c>
      <c r="I63" s="7"/>
      <c r="J63" s="6" t="s">
        <v>49</v>
      </c>
      <c r="K63" s="9" t="s">
        <v>49</v>
      </c>
      <c r="L63" s="9" t="s">
        <v>49</v>
      </c>
      <c r="M63" s="8"/>
      <c r="N63" s="12"/>
      <c r="O63" s="12"/>
      <c r="P63" s="9" t="s">
        <v>49</v>
      </c>
      <c r="Q63" s="9" t="s">
        <v>49</v>
      </c>
      <c r="R63" s="8"/>
      <c r="S63" s="8"/>
      <c r="T63" s="8"/>
      <c r="U63" s="8"/>
      <c r="V63" s="9" t="s">
        <v>49</v>
      </c>
      <c r="W63" s="9" t="s">
        <v>49</v>
      </c>
      <c r="X63" s="8"/>
      <c r="Y63" s="8"/>
      <c r="Z63" s="8"/>
      <c r="AA63" s="6">
        <v>0.28000000000000003</v>
      </c>
      <c r="AB63" s="6">
        <v>0.28000000000000003</v>
      </c>
      <c r="AC63" s="8"/>
      <c r="AD63" s="6">
        <v>0.28000000000000003</v>
      </c>
      <c r="AE63" s="8"/>
      <c r="AF63" s="6">
        <v>0.14000000000000001</v>
      </c>
      <c r="AG63" s="6">
        <v>0.14000000000000001</v>
      </c>
      <c r="AH63" s="7" t="s">
        <v>57</v>
      </c>
      <c r="AI63" s="6" t="s">
        <v>49</v>
      </c>
      <c r="AJ63" s="6" t="s">
        <v>49</v>
      </c>
      <c r="AK63" s="6" t="s">
        <v>49</v>
      </c>
      <c r="AL63" s="9" t="s">
        <v>49</v>
      </c>
      <c r="AM63" s="9" t="s">
        <v>213</v>
      </c>
      <c r="AN63" s="6" t="s">
        <v>49</v>
      </c>
      <c r="AO63" s="9" t="s">
        <v>201</v>
      </c>
      <c r="AP63" s="11">
        <v>0</v>
      </c>
      <c r="AQ63" s="11">
        <v>0</v>
      </c>
      <c r="AR63" s="11">
        <v>0</v>
      </c>
      <c r="AS63" s="11">
        <v>0</v>
      </c>
      <c r="AT63" s="11">
        <v>0</v>
      </c>
      <c r="AU63" s="11">
        <v>0</v>
      </c>
      <c r="AV63" s="11" t="s">
        <v>57</v>
      </c>
    </row>
    <row r="64" spans="1:48" ht="14.5" hidden="1">
      <c r="A64" s="6">
        <v>63</v>
      </c>
      <c r="B64" s="7" t="s">
        <v>214</v>
      </c>
      <c r="C64" s="7" t="s">
        <v>49</v>
      </c>
      <c r="D64" s="6">
        <v>15432</v>
      </c>
      <c r="E64" s="6" t="s">
        <v>49</v>
      </c>
      <c r="F64" s="8"/>
      <c r="G64" s="8"/>
      <c r="H64" s="7" t="s">
        <v>49</v>
      </c>
      <c r="I64" s="7"/>
      <c r="J64" s="6" t="s">
        <v>49</v>
      </c>
      <c r="K64" s="9" t="s">
        <v>49</v>
      </c>
      <c r="L64" s="9" t="s">
        <v>49</v>
      </c>
      <c r="M64" s="8"/>
      <c r="N64" s="12"/>
      <c r="O64" s="12"/>
      <c r="P64" s="9" t="s">
        <v>49</v>
      </c>
      <c r="Q64" s="9" t="s">
        <v>49</v>
      </c>
      <c r="R64" s="8"/>
      <c r="S64" s="8"/>
      <c r="T64" s="8"/>
      <c r="U64" s="8"/>
      <c r="V64" s="9" t="s">
        <v>49</v>
      </c>
      <c r="W64" s="9" t="s">
        <v>49</v>
      </c>
      <c r="X64" s="8"/>
      <c r="Y64" s="8"/>
      <c r="Z64" s="8"/>
      <c r="AA64" s="8"/>
      <c r="AB64" s="8"/>
      <c r="AC64" s="8"/>
      <c r="AD64" s="8"/>
      <c r="AE64" s="8"/>
      <c r="AF64" s="8"/>
      <c r="AG64" s="8"/>
      <c r="AH64" s="7" t="s">
        <v>57</v>
      </c>
      <c r="AI64" s="6" t="s">
        <v>71</v>
      </c>
      <c r="AJ64" s="6" t="s">
        <v>49</v>
      </c>
      <c r="AK64" s="6" t="s">
        <v>49</v>
      </c>
      <c r="AL64" s="9" t="s">
        <v>213</v>
      </c>
      <c r="AM64" s="9" t="s">
        <v>49</v>
      </c>
      <c r="AN64" s="6" t="s">
        <v>85</v>
      </c>
      <c r="AO64" s="9" t="s">
        <v>49</v>
      </c>
      <c r="AP64" s="11">
        <v>7248.8885899999996</v>
      </c>
      <c r="AQ64" s="11">
        <v>0</v>
      </c>
      <c r="AR64" s="11">
        <v>0</v>
      </c>
      <c r="AS64" s="11">
        <v>41681.266040000002</v>
      </c>
      <c r="AT64" s="11">
        <v>0</v>
      </c>
      <c r="AU64" s="11">
        <v>0</v>
      </c>
      <c r="AV64" s="11">
        <v>0</v>
      </c>
    </row>
    <row r="65" spans="1:49" ht="14.5" hidden="1">
      <c r="A65" s="6">
        <v>64</v>
      </c>
      <c r="B65" s="7" t="s">
        <v>215</v>
      </c>
      <c r="C65" s="7" t="s">
        <v>49</v>
      </c>
      <c r="D65" s="6">
        <v>16009</v>
      </c>
      <c r="E65" s="6" t="s">
        <v>49</v>
      </c>
      <c r="F65" s="8"/>
      <c r="G65" s="8"/>
      <c r="H65" s="7" t="s">
        <v>49</v>
      </c>
      <c r="I65" s="7"/>
      <c r="J65" s="6" t="s">
        <v>49</v>
      </c>
      <c r="K65" s="9" t="s">
        <v>49</v>
      </c>
      <c r="L65" s="9" t="s">
        <v>49</v>
      </c>
      <c r="M65" s="8"/>
      <c r="N65" s="12"/>
      <c r="O65" s="10">
        <v>43525</v>
      </c>
      <c r="P65" s="9" t="s">
        <v>49</v>
      </c>
      <c r="Q65" s="9" t="s">
        <v>49</v>
      </c>
      <c r="R65" s="8"/>
      <c r="S65" s="8"/>
      <c r="T65" s="8"/>
      <c r="U65" s="8"/>
      <c r="V65" s="9" t="s">
        <v>49</v>
      </c>
      <c r="W65" s="9" t="s">
        <v>49</v>
      </c>
      <c r="X65" s="8"/>
      <c r="Y65" s="8"/>
      <c r="Z65" s="8"/>
      <c r="AA65" s="8"/>
      <c r="AB65" s="8"/>
      <c r="AC65" s="8"/>
      <c r="AD65" s="8"/>
      <c r="AE65" s="8"/>
      <c r="AF65" s="8"/>
      <c r="AG65" s="8"/>
      <c r="AH65" s="7" t="s">
        <v>57</v>
      </c>
      <c r="AI65" s="6" t="s">
        <v>71</v>
      </c>
      <c r="AJ65" s="6" t="s">
        <v>49</v>
      </c>
      <c r="AK65" s="6" t="s">
        <v>49</v>
      </c>
      <c r="AL65" s="9" t="s">
        <v>213</v>
      </c>
      <c r="AM65" s="9" t="s">
        <v>49</v>
      </c>
      <c r="AN65" s="6" t="s">
        <v>85</v>
      </c>
      <c r="AO65" s="9" t="s">
        <v>49</v>
      </c>
      <c r="AP65" s="11">
        <v>7248.8885899999996</v>
      </c>
      <c r="AQ65" s="11">
        <v>0</v>
      </c>
      <c r="AR65" s="11">
        <v>0</v>
      </c>
      <c r="AS65" s="11">
        <v>41681.266040000002</v>
      </c>
      <c r="AT65" s="11">
        <v>0</v>
      </c>
      <c r="AU65" s="11">
        <v>0</v>
      </c>
      <c r="AV65" s="11">
        <v>0</v>
      </c>
    </row>
    <row r="66" spans="1:49" ht="14.5" hidden="1">
      <c r="A66" s="6">
        <v>65</v>
      </c>
      <c r="B66" s="7" t="s">
        <v>215</v>
      </c>
      <c r="C66" s="7" t="s">
        <v>81</v>
      </c>
      <c r="D66" s="6">
        <v>16009</v>
      </c>
      <c r="E66" s="6" t="s">
        <v>216</v>
      </c>
      <c r="F66" s="8"/>
      <c r="G66" s="8"/>
      <c r="H66" s="7" t="s">
        <v>88</v>
      </c>
      <c r="I66" s="7" t="s">
        <v>217</v>
      </c>
      <c r="J66" s="6" t="s">
        <v>75</v>
      </c>
      <c r="K66" s="9" t="s">
        <v>76</v>
      </c>
      <c r="L66" s="9" t="s">
        <v>49</v>
      </c>
      <c r="M66" s="8"/>
      <c r="N66" s="8"/>
      <c r="O66" s="10">
        <v>43525</v>
      </c>
      <c r="P66" s="9" t="s">
        <v>49</v>
      </c>
      <c r="Q66" s="9" t="s">
        <v>49</v>
      </c>
      <c r="R66" s="8"/>
      <c r="S66" s="8"/>
      <c r="T66" s="8"/>
      <c r="U66" s="8"/>
      <c r="V66" s="9" t="s">
        <v>49</v>
      </c>
      <c r="W66" s="9" t="s">
        <v>49</v>
      </c>
      <c r="X66" s="8"/>
      <c r="Y66" s="8"/>
      <c r="Z66" s="8"/>
      <c r="AA66" s="6">
        <v>0.90900000000000003</v>
      </c>
      <c r="AB66" s="6">
        <v>0.90900000000000003</v>
      </c>
      <c r="AC66" s="8"/>
      <c r="AD66" s="6">
        <v>0.90900000000000003</v>
      </c>
      <c r="AE66" s="8"/>
      <c r="AF66" s="6">
        <v>0.45500000000000002</v>
      </c>
      <c r="AG66" s="6">
        <v>0.45500000000000002</v>
      </c>
      <c r="AH66" s="7" t="s">
        <v>57</v>
      </c>
      <c r="AI66" s="6" t="s">
        <v>49</v>
      </c>
      <c r="AJ66" s="6" t="s">
        <v>49</v>
      </c>
      <c r="AK66" s="6" t="s">
        <v>49</v>
      </c>
      <c r="AL66" s="9" t="s">
        <v>49</v>
      </c>
      <c r="AM66" s="9" t="s">
        <v>52</v>
      </c>
      <c r="AN66" s="6" t="s">
        <v>218</v>
      </c>
      <c r="AO66" s="9" t="s">
        <v>201</v>
      </c>
      <c r="AP66" s="11">
        <v>22.050009999999997</v>
      </c>
      <c r="AQ66" s="11">
        <v>18375.009999999998</v>
      </c>
      <c r="AR66" s="11">
        <v>18375.009999999998</v>
      </c>
      <c r="AS66" s="11">
        <v>22.050009999999997</v>
      </c>
      <c r="AT66" s="11">
        <v>975.89201000000003</v>
      </c>
      <c r="AU66" s="11">
        <v>990</v>
      </c>
      <c r="AV66" s="11" t="s">
        <v>57</v>
      </c>
      <c r="AW66" t="s">
        <v>93</v>
      </c>
    </row>
    <row r="67" spans="1:49" ht="14.5" hidden="1">
      <c r="A67" s="6">
        <v>66</v>
      </c>
      <c r="B67" s="7" t="s">
        <v>219</v>
      </c>
      <c r="C67" s="7" t="s">
        <v>49</v>
      </c>
      <c r="D67" s="6">
        <v>15067</v>
      </c>
      <c r="E67" s="6" t="s">
        <v>220</v>
      </c>
      <c r="F67" s="8"/>
      <c r="G67" s="8"/>
      <c r="H67" s="7" t="s">
        <v>49</v>
      </c>
      <c r="I67" s="7"/>
      <c r="J67" s="6" t="s">
        <v>49</v>
      </c>
      <c r="K67" s="9" t="s">
        <v>49</v>
      </c>
      <c r="L67" s="9" t="s">
        <v>49</v>
      </c>
      <c r="M67" s="8"/>
      <c r="N67" s="10">
        <v>43007</v>
      </c>
      <c r="O67" s="10">
        <v>44196</v>
      </c>
      <c r="P67" s="9" t="s">
        <v>49</v>
      </c>
      <c r="Q67" s="9" t="s">
        <v>49</v>
      </c>
      <c r="R67" s="8"/>
      <c r="S67" s="8"/>
      <c r="T67" s="8"/>
      <c r="U67" s="8"/>
      <c r="V67" s="9" t="s">
        <v>49</v>
      </c>
      <c r="W67" s="9" t="s">
        <v>49</v>
      </c>
      <c r="X67" s="8"/>
      <c r="Y67" s="8"/>
      <c r="Z67" s="8"/>
      <c r="AA67" s="8"/>
      <c r="AB67" s="8"/>
      <c r="AC67" s="8"/>
      <c r="AD67" s="8"/>
      <c r="AE67" s="8"/>
      <c r="AF67" s="8"/>
      <c r="AG67" s="8"/>
      <c r="AH67" s="7" t="s">
        <v>51</v>
      </c>
      <c r="AI67" s="6" t="s">
        <v>49</v>
      </c>
      <c r="AJ67" s="6" t="s">
        <v>49</v>
      </c>
      <c r="AK67" s="6" t="s">
        <v>49</v>
      </c>
      <c r="AL67" s="9" t="s">
        <v>49</v>
      </c>
      <c r="AM67" s="9" t="s">
        <v>221</v>
      </c>
      <c r="AN67" s="6" t="s">
        <v>49</v>
      </c>
      <c r="AO67" s="9" t="s">
        <v>222</v>
      </c>
      <c r="AP67" s="11">
        <v>0</v>
      </c>
      <c r="AQ67" s="11">
        <v>0</v>
      </c>
      <c r="AR67" s="11">
        <v>0</v>
      </c>
      <c r="AS67" s="11">
        <v>0</v>
      </c>
      <c r="AT67" s="11">
        <v>0</v>
      </c>
      <c r="AU67" s="11">
        <v>0</v>
      </c>
      <c r="AV67" s="11" t="s">
        <v>51</v>
      </c>
    </row>
    <row r="68" spans="1:49" ht="14.5" hidden="1">
      <c r="A68" s="6">
        <v>67</v>
      </c>
      <c r="B68" s="7" t="s">
        <v>223</v>
      </c>
      <c r="C68" s="7" t="s">
        <v>49</v>
      </c>
      <c r="D68" s="6">
        <v>15491</v>
      </c>
      <c r="E68" s="6" t="s">
        <v>49</v>
      </c>
      <c r="F68" s="8"/>
      <c r="G68" s="8"/>
      <c r="H68" s="7" t="s">
        <v>49</v>
      </c>
      <c r="I68" s="7"/>
      <c r="J68" s="6" t="s">
        <v>49</v>
      </c>
      <c r="K68" s="9" t="s">
        <v>49</v>
      </c>
      <c r="L68" s="9" t="s">
        <v>49</v>
      </c>
      <c r="M68" s="8"/>
      <c r="N68" s="8"/>
      <c r="O68" s="10">
        <v>44196</v>
      </c>
      <c r="P68" s="9" t="s">
        <v>49</v>
      </c>
      <c r="Q68" s="9" t="s">
        <v>49</v>
      </c>
      <c r="R68" s="8"/>
      <c r="S68" s="8"/>
      <c r="T68" s="8"/>
      <c r="U68" s="8"/>
      <c r="V68" s="9" t="s">
        <v>49</v>
      </c>
      <c r="W68" s="9" t="s">
        <v>49</v>
      </c>
      <c r="X68" s="8"/>
      <c r="Y68" s="8"/>
      <c r="Z68" s="8"/>
      <c r="AA68" s="8"/>
      <c r="AB68" s="8"/>
      <c r="AC68" s="8"/>
      <c r="AD68" s="8"/>
      <c r="AE68" s="8"/>
      <c r="AF68" s="8"/>
      <c r="AG68" s="8"/>
      <c r="AH68" s="7" t="s">
        <v>57</v>
      </c>
      <c r="AI68" s="6" t="s">
        <v>71</v>
      </c>
      <c r="AJ68" s="6" t="s">
        <v>49</v>
      </c>
      <c r="AK68" s="6" t="s">
        <v>49</v>
      </c>
      <c r="AL68" s="9" t="s">
        <v>52</v>
      </c>
      <c r="AM68" s="9" t="s">
        <v>49</v>
      </c>
      <c r="AN68" s="6" t="s">
        <v>85</v>
      </c>
      <c r="AO68" s="9" t="s">
        <v>49</v>
      </c>
      <c r="AP68" s="11">
        <v>7248.8885899999996</v>
      </c>
      <c r="AQ68" s="11">
        <v>0</v>
      </c>
      <c r="AR68" s="11">
        <v>0</v>
      </c>
      <c r="AS68" s="11">
        <v>41681.266040000002</v>
      </c>
      <c r="AT68" s="11">
        <v>0</v>
      </c>
      <c r="AU68" s="11">
        <v>0</v>
      </c>
      <c r="AV68" s="11">
        <v>0</v>
      </c>
    </row>
    <row r="69" spans="1:49" ht="14.5" hidden="1">
      <c r="A69" s="6">
        <v>68</v>
      </c>
      <c r="B69" s="7" t="s">
        <v>223</v>
      </c>
      <c r="C69" s="7" t="s">
        <v>49</v>
      </c>
      <c r="D69" s="6">
        <v>15491</v>
      </c>
      <c r="E69" s="6" t="s">
        <v>224</v>
      </c>
      <c r="F69" s="8"/>
      <c r="G69" s="8"/>
      <c r="H69" s="7" t="s">
        <v>49</v>
      </c>
      <c r="I69" s="7"/>
      <c r="J69" s="6" t="s">
        <v>49</v>
      </c>
      <c r="K69" s="9" t="s">
        <v>49</v>
      </c>
      <c r="L69" s="9" t="s">
        <v>49</v>
      </c>
      <c r="M69" s="8"/>
      <c r="N69" s="8"/>
      <c r="O69" s="10">
        <v>44196</v>
      </c>
      <c r="P69" s="9" t="s">
        <v>49</v>
      </c>
      <c r="Q69" s="9" t="s">
        <v>49</v>
      </c>
      <c r="R69" s="8"/>
      <c r="S69" s="8"/>
      <c r="T69" s="8"/>
      <c r="U69" s="8"/>
      <c r="V69" s="9" t="s">
        <v>49</v>
      </c>
      <c r="W69" s="9" t="s">
        <v>49</v>
      </c>
      <c r="X69" s="8"/>
      <c r="Y69" s="8"/>
      <c r="Z69" s="8"/>
      <c r="AA69" s="12"/>
      <c r="AB69" s="12"/>
      <c r="AC69" s="8"/>
      <c r="AD69" s="12"/>
      <c r="AE69" s="8"/>
      <c r="AF69" s="12"/>
      <c r="AG69" s="12"/>
      <c r="AH69" s="7" t="s">
        <v>57</v>
      </c>
      <c r="AI69" s="6" t="s">
        <v>49</v>
      </c>
      <c r="AJ69" s="6" t="s">
        <v>49</v>
      </c>
      <c r="AK69" s="6" t="s">
        <v>49</v>
      </c>
      <c r="AL69" s="9" t="s">
        <v>49</v>
      </c>
      <c r="AM69" s="9" t="s">
        <v>92</v>
      </c>
      <c r="AN69" s="6" t="s">
        <v>49</v>
      </c>
      <c r="AO69" s="9" t="s">
        <v>92</v>
      </c>
      <c r="AP69" s="11">
        <v>0</v>
      </c>
      <c r="AQ69" s="11">
        <v>0</v>
      </c>
      <c r="AR69" s="11">
        <v>0</v>
      </c>
      <c r="AS69" s="11">
        <v>0</v>
      </c>
      <c r="AT69" s="11">
        <v>0</v>
      </c>
      <c r="AU69" s="11">
        <v>0</v>
      </c>
      <c r="AV69" s="11" t="s">
        <v>57</v>
      </c>
    </row>
    <row r="70" spans="1:49" ht="14.5" hidden="1">
      <c r="A70" s="6">
        <v>69</v>
      </c>
      <c r="B70" s="7" t="s">
        <v>225</v>
      </c>
      <c r="C70" s="7" t="s">
        <v>86</v>
      </c>
      <c r="D70" s="6">
        <v>15701</v>
      </c>
      <c r="E70" s="6" t="s">
        <v>49</v>
      </c>
      <c r="F70" s="8"/>
      <c r="G70" s="8"/>
      <c r="H70" s="7" t="s">
        <v>49</v>
      </c>
      <c r="I70" s="7"/>
      <c r="J70" s="6" t="s">
        <v>49</v>
      </c>
      <c r="K70" s="9" t="s">
        <v>49</v>
      </c>
      <c r="L70" s="9" t="s">
        <v>49</v>
      </c>
      <c r="M70" s="8"/>
      <c r="N70" s="12"/>
      <c r="O70" s="12"/>
      <c r="P70" s="9" t="s">
        <v>49</v>
      </c>
      <c r="Q70" s="9" t="s">
        <v>49</v>
      </c>
      <c r="R70" s="8"/>
      <c r="S70" s="8"/>
      <c r="T70" s="8"/>
      <c r="U70" s="8"/>
      <c r="V70" s="9" t="s">
        <v>49</v>
      </c>
      <c r="W70" s="9" t="s">
        <v>49</v>
      </c>
      <c r="X70" s="8"/>
      <c r="Y70" s="8"/>
      <c r="Z70" s="8"/>
      <c r="AA70" s="8"/>
      <c r="AB70" s="8"/>
      <c r="AC70" s="8"/>
      <c r="AD70" s="8"/>
      <c r="AE70" s="8"/>
      <c r="AF70" s="8"/>
      <c r="AG70" s="8"/>
      <c r="AH70" s="7" t="s">
        <v>57</v>
      </c>
      <c r="AI70" s="6" t="s">
        <v>71</v>
      </c>
      <c r="AJ70" s="6" t="s">
        <v>49</v>
      </c>
      <c r="AK70" s="6" t="s">
        <v>49</v>
      </c>
      <c r="AL70" s="9" t="s">
        <v>52</v>
      </c>
      <c r="AM70" s="9" t="s">
        <v>49</v>
      </c>
      <c r="AN70" s="6" t="s">
        <v>85</v>
      </c>
      <c r="AO70" s="9" t="s">
        <v>49</v>
      </c>
      <c r="AP70" s="11">
        <v>7248.8885899999996</v>
      </c>
      <c r="AQ70" s="11">
        <v>0</v>
      </c>
      <c r="AR70" s="11">
        <v>0</v>
      </c>
      <c r="AS70" s="11">
        <v>41681.266040000002</v>
      </c>
      <c r="AT70" s="11">
        <v>0</v>
      </c>
      <c r="AU70" s="11">
        <v>0</v>
      </c>
      <c r="AV70" s="11">
        <v>0</v>
      </c>
    </row>
    <row r="71" spans="1:49" ht="14.5">
      <c r="A71" s="6">
        <v>70</v>
      </c>
      <c r="B71" s="7" t="s">
        <v>226</v>
      </c>
      <c r="C71" s="7" t="s">
        <v>86</v>
      </c>
      <c r="D71" s="6">
        <v>15701</v>
      </c>
      <c r="E71" s="6" t="s">
        <v>227</v>
      </c>
      <c r="F71" s="6">
        <v>82864</v>
      </c>
      <c r="G71" s="8"/>
      <c r="H71" s="7" t="s">
        <v>70</v>
      </c>
      <c r="I71" s="7"/>
      <c r="J71" s="6" t="s">
        <v>75</v>
      </c>
      <c r="K71" s="9" t="s">
        <v>76</v>
      </c>
      <c r="L71" s="9" t="s">
        <v>218</v>
      </c>
      <c r="M71" s="8"/>
      <c r="N71" s="12"/>
      <c r="O71" s="12"/>
      <c r="P71" s="9" t="s">
        <v>49</v>
      </c>
      <c r="Q71" s="9" t="s">
        <v>49</v>
      </c>
      <c r="R71" s="6">
        <v>9.0999999999999998E-2</v>
      </c>
      <c r="S71" s="6">
        <v>1.7</v>
      </c>
      <c r="T71" s="6">
        <v>3.4</v>
      </c>
      <c r="U71" s="6">
        <v>1</v>
      </c>
      <c r="V71" s="9" t="s">
        <v>228</v>
      </c>
      <c r="W71" s="9" t="s">
        <v>49</v>
      </c>
      <c r="X71" s="8"/>
      <c r="Y71" s="8"/>
      <c r="Z71" s="8"/>
      <c r="AA71" s="6">
        <v>0.95</v>
      </c>
      <c r="AB71" s="6">
        <v>0.95</v>
      </c>
      <c r="AC71" s="12"/>
      <c r="AD71" s="6">
        <v>0.95</v>
      </c>
      <c r="AE71" s="8"/>
      <c r="AF71" s="6">
        <v>0.47499999999999998</v>
      </c>
      <c r="AG71" s="6">
        <v>0.47499999999999998</v>
      </c>
      <c r="AH71" s="7" t="s">
        <v>79</v>
      </c>
      <c r="AI71" s="6" t="s">
        <v>49</v>
      </c>
      <c r="AJ71" s="6" t="s">
        <v>49</v>
      </c>
      <c r="AK71" s="6" t="s">
        <v>49</v>
      </c>
      <c r="AL71" s="9" t="s">
        <v>49</v>
      </c>
      <c r="AM71" s="9" t="s">
        <v>92</v>
      </c>
      <c r="AN71" s="6" t="s">
        <v>49</v>
      </c>
      <c r="AO71" s="9" t="s">
        <v>92</v>
      </c>
      <c r="AP71" s="11">
        <v>0</v>
      </c>
      <c r="AQ71" s="11">
        <v>0</v>
      </c>
      <c r="AR71" s="11">
        <v>0</v>
      </c>
      <c r="AS71" s="11">
        <v>0</v>
      </c>
      <c r="AT71" s="11">
        <v>712.49999000000003</v>
      </c>
      <c r="AU71" s="11">
        <v>0</v>
      </c>
      <c r="AV71" s="11" t="s">
        <v>57</v>
      </c>
    </row>
    <row r="72" spans="1:49" ht="14.5" hidden="1">
      <c r="A72" s="6">
        <v>71</v>
      </c>
      <c r="B72" s="7" t="s">
        <v>229</v>
      </c>
      <c r="C72" s="7" t="s">
        <v>49</v>
      </c>
      <c r="D72" s="6">
        <v>15560</v>
      </c>
      <c r="E72" s="6" t="s">
        <v>49</v>
      </c>
      <c r="F72" s="8"/>
      <c r="G72" s="8"/>
      <c r="H72" s="7" t="s">
        <v>49</v>
      </c>
      <c r="I72" s="7"/>
      <c r="J72" s="6" t="s">
        <v>49</v>
      </c>
      <c r="K72" s="9" t="s">
        <v>49</v>
      </c>
      <c r="L72" s="9" t="s">
        <v>49</v>
      </c>
      <c r="M72" s="8"/>
      <c r="N72" s="10">
        <v>43570</v>
      </c>
      <c r="O72" s="10">
        <v>44012</v>
      </c>
      <c r="P72" s="9" t="s">
        <v>49</v>
      </c>
      <c r="Q72" s="9" t="s">
        <v>49</v>
      </c>
      <c r="R72" s="8"/>
      <c r="S72" s="8"/>
      <c r="T72" s="8"/>
      <c r="U72" s="8"/>
      <c r="V72" s="9" t="s">
        <v>49</v>
      </c>
      <c r="W72" s="9" t="s">
        <v>49</v>
      </c>
      <c r="X72" s="8"/>
      <c r="Y72" s="8"/>
      <c r="Z72" s="8"/>
      <c r="AA72" s="8"/>
      <c r="AB72" s="8"/>
      <c r="AC72" s="8"/>
      <c r="AD72" s="8"/>
      <c r="AE72" s="8"/>
      <c r="AF72" s="8"/>
      <c r="AG72" s="8"/>
      <c r="AH72" s="7" t="s">
        <v>51</v>
      </c>
      <c r="AI72" s="6" t="s">
        <v>71</v>
      </c>
      <c r="AJ72" s="6" t="s">
        <v>49</v>
      </c>
      <c r="AK72" s="6" t="s">
        <v>49</v>
      </c>
      <c r="AL72" s="9" t="s">
        <v>230</v>
      </c>
      <c r="AM72" s="9" t="s">
        <v>49</v>
      </c>
      <c r="AN72" s="6" t="s">
        <v>96</v>
      </c>
      <c r="AO72" s="9" t="s">
        <v>49</v>
      </c>
      <c r="AP72" s="11">
        <v>7248.8885899999996</v>
      </c>
      <c r="AQ72" s="11">
        <v>0</v>
      </c>
      <c r="AR72" s="11">
        <v>0</v>
      </c>
      <c r="AS72" s="11">
        <v>41681.266040000002</v>
      </c>
      <c r="AT72" s="11">
        <v>0</v>
      </c>
      <c r="AU72" s="11">
        <v>0</v>
      </c>
      <c r="AV72" s="11">
        <v>0</v>
      </c>
    </row>
    <row r="73" spans="1:49" ht="14.5">
      <c r="A73" s="6">
        <v>72</v>
      </c>
      <c r="B73" s="7" t="s">
        <v>231</v>
      </c>
      <c r="C73" s="7" t="s">
        <v>81</v>
      </c>
      <c r="D73" s="6">
        <v>15560</v>
      </c>
      <c r="E73" s="6" t="s">
        <v>232</v>
      </c>
      <c r="F73" s="6">
        <v>85794</v>
      </c>
      <c r="G73" s="8"/>
      <c r="H73" s="7" t="s">
        <v>70</v>
      </c>
      <c r="I73" s="7"/>
      <c r="J73" s="6" t="s">
        <v>75</v>
      </c>
      <c r="K73" s="9" t="s">
        <v>76</v>
      </c>
      <c r="L73" s="9" t="s">
        <v>73</v>
      </c>
      <c r="M73" s="17">
        <v>348</v>
      </c>
      <c r="N73" s="10">
        <v>43570</v>
      </c>
      <c r="O73" s="10">
        <v>44012</v>
      </c>
      <c r="P73" s="9" t="s">
        <v>231</v>
      </c>
      <c r="Q73" s="9" t="s">
        <v>233</v>
      </c>
      <c r="R73" s="6">
        <v>8</v>
      </c>
      <c r="S73" s="6">
        <v>2.8</v>
      </c>
      <c r="T73" s="6">
        <v>4.9000000000000004</v>
      </c>
      <c r="U73" s="6">
        <v>0.4</v>
      </c>
      <c r="V73" s="9" t="s">
        <v>234</v>
      </c>
      <c r="W73" s="9" t="s">
        <v>108</v>
      </c>
      <c r="X73" s="6">
        <v>3.2000000000000001E-2</v>
      </c>
      <c r="Y73" s="8"/>
      <c r="Z73" s="6">
        <v>0.316</v>
      </c>
      <c r="AA73" s="8"/>
      <c r="AB73" s="6">
        <v>0.34799999999999998</v>
      </c>
      <c r="AC73" s="8"/>
      <c r="AD73" s="6">
        <v>0.34799999999999998</v>
      </c>
      <c r="AE73" s="6">
        <v>0.27800000000000002</v>
      </c>
      <c r="AF73" s="8"/>
      <c r="AG73" s="6">
        <v>0.27800000000000002</v>
      </c>
      <c r="AH73" s="7" t="s">
        <v>51</v>
      </c>
      <c r="AI73" s="6" t="s">
        <v>49</v>
      </c>
      <c r="AJ73" s="6" t="s">
        <v>49</v>
      </c>
      <c r="AK73" s="6" t="s">
        <v>49</v>
      </c>
      <c r="AL73" s="9" t="s">
        <v>49</v>
      </c>
      <c r="AM73" s="9" t="s">
        <v>230</v>
      </c>
      <c r="AN73" s="6" t="s">
        <v>73</v>
      </c>
      <c r="AO73" s="9" t="s">
        <v>201</v>
      </c>
      <c r="AP73" s="11">
        <v>114.16815</v>
      </c>
      <c r="AQ73" s="11">
        <v>176267.87</v>
      </c>
      <c r="AR73" s="11">
        <v>176267.86250000002</v>
      </c>
      <c r="AS73" s="11">
        <v>468.07249999999999</v>
      </c>
      <c r="AT73" s="11">
        <v>339.26787000000002</v>
      </c>
      <c r="AU73" s="11">
        <v>0</v>
      </c>
      <c r="AV73" s="11" t="s">
        <v>51</v>
      </c>
    </row>
    <row r="74" spans="1:49" ht="14.5" hidden="1">
      <c r="A74" s="6">
        <v>73</v>
      </c>
      <c r="B74" s="7" t="s">
        <v>235</v>
      </c>
      <c r="C74" s="7" t="s">
        <v>49</v>
      </c>
      <c r="D74" s="6">
        <v>12486</v>
      </c>
      <c r="E74" s="6" t="s">
        <v>49</v>
      </c>
      <c r="F74" s="8"/>
      <c r="G74" s="8"/>
      <c r="H74" s="7" t="s">
        <v>49</v>
      </c>
      <c r="I74" s="7"/>
      <c r="J74" s="6" t="s">
        <v>49</v>
      </c>
      <c r="K74" s="9" t="s">
        <v>49</v>
      </c>
      <c r="L74" s="9" t="s">
        <v>49</v>
      </c>
      <c r="M74" s="8"/>
      <c r="N74" s="10">
        <v>42928</v>
      </c>
      <c r="O74" s="10">
        <v>43858</v>
      </c>
      <c r="P74" s="9" t="s">
        <v>49</v>
      </c>
      <c r="Q74" s="9" t="s">
        <v>49</v>
      </c>
      <c r="R74" s="8"/>
      <c r="S74" s="8"/>
      <c r="T74" s="8"/>
      <c r="U74" s="8"/>
      <c r="V74" s="9" t="s">
        <v>49</v>
      </c>
      <c r="W74" s="9" t="s">
        <v>49</v>
      </c>
      <c r="X74" s="8"/>
      <c r="Y74" s="8"/>
      <c r="Z74" s="8"/>
      <c r="AA74" s="8"/>
      <c r="AB74" s="8"/>
      <c r="AC74" s="8"/>
      <c r="AD74" s="8"/>
      <c r="AE74" s="8"/>
      <c r="AF74" s="8"/>
      <c r="AG74" s="8"/>
      <c r="AH74" s="7" t="s">
        <v>51</v>
      </c>
      <c r="AI74" s="6" t="s">
        <v>71</v>
      </c>
      <c r="AJ74" s="6" t="s">
        <v>49</v>
      </c>
      <c r="AK74" s="6" t="s">
        <v>118</v>
      </c>
      <c r="AL74" s="9" t="s">
        <v>236</v>
      </c>
      <c r="AM74" s="9" t="s">
        <v>49</v>
      </c>
      <c r="AN74" s="6" t="s">
        <v>210</v>
      </c>
      <c r="AO74" s="9" t="s">
        <v>49</v>
      </c>
      <c r="AP74" s="11">
        <v>7248.8885899999996</v>
      </c>
      <c r="AQ74" s="11">
        <v>0</v>
      </c>
      <c r="AR74" s="11">
        <v>0</v>
      </c>
      <c r="AS74" s="11">
        <v>41681.266040000002</v>
      </c>
      <c r="AT74" s="11">
        <v>0</v>
      </c>
      <c r="AU74" s="11">
        <v>0</v>
      </c>
      <c r="AV74" s="11">
        <v>0</v>
      </c>
    </row>
    <row r="75" spans="1:49" ht="14.5" hidden="1">
      <c r="A75" s="6">
        <v>74</v>
      </c>
      <c r="B75" s="7" t="s">
        <v>235</v>
      </c>
      <c r="C75" s="7" t="s">
        <v>49</v>
      </c>
      <c r="D75" s="6">
        <v>12486</v>
      </c>
      <c r="E75" s="6" t="s">
        <v>237</v>
      </c>
      <c r="F75" s="8"/>
      <c r="G75" s="8"/>
      <c r="H75" s="7" t="s">
        <v>49</v>
      </c>
      <c r="I75" s="7"/>
      <c r="J75" s="6" t="s">
        <v>49</v>
      </c>
      <c r="K75" s="9" t="s">
        <v>49</v>
      </c>
      <c r="L75" s="9" t="s">
        <v>49</v>
      </c>
      <c r="M75" s="8"/>
      <c r="N75" s="10">
        <v>42928</v>
      </c>
      <c r="O75" s="10">
        <v>43858</v>
      </c>
      <c r="P75" s="9" t="s">
        <v>49</v>
      </c>
      <c r="Q75" s="9" t="s">
        <v>49</v>
      </c>
      <c r="R75" s="8"/>
      <c r="S75" s="8"/>
      <c r="T75" s="8"/>
      <c r="U75" s="8"/>
      <c r="V75" s="9" t="s">
        <v>49</v>
      </c>
      <c r="W75" s="9" t="s">
        <v>49</v>
      </c>
      <c r="X75" s="8"/>
      <c r="Y75" s="8"/>
      <c r="Z75" s="8"/>
      <c r="AA75" s="8"/>
      <c r="AB75" s="8"/>
      <c r="AC75" s="8"/>
      <c r="AD75" s="8"/>
      <c r="AE75" s="8"/>
      <c r="AF75" s="8"/>
      <c r="AG75" s="8"/>
      <c r="AH75" s="7" t="s">
        <v>51</v>
      </c>
      <c r="AI75" s="6" t="s">
        <v>49</v>
      </c>
      <c r="AJ75" s="6" t="s">
        <v>49</v>
      </c>
      <c r="AK75" s="6" t="s">
        <v>49</v>
      </c>
      <c r="AL75" s="9" t="s">
        <v>49</v>
      </c>
      <c r="AM75" s="9" t="s">
        <v>236</v>
      </c>
      <c r="AN75" s="6" t="s">
        <v>49</v>
      </c>
      <c r="AO75" s="9" t="s">
        <v>162</v>
      </c>
      <c r="AP75" s="11">
        <v>0</v>
      </c>
      <c r="AQ75" s="11">
        <v>0</v>
      </c>
      <c r="AR75" s="11">
        <v>0</v>
      </c>
      <c r="AS75" s="11">
        <v>0</v>
      </c>
      <c r="AT75" s="11">
        <v>0</v>
      </c>
      <c r="AU75" s="11">
        <v>0</v>
      </c>
      <c r="AV75" s="11" t="s">
        <v>51</v>
      </c>
    </row>
    <row r="76" spans="1:49" ht="14.5" hidden="1">
      <c r="A76" s="6">
        <v>75</v>
      </c>
      <c r="B76" s="7" t="s">
        <v>238</v>
      </c>
      <c r="C76" s="7" t="s">
        <v>49</v>
      </c>
      <c r="D76" s="6">
        <v>15644</v>
      </c>
      <c r="E76" s="6" t="s">
        <v>49</v>
      </c>
      <c r="F76" s="8"/>
      <c r="G76" s="8"/>
      <c r="H76" s="7" t="s">
        <v>49</v>
      </c>
      <c r="I76" s="7"/>
      <c r="J76" s="6" t="s">
        <v>49</v>
      </c>
      <c r="K76" s="9" t="s">
        <v>49</v>
      </c>
      <c r="L76" s="9" t="s">
        <v>49</v>
      </c>
      <c r="M76" s="8"/>
      <c r="N76" s="12"/>
      <c r="O76" s="12"/>
      <c r="P76" s="9" t="s">
        <v>49</v>
      </c>
      <c r="Q76" s="9" t="s">
        <v>49</v>
      </c>
      <c r="R76" s="8"/>
      <c r="S76" s="8"/>
      <c r="T76" s="8"/>
      <c r="U76" s="8"/>
      <c r="V76" s="9" t="s">
        <v>49</v>
      </c>
      <c r="W76" s="9" t="s">
        <v>49</v>
      </c>
      <c r="X76" s="8"/>
      <c r="Y76" s="8"/>
      <c r="Z76" s="8"/>
      <c r="AA76" s="8"/>
      <c r="AB76" s="8"/>
      <c r="AC76" s="8"/>
      <c r="AD76" s="8"/>
      <c r="AE76" s="8"/>
      <c r="AF76" s="8"/>
      <c r="AG76" s="8"/>
      <c r="AH76" s="7" t="s">
        <v>79</v>
      </c>
      <c r="AI76" s="6" t="s">
        <v>110</v>
      </c>
      <c r="AJ76" s="6" t="s">
        <v>49</v>
      </c>
      <c r="AK76" s="6" t="s">
        <v>49</v>
      </c>
      <c r="AL76" s="9" t="s">
        <v>52</v>
      </c>
      <c r="AM76" s="9" t="s">
        <v>49</v>
      </c>
      <c r="AN76" s="6" t="s">
        <v>82</v>
      </c>
      <c r="AO76" s="9" t="s">
        <v>49</v>
      </c>
      <c r="AP76" s="11">
        <v>7248.8885899999996</v>
      </c>
      <c r="AQ76" s="11">
        <v>0</v>
      </c>
      <c r="AR76" s="11">
        <v>0</v>
      </c>
      <c r="AS76" s="11">
        <v>41681.266040000002</v>
      </c>
      <c r="AT76" s="11">
        <v>0</v>
      </c>
      <c r="AU76" s="11">
        <v>0</v>
      </c>
      <c r="AV76" s="11">
        <v>0</v>
      </c>
    </row>
    <row r="77" spans="1:49" ht="14.5">
      <c r="A77" s="6">
        <v>76</v>
      </c>
      <c r="B77" s="7" t="s">
        <v>239</v>
      </c>
      <c r="C77" s="7" t="s">
        <v>81</v>
      </c>
      <c r="D77" s="6">
        <v>15464</v>
      </c>
      <c r="E77" s="6"/>
      <c r="F77" s="6"/>
      <c r="G77" s="8"/>
      <c r="H77" s="7" t="s">
        <v>49</v>
      </c>
      <c r="I77" s="7"/>
      <c r="J77" s="6" t="s">
        <v>75</v>
      </c>
      <c r="K77" s="9" t="s">
        <v>89</v>
      </c>
      <c r="L77" s="9" t="s">
        <v>73</v>
      </c>
      <c r="M77" s="6"/>
      <c r="N77" s="10">
        <v>43467</v>
      </c>
      <c r="O77" s="10">
        <v>44196</v>
      </c>
      <c r="P77" s="9" t="s">
        <v>240</v>
      </c>
      <c r="Q77" s="9" t="s">
        <v>241</v>
      </c>
      <c r="R77" s="8"/>
      <c r="S77" s="8"/>
      <c r="T77" s="8"/>
      <c r="U77" s="8"/>
      <c r="V77" s="9" t="s">
        <v>49</v>
      </c>
      <c r="W77" s="9" t="s">
        <v>49</v>
      </c>
      <c r="X77" s="8"/>
      <c r="Y77" s="8"/>
      <c r="Z77" s="6">
        <v>0.3</v>
      </c>
      <c r="AA77" s="12"/>
      <c r="AB77" s="6">
        <v>0.3</v>
      </c>
      <c r="AC77" s="8"/>
      <c r="AD77" s="6">
        <v>0.3</v>
      </c>
      <c r="AE77" s="6">
        <v>0.24</v>
      </c>
      <c r="AF77" s="12"/>
      <c r="AG77" s="6">
        <v>0.24</v>
      </c>
      <c r="AH77" s="7" t="s">
        <v>51</v>
      </c>
      <c r="AI77" s="6" t="s">
        <v>49</v>
      </c>
      <c r="AJ77" s="6" t="s">
        <v>49</v>
      </c>
      <c r="AK77" s="6" t="s">
        <v>49</v>
      </c>
      <c r="AL77" s="9" t="s">
        <v>49</v>
      </c>
      <c r="AM77" s="9" t="s">
        <v>213</v>
      </c>
      <c r="AN77" s="6" t="s">
        <v>49</v>
      </c>
      <c r="AO77" s="9" t="s">
        <v>242</v>
      </c>
      <c r="AP77" s="11">
        <v>0</v>
      </c>
      <c r="AQ77" s="11">
        <v>0</v>
      </c>
      <c r="AR77" s="11">
        <v>0</v>
      </c>
      <c r="AS77" s="11">
        <v>0</v>
      </c>
      <c r="AT77" s="11">
        <v>0</v>
      </c>
      <c r="AU77" s="11">
        <v>0</v>
      </c>
      <c r="AV77" s="11">
        <v>0</v>
      </c>
    </row>
    <row r="78" spans="1:49" ht="14.5" hidden="1">
      <c r="A78" s="6">
        <v>77</v>
      </c>
      <c r="B78" s="7" t="s">
        <v>243</v>
      </c>
      <c r="C78" s="7" t="s">
        <v>81</v>
      </c>
      <c r="D78" s="6">
        <v>15464</v>
      </c>
      <c r="E78" s="19" t="s">
        <v>244</v>
      </c>
      <c r="F78" s="6">
        <v>83387</v>
      </c>
      <c r="G78" s="8"/>
      <c r="H78" s="7" t="s">
        <v>245</v>
      </c>
      <c r="I78" s="7"/>
      <c r="J78" s="6" t="s">
        <v>49</v>
      </c>
      <c r="K78" s="9" t="s">
        <v>49</v>
      </c>
      <c r="L78" s="9" t="s">
        <v>49</v>
      </c>
      <c r="M78" s="17">
        <v>300</v>
      </c>
      <c r="N78" s="10">
        <v>43467</v>
      </c>
      <c r="O78" s="10">
        <v>44196</v>
      </c>
      <c r="P78" s="9" t="s">
        <v>49</v>
      </c>
      <c r="Q78" s="9" t="s">
        <v>49</v>
      </c>
      <c r="R78" s="8"/>
      <c r="S78" s="8"/>
      <c r="T78" s="8"/>
      <c r="U78" s="8"/>
      <c r="V78" s="9" t="s">
        <v>49</v>
      </c>
      <c r="W78" s="9" t="s">
        <v>49</v>
      </c>
      <c r="X78" s="8"/>
      <c r="Y78" s="8"/>
      <c r="Z78" s="8"/>
      <c r="AA78" s="8"/>
      <c r="AB78" s="8"/>
      <c r="AC78" s="8"/>
      <c r="AD78" s="8"/>
      <c r="AE78" s="8"/>
      <c r="AF78" s="8"/>
      <c r="AG78" s="8"/>
      <c r="AH78" s="7" t="s">
        <v>57</v>
      </c>
      <c r="AI78" s="6" t="s">
        <v>71</v>
      </c>
      <c r="AJ78" s="6" t="s">
        <v>49</v>
      </c>
      <c r="AK78" s="6" t="s">
        <v>49</v>
      </c>
      <c r="AL78" s="9" t="s">
        <v>213</v>
      </c>
      <c r="AM78" s="9" t="s">
        <v>49</v>
      </c>
      <c r="AN78" s="6" t="s">
        <v>85</v>
      </c>
      <c r="AO78" s="9" t="s">
        <v>49</v>
      </c>
      <c r="AP78" s="11">
        <v>563.37393000000009</v>
      </c>
      <c r="AQ78" s="11">
        <v>739891.79</v>
      </c>
      <c r="AR78" s="11">
        <v>739891.79208333325</v>
      </c>
      <c r="AS78" s="11">
        <v>2046.8381200000001</v>
      </c>
      <c r="AT78" s="11">
        <v>959.40879000000007</v>
      </c>
      <c r="AU78" s="11">
        <v>783</v>
      </c>
      <c r="AV78" s="11" t="s">
        <v>51</v>
      </c>
      <c r="AW78" t="s">
        <v>93</v>
      </c>
    </row>
    <row r="79" spans="1:49" ht="14.5" hidden="1">
      <c r="A79" s="6">
        <v>78</v>
      </c>
      <c r="B79" s="7" t="s">
        <v>246</v>
      </c>
      <c r="C79" s="7" t="s">
        <v>49</v>
      </c>
      <c r="D79" s="6">
        <v>15644</v>
      </c>
      <c r="E79" s="6" t="s">
        <v>49</v>
      </c>
      <c r="F79" s="8"/>
      <c r="G79" s="8"/>
      <c r="H79" s="7" t="s">
        <v>49</v>
      </c>
      <c r="I79" s="7"/>
      <c r="J79" s="6" t="s">
        <v>49</v>
      </c>
      <c r="K79" s="9" t="s">
        <v>49</v>
      </c>
      <c r="L79" s="9" t="s">
        <v>49</v>
      </c>
      <c r="M79" s="8"/>
      <c r="N79" s="12"/>
      <c r="O79" s="12"/>
      <c r="P79" s="9" t="s">
        <v>49</v>
      </c>
      <c r="Q79" s="9" t="s">
        <v>49</v>
      </c>
      <c r="R79" s="8"/>
      <c r="S79" s="8"/>
      <c r="T79" s="8"/>
      <c r="U79" s="8"/>
      <c r="V79" s="9" t="s">
        <v>49</v>
      </c>
      <c r="W79" s="9" t="s">
        <v>49</v>
      </c>
      <c r="X79" s="8"/>
      <c r="Y79" s="8"/>
      <c r="Z79" s="8"/>
      <c r="AA79" s="12"/>
      <c r="AB79" s="12"/>
      <c r="AC79" s="8"/>
      <c r="AD79" s="12"/>
      <c r="AE79" s="8"/>
      <c r="AF79" s="12"/>
      <c r="AG79" s="12"/>
      <c r="AH79" s="7" t="s">
        <v>79</v>
      </c>
      <c r="AI79" s="6" t="s">
        <v>110</v>
      </c>
      <c r="AJ79" s="6" t="s">
        <v>49</v>
      </c>
      <c r="AK79" s="6" t="s">
        <v>49</v>
      </c>
      <c r="AL79" s="9" t="s">
        <v>111</v>
      </c>
      <c r="AM79" s="9" t="s">
        <v>49</v>
      </c>
      <c r="AN79" s="6" t="s">
        <v>82</v>
      </c>
      <c r="AO79" s="9" t="s">
        <v>49</v>
      </c>
      <c r="AP79" s="11">
        <v>7248.8885899999996</v>
      </c>
      <c r="AQ79" s="11">
        <v>0</v>
      </c>
      <c r="AR79" s="11">
        <v>0</v>
      </c>
      <c r="AS79" s="11">
        <v>41681.266040000002</v>
      </c>
      <c r="AT79" s="11">
        <v>0</v>
      </c>
      <c r="AU79" s="11">
        <v>0</v>
      </c>
      <c r="AV79" s="11">
        <v>0</v>
      </c>
    </row>
    <row r="80" spans="1:49" ht="14.5" hidden="1">
      <c r="A80" s="6">
        <v>79</v>
      </c>
      <c r="B80" s="7" t="s">
        <v>247</v>
      </c>
      <c r="C80" s="7" t="s">
        <v>49</v>
      </c>
      <c r="D80" s="6">
        <v>15441</v>
      </c>
      <c r="E80" s="6" t="s">
        <v>248</v>
      </c>
      <c r="F80" s="8"/>
      <c r="G80" s="8"/>
      <c r="H80" s="7" t="s">
        <v>49</v>
      </c>
      <c r="I80" s="7"/>
      <c r="J80" s="6" t="s">
        <v>49</v>
      </c>
      <c r="K80" s="9" t="s">
        <v>49</v>
      </c>
      <c r="L80" s="9" t="s">
        <v>49</v>
      </c>
      <c r="M80" s="8"/>
      <c r="N80" s="12"/>
      <c r="O80" s="12"/>
      <c r="P80" s="9" t="s">
        <v>49</v>
      </c>
      <c r="Q80" s="9" t="s">
        <v>49</v>
      </c>
      <c r="R80" s="8"/>
      <c r="S80" s="8"/>
      <c r="T80" s="8"/>
      <c r="U80" s="8"/>
      <c r="V80" s="9" t="s">
        <v>49</v>
      </c>
      <c r="W80" s="9" t="s">
        <v>49</v>
      </c>
      <c r="X80" s="8"/>
      <c r="Y80" s="8"/>
      <c r="Z80" s="8"/>
      <c r="AA80" s="8"/>
      <c r="AB80" s="8"/>
      <c r="AC80" s="8"/>
      <c r="AD80" s="8"/>
      <c r="AE80" s="8"/>
      <c r="AF80" s="8"/>
      <c r="AG80" s="8"/>
      <c r="AH80" s="7" t="s">
        <v>79</v>
      </c>
      <c r="AI80" s="6" t="s">
        <v>49</v>
      </c>
      <c r="AJ80" s="6" t="s">
        <v>49</v>
      </c>
      <c r="AK80" s="6" t="s">
        <v>49</v>
      </c>
      <c r="AL80" s="9" t="s">
        <v>49</v>
      </c>
      <c r="AM80" s="9" t="s">
        <v>249</v>
      </c>
      <c r="AN80" s="6" t="s">
        <v>49</v>
      </c>
      <c r="AO80" s="9" t="s">
        <v>249</v>
      </c>
      <c r="AP80" s="11">
        <v>0</v>
      </c>
      <c r="AQ80" s="11">
        <v>0</v>
      </c>
      <c r="AR80" s="11">
        <v>0</v>
      </c>
      <c r="AS80" s="11">
        <v>0</v>
      </c>
      <c r="AT80" s="11">
        <v>0</v>
      </c>
      <c r="AU80" s="11">
        <v>0</v>
      </c>
      <c r="AV80" s="11" t="s">
        <v>79</v>
      </c>
    </row>
    <row r="81" spans="1:49" ht="14.5" hidden="1">
      <c r="A81" s="6">
        <v>80</v>
      </c>
      <c r="B81" s="7" t="s">
        <v>250</v>
      </c>
      <c r="C81" s="7" t="s">
        <v>49</v>
      </c>
      <c r="D81" s="6">
        <v>15524</v>
      </c>
      <c r="E81" s="6" t="s">
        <v>251</v>
      </c>
      <c r="F81" s="8"/>
      <c r="G81" s="8"/>
      <c r="H81" s="7" t="s">
        <v>49</v>
      </c>
      <c r="I81" s="7"/>
      <c r="J81" s="6" t="s">
        <v>49</v>
      </c>
      <c r="K81" s="9" t="s">
        <v>49</v>
      </c>
      <c r="L81" s="9" t="s">
        <v>49</v>
      </c>
      <c r="M81" s="8"/>
      <c r="N81" s="12"/>
      <c r="O81" s="10">
        <v>44225</v>
      </c>
      <c r="P81" s="9" t="s">
        <v>49</v>
      </c>
      <c r="Q81" s="9" t="s">
        <v>49</v>
      </c>
      <c r="R81" s="12"/>
      <c r="S81" s="12"/>
      <c r="T81" s="12"/>
      <c r="U81" s="12"/>
      <c r="V81" s="9" t="s">
        <v>49</v>
      </c>
      <c r="W81" s="9" t="s">
        <v>49</v>
      </c>
      <c r="X81" s="8"/>
      <c r="Y81" s="12"/>
      <c r="Z81" s="8"/>
      <c r="AA81" s="12"/>
      <c r="AB81" s="12"/>
      <c r="AC81" s="12"/>
      <c r="AD81" s="12"/>
      <c r="AE81" s="8"/>
      <c r="AF81" s="12"/>
      <c r="AG81" s="12"/>
      <c r="AH81" s="7" t="s">
        <v>57</v>
      </c>
      <c r="AI81" s="6" t="s">
        <v>49</v>
      </c>
      <c r="AJ81" s="6" t="s">
        <v>49</v>
      </c>
      <c r="AK81" s="6" t="s">
        <v>49</v>
      </c>
      <c r="AL81" s="9" t="s">
        <v>49</v>
      </c>
      <c r="AM81" s="9" t="s">
        <v>252</v>
      </c>
      <c r="AN81" s="6" t="s">
        <v>49</v>
      </c>
      <c r="AO81" s="9" t="s">
        <v>253</v>
      </c>
      <c r="AP81" s="11">
        <v>0</v>
      </c>
      <c r="AQ81" s="11">
        <v>0</v>
      </c>
      <c r="AR81" s="11">
        <v>0</v>
      </c>
      <c r="AS81" s="11">
        <v>0</v>
      </c>
      <c r="AT81" s="11">
        <v>0</v>
      </c>
      <c r="AU81" s="11">
        <v>0</v>
      </c>
      <c r="AV81" s="11" t="s">
        <v>57</v>
      </c>
    </row>
    <row r="82" spans="1:49" ht="29" hidden="1">
      <c r="A82" s="6">
        <v>81</v>
      </c>
      <c r="B82" s="7" t="s">
        <v>254</v>
      </c>
      <c r="C82" s="7" t="s">
        <v>81</v>
      </c>
      <c r="D82" s="6">
        <v>15390</v>
      </c>
      <c r="E82" s="6" t="s">
        <v>49</v>
      </c>
      <c r="F82" s="8"/>
      <c r="G82" s="8"/>
      <c r="H82" s="7" t="s">
        <v>88</v>
      </c>
      <c r="I82" s="7" t="s">
        <v>255</v>
      </c>
      <c r="J82" s="6" t="s">
        <v>49</v>
      </c>
      <c r="K82" s="9" t="s">
        <v>49</v>
      </c>
      <c r="L82" s="9" t="s">
        <v>49</v>
      </c>
      <c r="M82" s="8"/>
      <c r="N82" s="10">
        <v>43313</v>
      </c>
      <c r="O82" s="10">
        <v>44196</v>
      </c>
      <c r="P82" s="9" t="s">
        <v>49</v>
      </c>
      <c r="Q82" s="9" t="s">
        <v>49</v>
      </c>
      <c r="R82" s="8"/>
      <c r="S82" s="8"/>
      <c r="T82" s="8"/>
      <c r="U82" s="8"/>
      <c r="V82" s="9" t="s">
        <v>49</v>
      </c>
      <c r="W82" s="9" t="s">
        <v>49</v>
      </c>
      <c r="X82" s="8"/>
      <c r="Y82" s="8"/>
      <c r="Z82" s="8"/>
      <c r="AA82" s="8"/>
      <c r="AB82" s="8"/>
      <c r="AC82" s="8"/>
      <c r="AD82" s="8"/>
      <c r="AE82" s="8"/>
      <c r="AF82" s="8"/>
      <c r="AG82" s="8"/>
      <c r="AH82" s="7" t="s">
        <v>51</v>
      </c>
      <c r="AI82" s="6" t="s">
        <v>71</v>
      </c>
      <c r="AJ82" s="6" t="s">
        <v>49</v>
      </c>
      <c r="AK82" s="6" t="s">
        <v>49</v>
      </c>
      <c r="AL82" s="9" t="s">
        <v>256</v>
      </c>
      <c r="AM82" s="9" t="s">
        <v>49</v>
      </c>
      <c r="AN82" s="6" t="s">
        <v>73</v>
      </c>
      <c r="AO82" s="9" t="s">
        <v>49</v>
      </c>
      <c r="AP82" s="11">
        <v>7248.8885899999996</v>
      </c>
      <c r="AQ82" s="11">
        <v>0</v>
      </c>
      <c r="AR82" s="11">
        <v>0</v>
      </c>
      <c r="AS82" s="11">
        <v>41681.266040000002</v>
      </c>
      <c r="AT82" s="11">
        <v>0</v>
      </c>
      <c r="AU82" s="11">
        <v>0</v>
      </c>
      <c r="AV82" s="11">
        <v>0</v>
      </c>
    </row>
    <row r="83" spans="1:49" ht="29" hidden="1">
      <c r="A83" s="6">
        <v>82</v>
      </c>
      <c r="B83" s="7" t="s">
        <v>254</v>
      </c>
      <c r="C83" s="7" t="s">
        <v>81</v>
      </c>
      <c r="D83" s="6">
        <v>15390</v>
      </c>
      <c r="E83" s="6" t="s">
        <v>257</v>
      </c>
      <c r="F83" s="6">
        <v>83397</v>
      </c>
      <c r="G83" s="8"/>
      <c r="H83" s="7" t="s">
        <v>88</v>
      </c>
      <c r="I83" s="7" t="s">
        <v>255</v>
      </c>
      <c r="J83" s="6" t="s">
        <v>105</v>
      </c>
      <c r="K83" s="9" t="s">
        <v>76</v>
      </c>
      <c r="L83" s="9" t="s">
        <v>73</v>
      </c>
      <c r="M83" s="17">
        <v>8811</v>
      </c>
      <c r="N83" s="10">
        <v>43313</v>
      </c>
      <c r="O83" s="10">
        <v>44196</v>
      </c>
      <c r="P83" s="9" t="s">
        <v>254</v>
      </c>
      <c r="Q83" s="9" t="s">
        <v>258</v>
      </c>
      <c r="R83" s="6">
        <v>8.3800000000000008</v>
      </c>
      <c r="S83" s="6">
        <v>677.4</v>
      </c>
      <c r="T83" s="6">
        <v>5140.5</v>
      </c>
      <c r="U83" s="6">
        <v>141</v>
      </c>
      <c r="V83" s="9" t="s">
        <v>259</v>
      </c>
      <c r="W83" s="9" t="s">
        <v>49</v>
      </c>
      <c r="X83" s="6">
        <v>5.0359999999999996</v>
      </c>
      <c r="Y83" s="8"/>
      <c r="Z83" s="6">
        <v>3.7749999999999999</v>
      </c>
      <c r="AA83" s="8"/>
      <c r="AB83" s="6">
        <v>8.8109999999999999</v>
      </c>
      <c r="AC83" s="6">
        <v>16</v>
      </c>
      <c r="AD83" s="6">
        <v>24.811</v>
      </c>
      <c r="AE83" s="6">
        <v>7.0490000000000004</v>
      </c>
      <c r="AF83" s="8"/>
      <c r="AG83" s="6">
        <v>7.0490000000000004</v>
      </c>
      <c r="AH83" s="7" t="s">
        <v>51</v>
      </c>
      <c r="AI83" s="6" t="s">
        <v>49</v>
      </c>
      <c r="AJ83" s="6" t="s">
        <v>49</v>
      </c>
      <c r="AK83" s="6" t="s">
        <v>49</v>
      </c>
      <c r="AL83" s="9" t="s">
        <v>49</v>
      </c>
      <c r="AM83" s="9" t="s">
        <v>256</v>
      </c>
      <c r="AN83" s="6" t="s">
        <v>73</v>
      </c>
      <c r="AO83" s="9" t="s">
        <v>242</v>
      </c>
      <c r="AP83" s="11">
        <v>4232.2445399999997</v>
      </c>
      <c r="AQ83" s="11">
        <v>6340689.9199999999</v>
      </c>
      <c r="AR83" s="11">
        <v>6340689.925416667</v>
      </c>
      <c r="AS83" s="11">
        <v>10781.221589999999</v>
      </c>
      <c r="AT83" s="11">
        <v>12948.939920000001</v>
      </c>
      <c r="AU83" s="11"/>
      <c r="AV83" s="11" t="s">
        <v>51</v>
      </c>
    </row>
    <row r="84" spans="1:49" ht="14.5" hidden="1">
      <c r="A84" s="6">
        <v>83</v>
      </c>
      <c r="B84" s="7" t="s">
        <v>260</v>
      </c>
      <c r="C84" s="7" t="s">
        <v>49</v>
      </c>
      <c r="D84" s="6">
        <v>15448</v>
      </c>
      <c r="E84" s="6" t="s">
        <v>49</v>
      </c>
      <c r="F84" s="8"/>
      <c r="G84" s="8"/>
      <c r="H84" s="7" t="s">
        <v>49</v>
      </c>
      <c r="I84" s="7"/>
      <c r="J84" s="6" t="s">
        <v>49</v>
      </c>
      <c r="K84" s="9" t="s">
        <v>49</v>
      </c>
      <c r="L84" s="9" t="s">
        <v>49</v>
      </c>
      <c r="M84" s="8"/>
      <c r="N84" s="12"/>
      <c r="O84" s="10">
        <v>44561</v>
      </c>
      <c r="P84" s="9" t="s">
        <v>49</v>
      </c>
      <c r="Q84" s="9" t="s">
        <v>49</v>
      </c>
      <c r="R84" s="8"/>
      <c r="S84" s="8"/>
      <c r="T84" s="8"/>
      <c r="U84" s="8"/>
      <c r="V84" s="9" t="s">
        <v>49</v>
      </c>
      <c r="W84" s="9" t="s">
        <v>49</v>
      </c>
      <c r="X84" s="8"/>
      <c r="Y84" s="8"/>
      <c r="Z84" s="8"/>
      <c r="AA84" s="8"/>
      <c r="AB84" s="8"/>
      <c r="AC84" s="8"/>
      <c r="AD84" s="8"/>
      <c r="AE84" s="8"/>
      <c r="AF84" s="8"/>
      <c r="AG84" s="8"/>
      <c r="AH84" s="7" t="s">
        <v>57</v>
      </c>
      <c r="AI84" s="6" t="s">
        <v>71</v>
      </c>
      <c r="AJ84" s="6" t="s">
        <v>49</v>
      </c>
      <c r="AK84" s="6" t="s">
        <v>49</v>
      </c>
      <c r="AL84" s="9" t="s">
        <v>213</v>
      </c>
      <c r="AM84" s="9" t="s">
        <v>49</v>
      </c>
      <c r="AN84" s="6" t="s">
        <v>85</v>
      </c>
      <c r="AO84" s="9" t="s">
        <v>49</v>
      </c>
      <c r="AP84" s="11">
        <v>7248.8885899999996</v>
      </c>
      <c r="AQ84" s="11">
        <v>0</v>
      </c>
      <c r="AR84" s="11">
        <v>0</v>
      </c>
      <c r="AS84" s="11">
        <v>41681.266040000002</v>
      </c>
      <c r="AT84" s="11">
        <v>0</v>
      </c>
      <c r="AU84" s="11">
        <v>0</v>
      </c>
      <c r="AV84" s="11">
        <v>0</v>
      </c>
    </row>
    <row r="85" spans="1:49" ht="14.5" hidden="1">
      <c r="A85" s="6">
        <v>84</v>
      </c>
      <c r="B85" s="7" t="s">
        <v>260</v>
      </c>
      <c r="C85" s="7" t="s">
        <v>49</v>
      </c>
      <c r="D85" s="6">
        <v>15448</v>
      </c>
      <c r="E85" s="6" t="s">
        <v>261</v>
      </c>
      <c r="F85" s="8"/>
      <c r="G85" s="8"/>
      <c r="H85" s="7" t="s">
        <v>49</v>
      </c>
      <c r="I85" s="7"/>
      <c r="J85" s="6" t="s">
        <v>49</v>
      </c>
      <c r="K85" s="9" t="s">
        <v>49</v>
      </c>
      <c r="L85" s="9" t="s">
        <v>49</v>
      </c>
      <c r="M85" s="8"/>
      <c r="N85" s="12"/>
      <c r="O85" s="10">
        <v>44561</v>
      </c>
      <c r="P85" s="9" t="s">
        <v>49</v>
      </c>
      <c r="Q85" s="9" t="s">
        <v>49</v>
      </c>
      <c r="R85" s="8"/>
      <c r="S85" s="8"/>
      <c r="T85" s="8"/>
      <c r="U85" s="8"/>
      <c r="V85" s="9" t="s">
        <v>49</v>
      </c>
      <c r="W85" s="9" t="s">
        <v>49</v>
      </c>
      <c r="X85" s="8"/>
      <c r="Y85" s="8"/>
      <c r="Z85" s="8"/>
      <c r="AA85" s="8"/>
      <c r="AB85" s="8"/>
      <c r="AC85" s="8"/>
      <c r="AD85" s="8"/>
      <c r="AE85" s="8"/>
      <c r="AF85" s="8"/>
      <c r="AG85" s="8"/>
      <c r="AH85" s="7" t="s">
        <v>57</v>
      </c>
      <c r="AI85" s="6" t="s">
        <v>49</v>
      </c>
      <c r="AJ85" s="6" t="s">
        <v>49</v>
      </c>
      <c r="AK85" s="6" t="s">
        <v>49</v>
      </c>
      <c r="AL85" s="9" t="s">
        <v>49</v>
      </c>
      <c r="AM85" s="9" t="s">
        <v>262</v>
      </c>
      <c r="AN85" s="6" t="s">
        <v>49</v>
      </c>
      <c r="AO85" s="9" t="s">
        <v>201</v>
      </c>
      <c r="AP85" s="11">
        <v>0</v>
      </c>
      <c r="AQ85" s="11">
        <v>0</v>
      </c>
      <c r="AR85" s="11">
        <v>0</v>
      </c>
      <c r="AS85" s="11">
        <v>0</v>
      </c>
      <c r="AT85" s="11">
        <v>0</v>
      </c>
      <c r="AU85" s="11">
        <v>0</v>
      </c>
      <c r="AV85" s="11" t="s">
        <v>57</v>
      </c>
    </row>
    <row r="86" spans="1:49" ht="14.5" hidden="1">
      <c r="A86" s="6">
        <v>85</v>
      </c>
      <c r="B86" s="7" t="s">
        <v>263</v>
      </c>
      <c r="C86" s="7" t="s">
        <v>49</v>
      </c>
      <c r="D86" s="6">
        <v>15441</v>
      </c>
      <c r="E86" s="6" t="s">
        <v>49</v>
      </c>
      <c r="F86" s="8"/>
      <c r="G86" s="8"/>
      <c r="H86" s="7" t="s">
        <v>49</v>
      </c>
      <c r="I86" s="7"/>
      <c r="J86" s="6" t="s">
        <v>49</v>
      </c>
      <c r="K86" s="9" t="s">
        <v>49</v>
      </c>
      <c r="L86" s="9" t="s">
        <v>49</v>
      </c>
      <c r="M86" s="8"/>
      <c r="N86" s="10">
        <v>43437</v>
      </c>
      <c r="O86" s="12"/>
      <c r="P86" s="9" t="s">
        <v>49</v>
      </c>
      <c r="Q86" s="9" t="s">
        <v>49</v>
      </c>
      <c r="R86" s="8"/>
      <c r="S86" s="8"/>
      <c r="T86" s="8"/>
      <c r="U86" s="8"/>
      <c r="V86" s="9" t="s">
        <v>49</v>
      </c>
      <c r="W86" s="9" t="s">
        <v>49</v>
      </c>
      <c r="X86" s="8"/>
      <c r="Y86" s="8"/>
      <c r="Z86" s="8"/>
      <c r="AA86" s="8"/>
      <c r="AB86" s="8"/>
      <c r="AC86" s="8"/>
      <c r="AD86" s="8"/>
      <c r="AE86" s="8"/>
      <c r="AF86" s="8"/>
      <c r="AG86" s="8"/>
      <c r="AH86" s="7" t="s">
        <v>57</v>
      </c>
      <c r="AI86" s="6" t="s">
        <v>71</v>
      </c>
      <c r="AJ86" s="6" t="s">
        <v>49</v>
      </c>
      <c r="AK86" s="6" t="s">
        <v>49</v>
      </c>
      <c r="AL86" s="9" t="s">
        <v>213</v>
      </c>
      <c r="AM86" s="9" t="s">
        <v>49</v>
      </c>
      <c r="AN86" s="6" t="s">
        <v>85</v>
      </c>
      <c r="AO86" s="9" t="s">
        <v>49</v>
      </c>
      <c r="AP86" s="11">
        <v>7248.8885899999996</v>
      </c>
      <c r="AQ86" s="11">
        <v>0</v>
      </c>
      <c r="AR86" s="11">
        <v>0</v>
      </c>
      <c r="AS86" s="11">
        <v>41681.266040000002</v>
      </c>
      <c r="AT86" s="11">
        <v>0</v>
      </c>
      <c r="AU86" s="11">
        <v>0</v>
      </c>
      <c r="AV86" s="11">
        <v>0</v>
      </c>
    </row>
    <row r="87" spans="1:49" ht="14.5" hidden="1">
      <c r="A87" s="6">
        <v>86</v>
      </c>
      <c r="B87" s="7" t="s">
        <v>264</v>
      </c>
      <c r="C87" s="7" t="s">
        <v>81</v>
      </c>
      <c r="D87" s="6">
        <v>15441</v>
      </c>
      <c r="E87" s="6" t="s">
        <v>265</v>
      </c>
      <c r="F87" s="8"/>
      <c r="G87" s="8"/>
      <c r="H87" s="7" t="s">
        <v>88</v>
      </c>
      <c r="I87" s="7" t="s">
        <v>266</v>
      </c>
      <c r="J87" s="6" t="s">
        <v>105</v>
      </c>
      <c r="K87" s="9" t="s">
        <v>76</v>
      </c>
      <c r="L87" s="9" t="s">
        <v>49</v>
      </c>
      <c r="M87" s="8"/>
      <c r="N87" s="10">
        <v>43437</v>
      </c>
      <c r="O87" s="12"/>
      <c r="P87" s="9" t="s">
        <v>49</v>
      </c>
      <c r="Q87" s="9" t="s">
        <v>49</v>
      </c>
      <c r="R87" s="8"/>
      <c r="S87" s="8"/>
      <c r="T87" s="8"/>
      <c r="U87" s="8"/>
      <c r="V87" s="9" t="s">
        <v>49</v>
      </c>
      <c r="W87" s="9" t="s">
        <v>49</v>
      </c>
      <c r="X87" s="8"/>
      <c r="Y87" s="8"/>
      <c r="Z87" s="8"/>
      <c r="AA87" s="6">
        <v>2.5</v>
      </c>
      <c r="AB87" s="6">
        <v>2.5</v>
      </c>
      <c r="AC87" s="8"/>
      <c r="AD87" s="6">
        <v>2.5</v>
      </c>
      <c r="AE87" s="8"/>
      <c r="AF87" s="6">
        <v>1.25</v>
      </c>
      <c r="AG87" s="6">
        <v>1.25</v>
      </c>
      <c r="AH87" s="7" t="s">
        <v>57</v>
      </c>
      <c r="AI87" s="6" t="s">
        <v>49</v>
      </c>
      <c r="AJ87" s="6" t="s">
        <v>49</v>
      </c>
      <c r="AK87" s="6" t="s">
        <v>49</v>
      </c>
      <c r="AL87" s="9" t="s">
        <v>49</v>
      </c>
      <c r="AM87" s="9" t="s">
        <v>249</v>
      </c>
      <c r="AN87" s="6" t="s">
        <v>218</v>
      </c>
      <c r="AO87" s="9" t="s">
        <v>242</v>
      </c>
      <c r="AP87" s="11">
        <v>0</v>
      </c>
      <c r="AQ87" s="11">
        <v>0</v>
      </c>
      <c r="AR87" s="11">
        <v>0</v>
      </c>
      <c r="AS87" s="11">
        <v>0</v>
      </c>
      <c r="AT87" s="11">
        <v>1799</v>
      </c>
      <c r="AU87" s="11">
        <v>0</v>
      </c>
      <c r="AV87" s="11" t="s">
        <v>57</v>
      </c>
    </row>
    <row r="88" spans="1:49" ht="14.5">
      <c r="A88" s="6">
        <v>87</v>
      </c>
      <c r="B88" s="7" t="s">
        <v>267</v>
      </c>
      <c r="C88" s="7" t="s">
        <v>81</v>
      </c>
      <c r="D88" s="6">
        <v>15449</v>
      </c>
      <c r="E88" s="6" t="s">
        <v>268</v>
      </c>
      <c r="F88" s="6">
        <v>83204</v>
      </c>
      <c r="G88" s="8"/>
      <c r="H88" s="7" t="s">
        <v>245</v>
      </c>
      <c r="I88" s="7"/>
      <c r="J88" s="6" t="s">
        <v>75</v>
      </c>
      <c r="K88" s="9" t="s">
        <v>89</v>
      </c>
      <c r="L88" s="9" t="s">
        <v>73</v>
      </c>
      <c r="M88" s="17">
        <v>1606</v>
      </c>
      <c r="N88" s="10">
        <v>43616</v>
      </c>
      <c r="O88" s="10">
        <v>44225</v>
      </c>
      <c r="P88" s="9" t="s">
        <v>49</v>
      </c>
      <c r="Q88" s="9" t="s">
        <v>49</v>
      </c>
      <c r="R88" s="6">
        <v>7.82</v>
      </c>
      <c r="S88" s="6">
        <v>13.1</v>
      </c>
      <c r="T88" s="6">
        <v>29.6</v>
      </c>
      <c r="U88" s="6">
        <v>3.1</v>
      </c>
      <c r="V88" s="9" t="s">
        <v>269</v>
      </c>
      <c r="W88" s="9" t="s">
        <v>199</v>
      </c>
      <c r="X88" s="8"/>
      <c r="Y88" s="8"/>
      <c r="Z88" s="6">
        <v>1.6060000000000001</v>
      </c>
      <c r="AA88" s="8"/>
      <c r="AB88" s="6">
        <v>1.6060000000000001</v>
      </c>
      <c r="AC88" s="6">
        <v>2.375</v>
      </c>
      <c r="AD88" s="6">
        <v>3.9809999999999999</v>
      </c>
      <c r="AE88" s="6">
        <v>1.2849999999999999</v>
      </c>
      <c r="AF88" s="8"/>
      <c r="AG88" s="6">
        <v>1.2849999999999999</v>
      </c>
      <c r="AH88" s="7" t="s">
        <v>57</v>
      </c>
      <c r="AI88" s="6" t="s">
        <v>49</v>
      </c>
      <c r="AJ88" s="6" t="s">
        <v>49</v>
      </c>
      <c r="AK88" s="6" t="s">
        <v>49</v>
      </c>
      <c r="AL88" s="9" t="s">
        <v>49</v>
      </c>
      <c r="AM88" s="9" t="s">
        <v>262</v>
      </c>
      <c r="AN88" s="6" t="s">
        <v>73</v>
      </c>
      <c r="AO88" s="9" t="s">
        <v>270</v>
      </c>
      <c r="AP88" s="11">
        <v>161.06589000000002</v>
      </c>
      <c r="AQ88" s="11">
        <v>287124.15999999997</v>
      </c>
      <c r="AR88" s="11">
        <v>287124.1529166667</v>
      </c>
      <c r="AS88" s="11">
        <v>892.89051000000006</v>
      </c>
      <c r="AT88" s="11">
        <v>1507.1241599999998</v>
      </c>
      <c r="AU88" s="11">
        <v>1500</v>
      </c>
      <c r="AV88" s="11" t="s">
        <v>57</v>
      </c>
      <c r="AW88" t="s">
        <v>93</v>
      </c>
    </row>
    <row r="89" spans="1:49" ht="14.5" hidden="1">
      <c r="A89" s="6">
        <v>88</v>
      </c>
      <c r="B89" s="7" t="s">
        <v>271</v>
      </c>
      <c r="C89" s="7" t="s">
        <v>49</v>
      </c>
      <c r="D89" s="6">
        <v>15449</v>
      </c>
      <c r="E89" s="6" t="s">
        <v>49</v>
      </c>
      <c r="F89" s="8"/>
      <c r="G89" s="8"/>
      <c r="H89" s="7" t="s">
        <v>49</v>
      </c>
      <c r="I89" s="7"/>
      <c r="J89" s="6" t="s">
        <v>49</v>
      </c>
      <c r="K89" s="9" t="s">
        <v>49</v>
      </c>
      <c r="L89" s="9" t="s">
        <v>49</v>
      </c>
      <c r="M89" s="8"/>
      <c r="N89" s="10">
        <v>43616</v>
      </c>
      <c r="O89" s="10">
        <v>44225</v>
      </c>
      <c r="P89" s="9" t="s">
        <v>49</v>
      </c>
      <c r="Q89" s="9" t="s">
        <v>49</v>
      </c>
      <c r="R89" s="8"/>
      <c r="S89" s="8"/>
      <c r="T89" s="8"/>
      <c r="U89" s="8"/>
      <c r="V89" s="9" t="s">
        <v>49</v>
      </c>
      <c r="W89" s="9" t="s">
        <v>49</v>
      </c>
      <c r="X89" s="8"/>
      <c r="Y89" s="8"/>
      <c r="Z89" s="8"/>
      <c r="AA89" s="8"/>
      <c r="AB89" s="8"/>
      <c r="AC89" s="8"/>
      <c r="AD89" s="8"/>
      <c r="AE89" s="8"/>
      <c r="AF89" s="8"/>
      <c r="AG89" s="8"/>
      <c r="AH89" s="7" t="s">
        <v>57</v>
      </c>
      <c r="AI89" s="6" t="s">
        <v>71</v>
      </c>
      <c r="AJ89" s="6" t="s">
        <v>49</v>
      </c>
      <c r="AK89" s="6" t="s">
        <v>49</v>
      </c>
      <c r="AL89" s="9" t="s">
        <v>213</v>
      </c>
      <c r="AM89" s="9" t="s">
        <v>49</v>
      </c>
      <c r="AN89" s="6" t="s">
        <v>85</v>
      </c>
      <c r="AO89" s="9" t="s">
        <v>49</v>
      </c>
      <c r="AP89" s="11">
        <v>7248.8885899999996</v>
      </c>
      <c r="AQ89" s="11">
        <v>0</v>
      </c>
      <c r="AR89" s="11">
        <v>0</v>
      </c>
      <c r="AS89" s="11">
        <v>41681.266040000002</v>
      </c>
      <c r="AT89" s="11">
        <v>0</v>
      </c>
      <c r="AU89" s="11">
        <v>0</v>
      </c>
      <c r="AV89" s="11">
        <v>0</v>
      </c>
    </row>
    <row r="90" spans="1:49" ht="14.5" hidden="1">
      <c r="A90" s="6">
        <v>89</v>
      </c>
      <c r="B90" s="7" t="s">
        <v>272</v>
      </c>
      <c r="C90" s="7" t="s">
        <v>49</v>
      </c>
      <c r="D90" s="6">
        <v>15063</v>
      </c>
      <c r="E90" s="6" t="s">
        <v>273</v>
      </c>
      <c r="F90" s="12"/>
      <c r="G90" s="8"/>
      <c r="H90" s="7" t="s">
        <v>49</v>
      </c>
      <c r="I90" s="7"/>
      <c r="J90" s="6" t="s">
        <v>49</v>
      </c>
      <c r="K90" s="9" t="s">
        <v>49</v>
      </c>
      <c r="L90" s="9" t="s">
        <v>49</v>
      </c>
      <c r="M90" s="12"/>
      <c r="N90" s="10">
        <v>43109</v>
      </c>
      <c r="O90" s="10">
        <v>43831</v>
      </c>
      <c r="P90" s="9" t="s">
        <v>49</v>
      </c>
      <c r="Q90" s="9" t="s">
        <v>49</v>
      </c>
      <c r="R90" s="12"/>
      <c r="S90" s="12"/>
      <c r="T90" s="12"/>
      <c r="U90" s="12"/>
      <c r="V90" s="9" t="s">
        <v>49</v>
      </c>
      <c r="W90" s="9" t="s">
        <v>49</v>
      </c>
      <c r="X90" s="8"/>
      <c r="Y90" s="8"/>
      <c r="Z90" s="12"/>
      <c r="AA90" s="8"/>
      <c r="AB90" s="12"/>
      <c r="AC90" s="12"/>
      <c r="AD90" s="12"/>
      <c r="AE90" s="12"/>
      <c r="AF90" s="8"/>
      <c r="AG90" s="12"/>
      <c r="AH90" s="7" t="s">
        <v>51</v>
      </c>
      <c r="AI90" s="6" t="s">
        <v>49</v>
      </c>
      <c r="AJ90" s="6" t="s">
        <v>49</v>
      </c>
      <c r="AK90" s="6" t="s">
        <v>49</v>
      </c>
      <c r="AL90" s="9" t="s">
        <v>49</v>
      </c>
      <c r="AM90" s="9" t="s">
        <v>274</v>
      </c>
      <c r="AN90" s="6" t="s">
        <v>49</v>
      </c>
      <c r="AO90" s="9" t="s">
        <v>162</v>
      </c>
      <c r="AP90" s="11">
        <v>0</v>
      </c>
      <c r="AQ90" s="11">
        <v>0</v>
      </c>
      <c r="AR90" s="11">
        <v>0</v>
      </c>
      <c r="AS90" s="11">
        <v>0</v>
      </c>
      <c r="AT90" s="11">
        <v>0</v>
      </c>
      <c r="AU90" s="11">
        <v>0</v>
      </c>
      <c r="AV90" s="11" t="s">
        <v>51</v>
      </c>
    </row>
    <row r="91" spans="1:49" ht="14.5" hidden="1">
      <c r="A91" s="6">
        <v>90</v>
      </c>
      <c r="B91" s="7" t="s">
        <v>275</v>
      </c>
      <c r="C91" s="7" t="s">
        <v>49</v>
      </c>
      <c r="D91" s="6">
        <v>15377</v>
      </c>
      <c r="E91" s="6" t="s">
        <v>276</v>
      </c>
      <c r="F91" s="8"/>
      <c r="G91" s="8"/>
      <c r="H91" s="7" t="s">
        <v>49</v>
      </c>
      <c r="I91" s="7"/>
      <c r="J91" s="6" t="s">
        <v>49</v>
      </c>
      <c r="K91" s="9" t="s">
        <v>49</v>
      </c>
      <c r="L91" s="9" t="s">
        <v>49</v>
      </c>
      <c r="M91" s="8"/>
      <c r="N91" s="10">
        <v>43405</v>
      </c>
      <c r="O91" s="10">
        <v>43831</v>
      </c>
      <c r="P91" s="9" t="s">
        <v>49</v>
      </c>
      <c r="Q91" s="9" t="s">
        <v>49</v>
      </c>
      <c r="R91" s="8"/>
      <c r="S91" s="8"/>
      <c r="T91" s="8"/>
      <c r="U91" s="8"/>
      <c r="V91" s="9" t="s">
        <v>49</v>
      </c>
      <c r="W91" s="9" t="s">
        <v>49</v>
      </c>
      <c r="X91" s="8"/>
      <c r="Y91" s="8"/>
      <c r="Z91" s="8"/>
      <c r="AA91" s="8"/>
      <c r="AB91" s="8"/>
      <c r="AC91" s="8"/>
      <c r="AD91" s="8"/>
      <c r="AE91" s="8"/>
      <c r="AF91" s="8"/>
      <c r="AG91" s="8"/>
      <c r="AH91" s="7" t="s">
        <v>57</v>
      </c>
      <c r="AI91" s="6" t="s">
        <v>49</v>
      </c>
      <c r="AJ91" s="6" t="s">
        <v>49</v>
      </c>
      <c r="AK91" s="6" t="s">
        <v>49</v>
      </c>
      <c r="AL91" s="9" t="s">
        <v>49</v>
      </c>
      <c r="AM91" s="9" t="s">
        <v>277</v>
      </c>
      <c r="AN91" s="6" t="s">
        <v>49</v>
      </c>
      <c r="AO91" s="9" t="s">
        <v>49</v>
      </c>
      <c r="AP91" s="11">
        <v>0</v>
      </c>
      <c r="AQ91" s="11">
        <v>0</v>
      </c>
      <c r="AR91" s="11">
        <v>35.114583333330174</v>
      </c>
      <c r="AS91" s="11">
        <v>0</v>
      </c>
      <c r="AT91" s="11">
        <v>0</v>
      </c>
      <c r="AU91" s="11">
        <v>0</v>
      </c>
      <c r="AV91" s="11">
        <v>0</v>
      </c>
    </row>
    <row r="92" spans="1:49" ht="14.5" hidden="1">
      <c r="A92" s="6">
        <v>91</v>
      </c>
      <c r="B92" s="7" t="s">
        <v>278</v>
      </c>
      <c r="C92" s="7" t="s">
        <v>131</v>
      </c>
      <c r="D92" s="12"/>
      <c r="E92" s="6" t="s">
        <v>104</v>
      </c>
      <c r="F92" s="8"/>
      <c r="G92" s="8"/>
      <c r="H92" s="7" t="s">
        <v>88</v>
      </c>
      <c r="I92" s="7"/>
      <c r="J92" s="6" t="s">
        <v>49</v>
      </c>
      <c r="K92" s="9" t="s">
        <v>49</v>
      </c>
      <c r="L92" s="9" t="s">
        <v>49</v>
      </c>
      <c r="M92" s="20">
        <v>2917</v>
      </c>
      <c r="N92" s="12"/>
      <c r="O92" s="12"/>
      <c r="P92" s="9" t="s">
        <v>49</v>
      </c>
      <c r="Q92" s="9" t="s">
        <v>49</v>
      </c>
      <c r="R92" s="8">
        <v>6.05</v>
      </c>
      <c r="S92" s="8">
        <v>71.400000000000006</v>
      </c>
      <c r="T92" s="8">
        <v>80.400000000000006</v>
      </c>
      <c r="U92" s="8">
        <v>11.8</v>
      </c>
      <c r="V92" s="16">
        <v>0.24</v>
      </c>
      <c r="W92" s="9" t="s">
        <v>49</v>
      </c>
      <c r="X92" s="8"/>
      <c r="Y92" s="8"/>
      <c r="Z92" s="8"/>
      <c r="AA92" s="8"/>
      <c r="AB92" s="8"/>
      <c r="AC92" s="8"/>
      <c r="AD92" s="8"/>
      <c r="AE92" s="8"/>
      <c r="AF92" s="8"/>
      <c r="AG92" s="8"/>
      <c r="AH92" s="7" t="s">
        <v>49</v>
      </c>
      <c r="AI92" s="6" t="s">
        <v>49</v>
      </c>
      <c r="AJ92" s="6" t="s">
        <v>49</v>
      </c>
      <c r="AK92" s="6" t="s">
        <v>49</v>
      </c>
      <c r="AL92" s="9" t="s">
        <v>49</v>
      </c>
      <c r="AM92" s="9" t="s">
        <v>49</v>
      </c>
      <c r="AN92" s="6" t="s">
        <v>49</v>
      </c>
      <c r="AO92" s="9" t="s">
        <v>49</v>
      </c>
      <c r="AP92" s="11">
        <v>0</v>
      </c>
      <c r="AQ92" s="11">
        <v>0</v>
      </c>
      <c r="AR92" s="11">
        <v>0</v>
      </c>
      <c r="AS92" s="11">
        <v>0</v>
      </c>
      <c r="AT92" s="11">
        <v>0</v>
      </c>
      <c r="AU92" s="11">
        <v>2300</v>
      </c>
      <c r="AV92" s="11">
        <v>0</v>
      </c>
      <c r="AW92" t="s">
        <v>93</v>
      </c>
    </row>
    <row r="93" spans="1:49" ht="14.5" hidden="1">
      <c r="A93" s="6">
        <v>92</v>
      </c>
      <c r="B93" s="7" t="s">
        <v>279</v>
      </c>
      <c r="C93" s="7" t="s">
        <v>280</v>
      </c>
      <c r="D93" s="12"/>
      <c r="E93" s="6" t="s">
        <v>104</v>
      </c>
      <c r="F93" s="8"/>
      <c r="G93" s="8"/>
      <c r="H93" s="7"/>
      <c r="I93" s="7"/>
      <c r="J93" s="6" t="s">
        <v>49</v>
      </c>
      <c r="K93" s="9" t="s">
        <v>49</v>
      </c>
      <c r="L93" s="9" t="s">
        <v>49</v>
      </c>
      <c r="M93" s="21">
        <v>210</v>
      </c>
      <c r="N93" s="12"/>
      <c r="O93" s="12"/>
      <c r="P93" s="9" t="s">
        <v>49</v>
      </c>
      <c r="Q93" s="9" t="s">
        <v>49</v>
      </c>
      <c r="R93" s="8"/>
      <c r="S93" s="8"/>
      <c r="T93" s="8"/>
      <c r="U93" s="8"/>
      <c r="V93" s="9" t="s">
        <v>49</v>
      </c>
      <c r="W93" s="9" t="s">
        <v>49</v>
      </c>
      <c r="X93" s="8"/>
      <c r="Y93" s="8"/>
      <c r="Z93" s="8"/>
      <c r="AA93" s="8"/>
      <c r="AB93" s="8"/>
      <c r="AC93" s="8"/>
      <c r="AD93" s="8"/>
      <c r="AE93" s="8"/>
      <c r="AF93" s="8"/>
      <c r="AG93" s="8"/>
      <c r="AH93" s="7" t="s">
        <v>49</v>
      </c>
      <c r="AI93" s="6" t="s">
        <v>49</v>
      </c>
      <c r="AJ93" s="6" t="s">
        <v>49</v>
      </c>
      <c r="AK93" s="6" t="s">
        <v>49</v>
      </c>
      <c r="AL93" s="9" t="s">
        <v>49</v>
      </c>
      <c r="AM93" s="9" t="s">
        <v>49</v>
      </c>
      <c r="AN93" s="6" t="s">
        <v>49</v>
      </c>
      <c r="AO93" s="9" t="s">
        <v>49</v>
      </c>
      <c r="AP93" s="11">
        <v>0</v>
      </c>
      <c r="AQ93" s="11">
        <v>0</v>
      </c>
      <c r="AR93" s="11">
        <v>0</v>
      </c>
      <c r="AS93" s="11">
        <v>0</v>
      </c>
      <c r="AT93" s="11">
        <v>0</v>
      </c>
      <c r="AU93" s="11">
        <v>210</v>
      </c>
      <c r="AV93" s="11">
        <v>0</v>
      </c>
      <c r="AW93" t="s">
        <v>93</v>
      </c>
    </row>
    <row r="94" spans="1:49" ht="14.5" hidden="1">
      <c r="A94" s="6">
        <v>93</v>
      </c>
      <c r="B94" s="7" t="s">
        <v>281</v>
      </c>
      <c r="C94" s="7" t="s">
        <v>131</v>
      </c>
      <c r="D94" s="12"/>
      <c r="E94" s="6" t="s">
        <v>104</v>
      </c>
      <c r="F94" s="8"/>
      <c r="G94" s="8"/>
      <c r="H94" s="7"/>
      <c r="I94" s="7"/>
      <c r="J94" s="6" t="s">
        <v>49</v>
      </c>
      <c r="K94" s="9" t="s">
        <v>49</v>
      </c>
      <c r="L94" s="9" t="s">
        <v>49</v>
      </c>
      <c r="M94" s="20">
        <v>240</v>
      </c>
      <c r="N94" s="12"/>
      <c r="O94" s="12"/>
      <c r="P94" s="9" t="s">
        <v>49</v>
      </c>
      <c r="Q94" s="9" t="s">
        <v>49</v>
      </c>
      <c r="R94" s="8"/>
      <c r="S94" s="8"/>
      <c r="T94" s="8"/>
      <c r="U94" s="8"/>
      <c r="V94" s="9" t="s">
        <v>49</v>
      </c>
      <c r="W94" s="9" t="s">
        <v>49</v>
      </c>
      <c r="X94" s="8"/>
      <c r="Y94" s="8"/>
      <c r="Z94" s="8"/>
      <c r="AA94" s="8"/>
      <c r="AB94" s="8"/>
      <c r="AC94" s="8"/>
      <c r="AD94" s="8"/>
      <c r="AE94" s="8"/>
      <c r="AF94" s="8"/>
      <c r="AG94" s="8"/>
      <c r="AH94" s="7" t="s">
        <v>49</v>
      </c>
      <c r="AI94" s="6" t="s">
        <v>49</v>
      </c>
      <c r="AJ94" s="6" t="s">
        <v>49</v>
      </c>
      <c r="AK94" s="6" t="s">
        <v>49</v>
      </c>
      <c r="AL94" s="9" t="s">
        <v>49</v>
      </c>
      <c r="AM94" s="9" t="s">
        <v>49</v>
      </c>
      <c r="AN94" s="6" t="s">
        <v>49</v>
      </c>
      <c r="AO94" s="9" t="s">
        <v>49</v>
      </c>
      <c r="AP94" s="11">
        <v>0</v>
      </c>
      <c r="AQ94" s="11">
        <v>0</v>
      </c>
      <c r="AR94" s="11">
        <v>0</v>
      </c>
      <c r="AS94" s="11">
        <v>0</v>
      </c>
      <c r="AT94" s="11">
        <v>0</v>
      </c>
      <c r="AU94" s="11">
        <v>510</v>
      </c>
      <c r="AV94" s="11">
        <v>0</v>
      </c>
      <c r="AW94" t="s">
        <v>282</v>
      </c>
    </row>
    <row r="95" spans="1:49" ht="14.5" hidden="1">
      <c r="A95" s="6">
        <v>94</v>
      </c>
      <c r="B95" s="7" t="s">
        <v>283</v>
      </c>
      <c r="C95" s="7" t="s">
        <v>49</v>
      </c>
      <c r="D95" s="6">
        <v>12525</v>
      </c>
      <c r="E95" s="6" t="s">
        <v>284</v>
      </c>
      <c r="F95" s="8"/>
      <c r="G95" s="8"/>
      <c r="H95" s="7" t="s">
        <v>49</v>
      </c>
      <c r="I95" s="7"/>
      <c r="J95" s="6" t="s">
        <v>49</v>
      </c>
      <c r="K95" s="9" t="s">
        <v>49</v>
      </c>
      <c r="L95" s="9" t="s">
        <v>49</v>
      </c>
      <c r="M95" s="8"/>
      <c r="N95" s="10">
        <v>42933</v>
      </c>
      <c r="O95" s="10">
        <v>43830</v>
      </c>
      <c r="P95" s="9" t="s">
        <v>49</v>
      </c>
      <c r="Q95" s="9" t="s">
        <v>49</v>
      </c>
      <c r="R95" s="8"/>
      <c r="S95" s="8"/>
      <c r="T95" s="8"/>
      <c r="U95" s="8"/>
      <c r="V95" s="9" t="s">
        <v>49</v>
      </c>
      <c r="W95" s="9" t="s">
        <v>49</v>
      </c>
      <c r="X95" s="8"/>
      <c r="Y95" s="8"/>
      <c r="Z95" s="8"/>
      <c r="AA95" s="8"/>
      <c r="AB95" s="8"/>
      <c r="AC95" s="8"/>
      <c r="AD95" s="8"/>
      <c r="AE95" s="8"/>
      <c r="AF95" s="8"/>
      <c r="AG95" s="8"/>
      <c r="AH95" s="7" t="s">
        <v>51</v>
      </c>
      <c r="AI95" s="6" t="s">
        <v>49</v>
      </c>
      <c r="AJ95" s="6" t="s">
        <v>49</v>
      </c>
      <c r="AK95" s="6" t="s">
        <v>49</v>
      </c>
      <c r="AL95" s="9" t="s">
        <v>49</v>
      </c>
      <c r="AM95" s="9" t="s">
        <v>274</v>
      </c>
      <c r="AN95" s="6" t="s">
        <v>49</v>
      </c>
      <c r="AO95" s="9" t="s">
        <v>201</v>
      </c>
      <c r="AP95" s="11">
        <v>0</v>
      </c>
      <c r="AQ95" s="11">
        <v>0</v>
      </c>
      <c r="AR95" s="11">
        <v>0</v>
      </c>
      <c r="AS95" s="11">
        <v>100</v>
      </c>
      <c r="AT95" s="11">
        <v>0</v>
      </c>
      <c r="AU95" s="11">
        <v>0</v>
      </c>
      <c r="AV95" s="11" t="s">
        <v>51</v>
      </c>
    </row>
    <row r="96" spans="1:49" ht="14.5" hidden="1">
      <c r="A96" s="6">
        <v>95</v>
      </c>
      <c r="B96" s="7" t="s">
        <v>285</v>
      </c>
      <c r="C96" s="7" t="s">
        <v>49</v>
      </c>
      <c r="D96" s="6">
        <v>15485</v>
      </c>
      <c r="E96" s="6" t="s">
        <v>49</v>
      </c>
      <c r="F96" s="8"/>
      <c r="G96" s="8"/>
      <c r="H96" s="7" t="s">
        <v>49</v>
      </c>
      <c r="I96" s="7"/>
      <c r="J96" s="6" t="s">
        <v>49</v>
      </c>
      <c r="K96" s="9" t="s">
        <v>49</v>
      </c>
      <c r="L96" s="9" t="s">
        <v>49</v>
      </c>
      <c r="M96" s="8"/>
      <c r="N96" s="10">
        <v>43472</v>
      </c>
      <c r="O96" s="10">
        <v>43837</v>
      </c>
      <c r="P96" s="9" t="s">
        <v>49</v>
      </c>
      <c r="Q96" s="9" t="s">
        <v>49</v>
      </c>
      <c r="R96" s="8"/>
      <c r="S96" s="8"/>
      <c r="T96" s="8"/>
      <c r="U96" s="8"/>
      <c r="V96" s="9" t="s">
        <v>49</v>
      </c>
      <c r="W96" s="9" t="s">
        <v>49</v>
      </c>
      <c r="X96" s="8"/>
      <c r="Y96" s="8"/>
      <c r="Z96" s="8"/>
      <c r="AA96" s="8"/>
      <c r="AB96" s="8"/>
      <c r="AC96" s="8"/>
      <c r="AD96" s="8"/>
      <c r="AE96" s="8"/>
      <c r="AF96" s="8"/>
      <c r="AG96" s="8"/>
      <c r="AH96" s="7" t="s">
        <v>57</v>
      </c>
      <c r="AI96" s="6" t="s">
        <v>71</v>
      </c>
      <c r="AJ96" s="6" t="s">
        <v>49</v>
      </c>
      <c r="AK96" s="6" t="s">
        <v>49</v>
      </c>
      <c r="AL96" s="9" t="s">
        <v>52</v>
      </c>
      <c r="AM96" s="9" t="s">
        <v>49</v>
      </c>
      <c r="AN96" s="6" t="s">
        <v>82</v>
      </c>
      <c r="AO96" s="9" t="s">
        <v>49</v>
      </c>
      <c r="AP96" s="11">
        <v>7248.8885899999996</v>
      </c>
      <c r="AQ96" s="11">
        <v>0</v>
      </c>
      <c r="AR96" s="11">
        <v>0</v>
      </c>
      <c r="AS96" s="11">
        <v>41681.266040000002</v>
      </c>
      <c r="AT96" s="11">
        <v>0</v>
      </c>
      <c r="AU96" s="11">
        <v>0</v>
      </c>
      <c r="AV96" s="11">
        <v>0</v>
      </c>
    </row>
    <row r="97" spans="1:49" ht="14.5" hidden="1">
      <c r="A97" s="6">
        <v>96</v>
      </c>
      <c r="B97" s="7" t="s">
        <v>285</v>
      </c>
      <c r="C97" s="7" t="s">
        <v>49</v>
      </c>
      <c r="D97" s="6">
        <v>15485</v>
      </c>
      <c r="E97" s="6" t="s">
        <v>286</v>
      </c>
      <c r="F97" s="8"/>
      <c r="G97" s="8"/>
      <c r="H97" s="7" t="s">
        <v>49</v>
      </c>
      <c r="I97" s="7"/>
      <c r="J97" s="6" t="s">
        <v>49</v>
      </c>
      <c r="K97" s="9" t="s">
        <v>49</v>
      </c>
      <c r="L97" s="9" t="s">
        <v>49</v>
      </c>
      <c r="M97" s="8"/>
      <c r="N97" s="10">
        <v>43472</v>
      </c>
      <c r="O97" s="10">
        <v>43837</v>
      </c>
      <c r="P97" s="9" t="s">
        <v>49</v>
      </c>
      <c r="Q97" s="9" t="s">
        <v>49</v>
      </c>
      <c r="R97" s="8"/>
      <c r="S97" s="8"/>
      <c r="T97" s="8"/>
      <c r="U97" s="8"/>
      <c r="V97" s="9" t="s">
        <v>49</v>
      </c>
      <c r="W97" s="9" t="s">
        <v>49</v>
      </c>
      <c r="X97" s="8"/>
      <c r="Y97" s="8"/>
      <c r="Z97" s="8"/>
      <c r="AA97" s="8"/>
      <c r="AB97" s="8"/>
      <c r="AC97" s="8"/>
      <c r="AD97" s="8"/>
      <c r="AE97" s="8"/>
      <c r="AF97" s="8"/>
      <c r="AG97" s="8"/>
      <c r="AH97" s="7" t="s">
        <v>57</v>
      </c>
      <c r="AI97" s="6" t="s">
        <v>49</v>
      </c>
      <c r="AJ97" s="6" t="s">
        <v>49</v>
      </c>
      <c r="AK97" s="6" t="s">
        <v>49</v>
      </c>
      <c r="AL97" s="9" t="s">
        <v>49</v>
      </c>
      <c r="AM97" s="9" t="s">
        <v>287</v>
      </c>
      <c r="AN97" s="6" t="s">
        <v>49</v>
      </c>
      <c r="AO97" s="9" t="s">
        <v>287</v>
      </c>
      <c r="AP97" s="11">
        <v>0</v>
      </c>
      <c r="AQ97" s="11">
        <v>0</v>
      </c>
      <c r="AR97" s="11">
        <v>0</v>
      </c>
      <c r="AS97" s="11">
        <v>0</v>
      </c>
      <c r="AT97" s="11">
        <v>0</v>
      </c>
      <c r="AU97" s="11">
        <v>0</v>
      </c>
      <c r="AV97" s="11" t="s">
        <v>57</v>
      </c>
    </row>
    <row r="98" spans="1:49" ht="14.5" hidden="1">
      <c r="A98" s="6">
        <v>97</v>
      </c>
      <c r="B98" s="7" t="s">
        <v>288</v>
      </c>
      <c r="C98" s="7" t="s">
        <v>49</v>
      </c>
      <c r="D98" s="6">
        <v>15700</v>
      </c>
      <c r="E98" s="6" t="s">
        <v>49</v>
      </c>
      <c r="F98" s="8"/>
      <c r="G98" s="8"/>
      <c r="H98" s="7" t="s">
        <v>49</v>
      </c>
      <c r="I98" s="7"/>
      <c r="J98" s="6" t="s">
        <v>49</v>
      </c>
      <c r="K98" s="9" t="s">
        <v>49</v>
      </c>
      <c r="L98" s="9" t="s">
        <v>49</v>
      </c>
      <c r="M98" s="8"/>
      <c r="N98" s="12"/>
      <c r="O98" s="12"/>
      <c r="P98" s="9" t="s">
        <v>49</v>
      </c>
      <c r="Q98" s="9" t="s">
        <v>49</v>
      </c>
      <c r="R98" s="8"/>
      <c r="S98" s="8"/>
      <c r="T98" s="8"/>
      <c r="U98" s="8"/>
      <c r="V98" s="9" t="s">
        <v>49</v>
      </c>
      <c r="W98" s="9" t="s">
        <v>49</v>
      </c>
      <c r="X98" s="8"/>
      <c r="Y98" s="8"/>
      <c r="Z98" s="8"/>
      <c r="AA98" s="8"/>
      <c r="AB98" s="8"/>
      <c r="AC98" s="8"/>
      <c r="AD98" s="8"/>
      <c r="AE98" s="8"/>
      <c r="AF98" s="8"/>
      <c r="AG98" s="8"/>
      <c r="AH98" s="7" t="s">
        <v>57</v>
      </c>
      <c r="AI98" s="6" t="s">
        <v>49</v>
      </c>
      <c r="AJ98" s="6" t="s">
        <v>49</v>
      </c>
      <c r="AK98" s="6" t="s">
        <v>118</v>
      </c>
      <c r="AL98" s="9" t="s">
        <v>49</v>
      </c>
      <c r="AM98" s="9" t="s">
        <v>49</v>
      </c>
      <c r="AN98" s="6" t="s">
        <v>49</v>
      </c>
      <c r="AO98" s="9" t="s">
        <v>49</v>
      </c>
      <c r="AP98" s="11">
        <v>7248.8885899999996</v>
      </c>
      <c r="AQ98" s="11">
        <v>0</v>
      </c>
      <c r="AR98" s="11">
        <v>0</v>
      </c>
      <c r="AS98" s="11">
        <v>41681.266040000002</v>
      </c>
      <c r="AT98" s="11">
        <v>0</v>
      </c>
      <c r="AU98" s="11">
        <v>0</v>
      </c>
      <c r="AV98" s="11">
        <v>0</v>
      </c>
    </row>
    <row r="99" spans="1:49" ht="14.5" hidden="1">
      <c r="A99" s="6">
        <v>98</v>
      </c>
      <c r="B99" s="7" t="s">
        <v>289</v>
      </c>
      <c r="C99" s="7" t="s">
        <v>49</v>
      </c>
      <c r="D99" s="6">
        <v>15489</v>
      </c>
      <c r="E99" s="6" t="s">
        <v>49</v>
      </c>
      <c r="F99" s="8"/>
      <c r="G99" s="8"/>
      <c r="H99" s="7" t="s">
        <v>49</v>
      </c>
      <c r="I99" s="7"/>
      <c r="J99" s="6" t="s">
        <v>49</v>
      </c>
      <c r="K99" s="9" t="s">
        <v>49</v>
      </c>
      <c r="L99" s="9" t="s">
        <v>49</v>
      </c>
      <c r="M99" s="8"/>
      <c r="N99" s="8"/>
      <c r="O99" s="10">
        <v>43525</v>
      </c>
      <c r="P99" s="9" t="s">
        <v>49</v>
      </c>
      <c r="Q99" s="9" t="s">
        <v>49</v>
      </c>
      <c r="R99" s="8"/>
      <c r="S99" s="8"/>
      <c r="T99" s="8"/>
      <c r="U99" s="8"/>
      <c r="V99" s="9" t="s">
        <v>49</v>
      </c>
      <c r="W99" s="9" t="s">
        <v>49</v>
      </c>
      <c r="X99" s="8"/>
      <c r="Y99" s="8"/>
      <c r="Z99" s="8"/>
      <c r="AA99" s="8"/>
      <c r="AB99" s="8"/>
      <c r="AC99" s="8"/>
      <c r="AD99" s="8"/>
      <c r="AE99" s="8"/>
      <c r="AF99" s="8"/>
      <c r="AG99" s="8"/>
      <c r="AH99" s="7" t="s">
        <v>57</v>
      </c>
      <c r="AI99" s="6" t="s">
        <v>71</v>
      </c>
      <c r="AJ99" s="6" t="s">
        <v>49</v>
      </c>
      <c r="AK99" s="6" t="s">
        <v>49</v>
      </c>
      <c r="AL99" s="9" t="s">
        <v>67</v>
      </c>
      <c r="AM99" s="9" t="s">
        <v>49</v>
      </c>
      <c r="AN99" s="6" t="s">
        <v>85</v>
      </c>
      <c r="AO99" s="9" t="s">
        <v>49</v>
      </c>
      <c r="AP99" s="11">
        <v>7248.8885899999996</v>
      </c>
      <c r="AQ99" s="11">
        <v>0</v>
      </c>
      <c r="AR99" s="11">
        <v>0</v>
      </c>
      <c r="AS99" s="11">
        <v>41681.266040000002</v>
      </c>
      <c r="AT99" s="11">
        <v>0</v>
      </c>
      <c r="AU99" s="11">
        <v>0</v>
      </c>
      <c r="AV99" s="11">
        <v>0</v>
      </c>
    </row>
    <row r="100" spans="1:49" ht="14.5" hidden="1">
      <c r="A100" s="6">
        <v>99</v>
      </c>
      <c r="B100" s="7" t="s">
        <v>289</v>
      </c>
      <c r="C100" s="7" t="s">
        <v>49</v>
      </c>
      <c r="D100" s="6">
        <v>15489</v>
      </c>
      <c r="E100" s="6" t="s">
        <v>290</v>
      </c>
      <c r="F100" s="8"/>
      <c r="G100" s="8"/>
      <c r="H100" s="7" t="s">
        <v>49</v>
      </c>
      <c r="I100" s="7"/>
      <c r="J100" s="6" t="s">
        <v>49</v>
      </c>
      <c r="K100" s="9" t="s">
        <v>49</v>
      </c>
      <c r="L100" s="9" t="s">
        <v>49</v>
      </c>
      <c r="M100" s="8"/>
      <c r="N100" s="8"/>
      <c r="O100" s="10">
        <v>43525</v>
      </c>
      <c r="P100" s="9" t="s">
        <v>49</v>
      </c>
      <c r="Q100" s="9" t="s">
        <v>49</v>
      </c>
      <c r="R100" s="8"/>
      <c r="S100" s="8"/>
      <c r="T100" s="8"/>
      <c r="U100" s="8"/>
      <c r="V100" s="9" t="s">
        <v>49</v>
      </c>
      <c r="W100" s="9" t="s">
        <v>49</v>
      </c>
      <c r="X100" s="8"/>
      <c r="Y100" s="8"/>
      <c r="Z100" s="8"/>
      <c r="AA100" s="8"/>
      <c r="AB100" s="8"/>
      <c r="AC100" s="8"/>
      <c r="AD100" s="8"/>
      <c r="AE100" s="8"/>
      <c r="AF100" s="8"/>
      <c r="AG100" s="8"/>
      <c r="AH100" s="7" t="s">
        <v>57</v>
      </c>
      <c r="AI100" s="6" t="s">
        <v>49</v>
      </c>
      <c r="AJ100" s="6" t="s">
        <v>49</v>
      </c>
      <c r="AK100" s="6" t="s">
        <v>49</v>
      </c>
      <c r="AL100" s="9" t="s">
        <v>49</v>
      </c>
      <c r="AM100" s="9" t="s">
        <v>67</v>
      </c>
      <c r="AN100" s="6" t="s">
        <v>49</v>
      </c>
      <c r="AO100" s="9" t="s">
        <v>67</v>
      </c>
      <c r="AP100" s="11">
        <v>0</v>
      </c>
      <c r="AQ100" s="11">
        <v>0</v>
      </c>
      <c r="AR100" s="11">
        <v>0</v>
      </c>
      <c r="AS100" s="11">
        <v>0</v>
      </c>
      <c r="AT100" s="11">
        <v>0</v>
      </c>
      <c r="AU100" s="11">
        <v>0</v>
      </c>
      <c r="AV100" s="11" t="s">
        <v>57</v>
      </c>
    </row>
    <row r="101" spans="1:49" ht="14.5" hidden="1">
      <c r="A101" s="6">
        <v>100</v>
      </c>
      <c r="B101" s="7" t="s">
        <v>291</v>
      </c>
      <c r="C101" s="7" t="s">
        <v>292</v>
      </c>
      <c r="D101" s="6">
        <v>12523</v>
      </c>
      <c r="E101" s="6" t="s">
        <v>49</v>
      </c>
      <c r="F101" s="12"/>
      <c r="G101" s="8"/>
      <c r="H101" s="7" t="s">
        <v>49</v>
      </c>
      <c r="I101" s="7"/>
      <c r="J101" s="6" t="s">
        <v>49</v>
      </c>
      <c r="K101" s="9" t="s">
        <v>49</v>
      </c>
      <c r="L101" s="9" t="s">
        <v>49</v>
      </c>
      <c r="M101" s="8"/>
      <c r="N101" s="10">
        <v>42917</v>
      </c>
      <c r="O101" s="10">
        <v>43017</v>
      </c>
      <c r="P101" s="9" t="s">
        <v>49</v>
      </c>
      <c r="Q101" s="9" t="s">
        <v>49</v>
      </c>
      <c r="R101" s="8"/>
      <c r="S101" s="8"/>
      <c r="T101" s="8"/>
      <c r="U101" s="8"/>
      <c r="V101" s="9" t="s">
        <v>49</v>
      </c>
      <c r="W101" s="9" t="s">
        <v>49</v>
      </c>
      <c r="X101" s="8"/>
      <c r="Y101" s="8"/>
      <c r="Z101" s="8"/>
      <c r="AA101" s="8"/>
      <c r="AB101" s="8"/>
      <c r="AC101" s="8"/>
      <c r="AD101" s="8"/>
      <c r="AE101" s="8"/>
      <c r="AF101" s="8"/>
      <c r="AG101" s="8"/>
      <c r="AH101" s="7" t="s">
        <v>57</v>
      </c>
      <c r="AI101" s="6" t="s">
        <v>71</v>
      </c>
      <c r="AJ101" s="6" t="s">
        <v>49</v>
      </c>
      <c r="AK101" s="6" t="s">
        <v>118</v>
      </c>
      <c r="AL101" s="9" t="s">
        <v>67</v>
      </c>
      <c r="AM101" s="9" t="s">
        <v>49</v>
      </c>
      <c r="AN101" s="6" t="s">
        <v>85</v>
      </c>
      <c r="AO101" s="9" t="s">
        <v>49</v>
      </c>
      <c r="AP101" s="11">
        <v>7248.8885899999996</v>
      </c>
      <c r="AQ101" s="11">
        <v>0</v>
      </c>
      <c r="AR101" s="11">
        <v>0</v>
      </c>
      <c r="AS101" s="11">
        <v>41681.266040000002</v>
      </c>
      <c r="AT101" s="11">
        <v>0</v>
      </c>
      <c r="AU101" s="11">
        <v>0</v>
      </c>
      <c r="AV101" s="11">
        <v>0</v>
      </c>
    </row>
    <row r="102" spans="1:49" ht="14.5" hidden="1">
      <c r="A102" s="6">
        <v>101</v>
      </c>
      <c r="B102" s="7" t="s">
        <v>291</v>
      </c>
      <c r="C102" s="7" t="s">
        <v>292</v>
      </c>
      <c r="D102" s="6">
        <v>15481</v>
      </c>
      <c r="E102" s="6" t="s">
        <v>293</v>
      </c>
      <c r="F102" s="6">
        <v>0</v>
      </c>
      <c r="G102" s="8"/>
      <c r="H102" s="7" t="s">
        <v>88</v>
      </c>
      <c r="I102" s="7" t="s">
        <v>294</v>
      </c>
      <c r="J102" s="6" t="s">
        <v>196</v>
      </c>
      <c r="K102" s="9" t="s">
        <v>76</v>
      </c>
      <c r="L102" s="9" t="s">
        <v>73</v>
      </c>
      <c r="M102" s="22">
        <v>1800</v>
      </c>
      <c r="N102" s="8"/>
      <c r="O102" s="10">
        <v>44196</v>
      </c>
      <c r="P102" s="9" t="s">
        <v>49</v>
      </c>
      <c r="Q102" s="9" t="s">
        <v>49</v>
      </c>
      <c r="R102" s="6">
        <v>13.36</v>
      </c>
      <c r="S102" s="6">
        <v>100.2</v>
      </c>
      <c r="T102" s="6">
        <v>859.2</v>
      </c>
      <c r="U102" s="6">
        <v>7.5</v>
      </c>
      <c r="V102" s="9" t="s">
        <v>295</v>
      </c>
      <c r="W102" s="9" t="s">
        <v>49</v>
      </c>
      <c r="X102" s="6">
        <v>1.8</v>
      </c>
      <c r="Y102" s="6">
        <v>0.4</v>
      </c>
      <c r="Z102" s="8"/>
      <c r="AA102" s="8"/>
      <c r="AB102" s="6">
        <v>2.2000000000000002</v>
      </c>
      <c r="AC102" s="8"/>
      <c r="AD102" s="6">
        <v>2.2000000000000002</v>
      </c>
      <c r="AE102" s="6">
        <v>1.44</v>
      </c>
      <c r="AF102" s="6">
        <v>0.2</v>
      </c>
      <c r="AG102" s="6">
        <v>0.16400000000000001</v>
      </c>
      <c r="AH102" s="7" t="s">
        <v>57</v>
      </c>
      <c r="AI102" s="6" t="s">
        <v>49</v>
      </c>
      <c r="AJ102" s="6" t="s">
        <v>49</v>
      </c>
      <c r="AK102" s="6" t="s">
        <v>49</v>
      </c>
      <c r="AL102" s="9" t="s">
        <v>49</v>
      </c>
      <c r="AM102" s="9" t="s">
        <v>52</v>
      </c>
      <c r="AN102" s="6" t="s">
        <v>49</v>
      </c>
      <c r="AO102" s="9" t="s">
        <v>52</v>
      </c>
      <c r="AP102" s="11">
        <v>0</v>
      </c>
      <c r="AQ102" s="11">
        <v>0</v>
      </c>
      <c r="AR102" s="11">
        <v>0</v>
      </c>
      <c r="AS102" s="11">
        <v>0</v>
      </c>
      <c r="AT102" s="11">
        <v>1.6799900000000001</v>
      </c>
      <c r="AU102" s="11">
        <v>0</v>
      </c>
      <c r="AV102" s="11" t="s">
        <v>57</v>
      </c>
    </row>
    <row r="103" spans="1:49" ht="14.5" hidden="1">
      <c r="A103" s="6">
        <v>102</v>
      </c>
      <c r="B103" s="7" t="s">
        <v>296</v>
      </c>
      <c r="C103" s="7" t="s">
        <v>49</v>
      </c>
      <c r="D103" s="6">
        <v>12523</v>
      </c>
      <c r="E103" s="6" t="s">
        <v>297</v>
      </c>
      <c r="F103" s="8"/>
      <c r="G103" s="8"/>
      <c r="H103" s="7" t="s">
        <v>49</v>
      </c>
      <c r="I103" s="7"/>
      <c r="J103" s="6" t="s">
        <v>49</v>
      </c>
      <c r="K103" s="9" t="s">
        <v>49</v>
      </c>
      <c r="L103" s="9" t="s">
        <v>73</v>
      </c>
      <c r="M103" s="8"/>
      <c r="N103" s="10">
        <v>42917</v>
      </c>
      <c r="O103" s="10">
        <v>43017</v>
      </c>
      <c r="P103" s="9" t="s">
        <v>298</v>
      </c>
      <c r="Q103" s="9" t="s">
        <v>107</v>
      </c>
      <c r="R103" s="8"/>
      <c r="S103" s="8"/>
      <c r="T103" s="8"/>
      <c r="U103" s="8"/>
      <c r="V103" s="9" t="s">
        <v>49</v>
      </c>
      <c r="W103" s="9" t="s">
        <v>49</v>
      </c>
      <c r="X103" s="8"/>
      <c r="Y103" s="8"/>
      <c r="Z103" s="8"/>
      <c r="AA103" s="8"/>
      <c r="AB103" s="8"/>
      <c r="AC103" s="8"/>
      <c r="AD103" s="8"/>
      <c r="AE103" s="8"/>
      <c r="AF103" s="8"/>
      <c r="AG103" s="8"/>
      <c r="AH103" s="7" t="s">
        <v>57</v>
      </c>
      <c r="AI103" s="6" t="s">
        <v>49</v>
      </c>
      <c r="AJ103" s="6" t="s">
        <v>49</v>
      </c>
      <c r="AK103" s="6" t="s">
        <v>49</v>
      </c>
      <c r="AL103" s="9" t="s">
        <v>49</v>
      </c>
      <c r="AM103" s="9" t="s">
        <v>299</v>
      </c>
      <c r="AN103" s="6" t="s">
        <v>49</v>
      </c>
      <c r="AO103" s="9" t="s">
        <v>300</v>
      </c>
      <c r="AP103" s="11">
        <v>0</v>
      </c>
      <c r="AQ103" s="11">
        <v>0</v>
      </c>
      <c r="AR103" s="11">
        <v>0</v>
      </c>
      <c r="AS103" s="11">
        <v>0</v>
      </c>
      <c r="AT103" s="11">
        <v>0</v>
      </c>
      <c r="AU103" s="11">
        <v>0</v>
      </c>
      <c r="AV103" s="11" t="s">
        <v>57</v>
      </c>
    </row>
    <row r="104" spans="1:49" ht="14.5" hidden="1">
      <c r="A104" s="6">
        <v>103</v>
      </c>
      <c r="B104" s="7" t="s">
        <v>301</v>
      </c>
      <c r="C104" s="7" t="s">
        <v>131</v>
      </c>
      <c r="D104" s="6">
        <v>12539</v>
      </c>
      <c r="E104" s="6" t="s">
        <v>302</v>
      </c>
      <c r="F104" s="6">
        <v>79779</v>
      </c>
      <c r="G104" s="8"/>
      <c r="H104" s="7" t="s">
        <v>88</v>
      </c>
      <c r="I104" s="7" t="s">
        <v>217</v>
      </c>
      <c r="J104" s="6" t="s">
        <v>75</v>
      </c>
      <c r="K104" s="9" t="s">
        <v>76</v>
      </c>
      <c r="L104" s="9" t="s">
        <v>73</v>
      </c>
      <c r="M104" s="20">
        <v>664</v>
      </c>
      <c r="N104" s="10">
        <v>42926</v>
      </c>
      <c r="O104" s="10">
        <v>44377</v>
      </c>
      <c r="P104" s="9" t="s">
        <v>303</v>
      </c>
      <c r="Q104" s="9" t="s">
        <v>304</v>
      </c>
      <c r="R104" s="6">
        <v>2.37</v>
      </c>
      <c r="S104" s="6">
        <v>3.7</v>
      </c>
      <c r="T104" s="6">
        <v>5.4</v>
      </c>
      <c r="U104" s="6">
        <v>1.6</v>
      </c>
      <c r="V104" s="9" t="s">
        <v>305</v>
      </c>
      <c r="W104" s="9" t="s">
        <v>132</v>
      </c>
      <c r="X104" s="8"/>
      <c r="Y104" s="8"/>
      <c r="Z104" s="6">
        <v>0.66400000000000003</v>
      </c>
      <c r="AA104" s="8"/>
      <c r="AB104" s="6">
        <v>0.66400000000000003</v>
      </c>
      <c r="AC104" s="8"/>
      <c r="AD104" s="6">
        <v>0.66400000000000003</v>
      </c>
      <c r="AE104" s="6">
        <v>0.63100000000000001</v>
      </c>
      <c r="AF104" s="8"/>
      <c r="AG104" s="6">
        <v>0.63100000000000001</v>
      </c>
      <c r="AH104" s="7" t="s">
        <v>51</v>
      </c>
      <c r="AI104" s="6" t="s">
        <v>49</v>
      </c>
      <c r="AJ104" s="6" t="s">
        <v>49</v>
      </c>
      <c r="AK104" s="6" t="s">
        <v>49</v>
      </c>
      <c r="AL104" s="9" t="s">
        <v>49</v>
      </c>
      <c r="AM104" s="9" t="s">
        <v>134</v>
      </c>
      <c r="AN104" s="6" t="s">
        <v>218</v>
      </c>
      <c r="AO104" s="9" t="s">
        <v>134</v>
      </c>
      <c r="AP104" s="11">
        <v>81.068910000000002</v>
      </c>
      <c r="AQ104" s="11">
        <v>123525.68</v>
      </c>
      <c r="AR104" s="11">
        <v>123525.66541666667</v>
      </c>
      <c r="AS104" s="11">
        <v>1442.75908</v>
      </c>
      <c r="AT104" s="11">
        <v>1990.52568</v>
      </c>
      <c r="AU104" s="11">
        <v>630</v>
      </c>
      <c r="AV104" s="11" t="s">
        <v>51</v>
      </c>
      <c r="AW104" t="s">
        <v>306</v>
      </c>
    </row>
    <row r="105" spans="1:49" ht="14.5" hidden="1">
      <c r="A105" s="6">
        <v>104</v>
      </c>
      <c r="B105" s="7" t="s">
        <v>307</v>
      </c>
      <c r="C105" s="7" t="s">
        <v>49</v>
      </c>
      <c r="D105" s="6">
        <v>12539</v>
      </c>
      <c r="E105" s="6" t="s">
        <v>49</v>
      </c>
      <c r="F105" s="8"/>
      <c r="G105" s="8"/>
      <c r="H105" s="7" t="s">
        <v>49</v>
      </c>
      <c r="I105" s="7"/>
      <c r="J105" s="6" t="s">
        <v>49</v>
      </c>
      <c r="K105" s="9" t="s">
        <v>49</v>
      </c>
      <c r="L105" s="9" t="s">
        <v>49</v>
      </c>
      <c r="M105" s="8"/>
      <c r="N105" s="10">
        <v>42926</v>
      </c>
      <c r="O105" s="10">
        <v>44377</v>
      </c>
      <c r="P105" s="9" t="s">
        <v>49</v>
      </c>
      <c r="Q105" s="9" t="s">
        <v>49</v>
      </c>
      <c r="R105" s="8"/>
      <c r="S105" s="8"/>
      <c r="T105" s="8"/>
      <c r="U105" s="8"/>
      <c r="V105" s="9" t="s">
        <v>49</v>
      </c>
      <c r="W105" s="9" t="s">
        <v>49</v>
      </c>
      <c r="X105" s="8"/>
      <c r="Y105" s="8"/>
      <c r="Z105" s="8"/>
      <c r="AA105" s="8"/>
      <c r="AB105" s="8"/>
      <c r="AC105" s="8"/>
      <c r="AD105" s="8"/>
      <c r="AE105" s="8"/>
      <c r="AF105" s="8"/>
      <c r="AG105" s="8"/>
      <c r="AH105" s="7" t="s">
        <v>51</v>
      </c>
      <c r="AI105" s="6" t="s">
        <v>71</v>
      </c>
      <c r="AJ105" s="6" t="s">
        <v>49</v>
      </c>
      <c r="AK105" s="6" t="s">
        <v>118</v>
      </c>
      <c r="AL105" s="9" t="s">
        <v>134</v>
      </c>
      <c r="AM105" s="9" t="s">
        <v>49</v>
      </c>
      <c r="AN105" s="6" t="s">
        <v>96</v>
      </c>
      <c r="AO105" s="9" t="s">
        <v>49</v>
      </c>
      <c r="AP105" s="11">
        <v>7248.8885899999996</v>
      </c>
      <c r="AQ105" s="11">
        <v>0</v>
      </c>
      <c r="AR105" s="11">
        <v>0</v>
      </c>
      <c r="AS105" s="11">
        <v>41681.266040000002</v>
      </c>
      <c r="AT105" s="11">
        <v>0</v>
      </c>
      <c r="AU105" s="11">
        <v>0</v>
      </c>
      <c r="AV105" s="11">
        <v>0</v>
      </c>
    </row>
    <row r="106" spans="1:49" ht="14.5" hidden="1">
      <c r="A106" s="6">
        <v>105</v>
      </c>
      <c r="B106" s="7" t="s">
        <v>308</v>
      </c>
      <c r="C106" s="7" t="s">
        <v>49</v>
      </c>
      <c r="D106" s="6">
        <v>15376</v>
      </c>
      <c r="E106" s="6" t="s">
        <v>49</v>
      </c>
      <c r="F106" s="12"/>
      <c r="G106" s="8"/>
      <c r="H106" s="7" t="s">
        <v>49</v>
      </c>
      <c r="I106" s="7"/>
      <c r="J106" s="6" t="s">
        <v>49</v>
      </c>
      <c r="K106" s="9" t="s">
        <v>49</v>
      </c>
      <c r="L106" s="9" t="s">
        <v>49</v>
      </c>
      <c r="M106" s="8"/>
      <c r="N106" s="10">
        <v>43280</v>
      </c>
      <c r="O106" s="10">
        <v>44561</v>
      </c>
      <c r="P106" s="9" t="s">
        <v>49</v>
      </c>
      <c r="Q106" s="9" t="s">
        <v>49</v>
      </c>
      <c r="R106" s="8"/>
      <c r="S106" s="8"/>
      <c r="T106" s="8"/>
      <c r="U106" s="8"/>
      <c r="V106" s="9" t="s">
        <v>49</v>
      </c>
      <c r="W106" s="9" t="s">
        <v>49</v>
      </c>
      <c r="X106" s="8"/>
      <c r="Y106" s="8"/>
      <c r="Z106" s="8"/>
      <c r="AA106" s="8"/>
      <c r="AB106" s="8"/>
      <c r="AC106" s="8"/>
      <c r="AD106" s="8"/>
      <c r="AE106" s="8"/>
      <c r="AF106" s="8"/>
      <c r="AG106" s="8"/>
      <c r="AH106" s="7" t="s">
        <v>57</v>
      </c>
      <c r="AI106" s="6" t="s">
        <v>71</v>
      </c>
      <c r="AJ106" s="6" t="s">
        <v>49</v>
      </c>
      <c r="AK106" s="6" t="s">
        <v>49</v>
      </c>
      <c r="AL106" s="9" t="s">
        <v>213</v>
      </c>
      <c r="AM106" s="9" t="s">
        <v>49</v>
      </c>
      <c r="AN106" s="6" t="s">
        <v>82</v>
      </c>
      <c r="AO106" s="9" t="s">
        <v>49</v>
      </c>
      <c r="AP106" s="11">
        <v>7248.8885899999996</v>
      </c>
      <c r="AQ106" s="11">
        <v>0</v>
      </c>
      <c r="AR106" s="11">
        <v>0</v>
      </c>
      <c r="AS106" s="11">
        <v>41681.266040000002</v>
      </c>
      <c r="AT106" s="11">
        <v>0</v>
      </c>
      <c r="AU106" s="11">
        <v>0</v>
      </c>
      <c r="AV106" s="11">
        <v>0</v>
      </c>
    </row>
    <row r="107" spans="1:49" ht="14.5" hidden="1">
      <c r="A107" s="6">
        <v>106</v>
      </c>
      <c r="B107" s="7" t="s">
        <v>309</v>
      </c>
      <c r="C107" s="7" t="s">
        <v>81</v>
      </c>
      <c r="D107" s="6">
        <v>15376</v>
      </c>
      <c r="E107" s="6" t="s">
        <v>310</v>
      </c>
      <c r="F107" s="8"/>
      <c r="G107" s="8"/>
      <c r="H107" s="7" t="s">
        <v>49</v>
      </c>
      <c r="I107" s="7"/>
      <c r="J107" s="6" t="s">
        <v>49</v>
      </c>
      <c r="K107" s="9" t="s">
        <v>49</v>
      </c>
      <c r="L107" s="9" t="s">
        <v>49</v>
      </c>
      <c r="M107" s="8"/>
      <c r="N107" s="10">
        <v>43318</v>
      </c>
      <c r="O107" s="10">
        <v>43831</v>
      </c>
      <c r="P107" s="9" t="s">
        <v>49</v>
      </c>
      <c r="Q107" s="9" t="s">
        <v>49</v>
      </c>
      <c r="R107" s="8"/>
      <c r="S107" s="8"/>
      <c r="T107" s="8"/>
      <c r="U107" s="8"/>
      <c r="V107" s="9" t="s">
        <v>49</v>
      </c>
      <c r="W107" s="9" t="s">
        <v>49</v>
      </c>
      <c r="X107" s="8"/>
      <c r="Y107" s="8"/>
      <c r="Z107" s="8"/>
      <c r="AA107" s="8"/>
      <c r="AB107" s="8"/>
      <c r="AC107" s="8"/>
      <c r="AD107" s="8"/>
      <c r="AE107" s="8"/>
      <c r="AF107" s="8"/>
      <c r="AG107" s="8"/>
      <c r="AH107" s="7" t="s">
        <v>51</v>
      </c>
      <c r="AI107" s="6" t="s">
        <v>49</v>
      </c>
      <c r="AJ107" s="6" t="s">
        <v>49</v>
      </c>
      <c r="AK107" s="6" t="s">
        <v>49</v>
      </c>
      <c r="AL107" s="9" t="s">
        <v>49</v>
      </c>
      <c r="AM107" s="9" t="s">
        <v>311</v>
      </c>
      <c r="AN107" s="6" t="s">
        <v>49</v>
      </c>
      <c r="AO107" s="9" t="s">
        <v>311</v>
      </c>
      <c r="AP107" s="11">
        <v>0</v>
      </c>
      <c r="AQ107" s="11">
        <v>0</v>
      </c>
      <c r="AR107" s="11">
        <v>0</v>
      </c>
      <c r="AS107" s="11">
        <v>0</v>
      </c>
      <c r="AT107" s="11">
        <v>0</v>
      </c>
      <c r="AU107" s="11">
        <v>0</v>
      </c>
      <c r="AV107" s="11" t="s">
        <v>51</v>
      </c>
    </row>
    <row r="108" spans="1:49" ht="14.5" hidden="1">
      <c r="A108" s="6">
        <v>107</v>
      </c>
      <c r="B108" s="7" t="s">
        <v>312</v>
      </c>
      <c r="C108" s="7" t="s">
        <v>81</v>
      </c>
      <c r="D108" s="6">
        <v>15376</v>
      </c>
      <c r="E108" s="6" t="s">
        <v>313</v>
      </c>
      <c r="F108" s="8"/>
      <c r="G108" s="8"/>
      <c r="H108" s="7" t="s">
        <v>49</v>
      </c>
      <c r="I108" s="7"/>
      <c r="J108" s="6" t="s">
        <v>49</v>
      </c>
      <c r="K108" s="9" t="s">
        <v>49</v>
      </c>
      <c r="L108" s="9" t="s">
        <v>73</v>
      </c>
      <c r="M108" s="8"/>
      <c r="N108" s="10">
        <v>43501</v>
      </c>
      <c r="O108" s="10">
        <v>43831</v>
      </c>
      <c r="P108" s="9" t="s">
        <v>49</v>
      </c>
      <c r="Q108" s="9" t="s">
        <v>49</v>
      </c>
      <c r="R108" s="8"/>
      <c r="S108" s="8"/>
      <c r="T108" s="8"/>
      <c r="U108" s="8"/>
      <c r="V108" s="9" t="s">
        <v>49</v>
      </c>
      <c r="W108" s="9" t="s">
        <v>49</v>
      </c>
      <c r="X108" s="8"/>
      <c r="Y108" s="8"/>
      <c r="Z108" s="8"/>
      <c r="AA108" s="8"/>
      <c r="AB108" s="8"/>
      <c r="AC108" s="8"/>
      <c r="AD108" s="8"/>
      <c r="AE108" s="8"/>
      <c r="AF108" s="8"/>
      <c r="AG108" s="8"/>
      <c r="AH108" s="7" t="s">
        <v>51</v>
      </c>
      <c r="AI108" s="6" t="s">
        <v>49</v>
      </c>
      <c r="AJ108" s="6" t="s">
        <v>49</v>
      </c>
      <c r="AK108" s="6" t="s">
        <v>49</v>
      </c>
      <c r="AL108" s="9" t="s">
        <v>49</v>
      </c>
      <c r="AM108" s="9" t="s">
        <v>200</v>
      </c>
      <c r="AN108" s="6" t="s">
        <v>49</v>
      </c>
      <c r="AO108" s="9" t="s">
        <v>201</v>
      </c>
      <c r="AP108" s="11">
        <v>0</v>
      </c>
      <c r="AQ108" s="11">
        <v>0</v>
      </c>
      <c r="AR108" s="11">
        <v>0</v>
      </c>
      <c r="AS108" s="11">
        <v>16.812519999999999</v>
      </c>
      <c r="AT108" s="11">
        <v>0</v>
      </c>
      <c r="AU108" s="11">
        <v>0</v>
      </c>
      <c r="AV108" s="11" t="s">
        <v>51</v>
      </c>
    </row>
    <row r="109" spans="1:49" ht="14.5" hidden="1">
      <c r="A109" s="6">
        <v>108</v>
      </c>
      <c r="B109" s="7" t="s">
        <v>314</v>
      </c>
      <c r="C109" s="7" t="s">
        <v>49</v>
      </c>
      <c r="D109" s="6">
        <v>15386</v>
      </c>
      <c r="E109" s="6" t="s">
        <v>49</v>
      </c>
      <c r="F109" s="8"/>
      <c r="G109" s="8"/>
      <c r="H109" s="7" t="s">
        <v>49</v>
      </c>
      <c r="I109" s="7"/>
      <c r="J109" s="6" t="s">
        <v>49</v>
      </c>
      <c r="K109" s="9" t="s">
        <v>49</v>
      </c>
      <c r="L109" s="9" t="s">
        <v>49</v>
      </c>
      <c r="M109" s="8"/>
      <c r="N109" s="10">
        <v>43525</v>
      </c>
      <c r="O109" s="10">
        <v>43851</v>
      </c>
      <c r="P109" s="9" t="s">
        <v>49</v>
      </c>
      <c r="Q109" s="9" t="s">
        <v>49</v>
      </c>
      <c r="R109" s="8"/>
      <c r="S109" s="8"/>
      <c r="T109" s="8"/>
      <c r="U109" s="8"/>
      <c r="V109" s="9" t="s">
        <v>49</v>
      </c>
      <c r="W109" s="9" t="s">
        <v>49</v>
      </c>
      <c r="X109" s="8"/>
      <c r="Y109" s="8"/>
      <c r="Z109" s="8"/>
      <c r="AA109" s="8"/>
      <c r="AB109" s="8"/>
      <c r="AC109" s="8"/>
      <c r="AD109" s="8"/>
      <c r="AE109" s="8"/>
      <c r="AF109" s="8"/>
      <c r="AG109" s="8"/>
      <c r="AH109" s="7" t="s">
        <v>57</v>
      </c>
      <c r="AI109" s="6" t="s">
        <v>71</v>
      </c>
      <c r="AJ109" s="6" t="s">
        <v>49</v>
      </c>
      <c r="AK109" s="6" t="s">
        <v>49</v>
      </c>
      <c r="AL109" s="9" t="s">
        <v>119</v>
      </c>
      <c r="AM109" s="9" t="s">
        <v>49</v>
      </c>
      <c r="AN109" s="6" t="s">
        <v>82</v>
      </c>
      <c r="AO109" s="9" t="s">
        <v>49</v>
      </c>
      <c r="AP109" s="11">
        <v>7248.8885899999996</v>
      </c>
      <c r="AQ109" s="11">
        <v>0</v>
      </c>
      <c r="AR109" s="11">
        <v>0</v>
      </c>
      <c r="AS109" s="11">
        <v>41681.266040000002</v>
      </c>
      <c r="AT109" s="11">
        <v>0</v>
      </c>
      <c r="AU109" s="11">
        <v>0</v>
      </c>
      <c r="AV109" s="11">
        <v>0</v>
      </c>
    </row>
    <row r="110" spans="1:49" ht="14.5" hidden="1">
      <c r="A110" s="6">
        <v>109</v>
      </c>
      <c r="B110" s="7" t="s">
        <v>315</v>
      </c>
      <c r="C110" s="7" t="s">
        <v>49</v>
      </c>
      <c r="D110" s="6">
        <v>15386</v>
      </c>
      <c r="E110" s="6" t="s">
        <v>316</v>
      </c>
      <c r="F110" s="8"/>
      <c r="G110" s="8"/>
      <c r="H110" s="7" t="s">
        <v>49</v>
      </c>
      <c r="I110" s="7"/>
      <c r="J110" s="6" t="s">
        <v>49</v>
      </c>
      <c r="K110" s="9" t="s">
        <v>49</v>
      </c>
      <c r="L110" s="9" t="s">
        <v>49</v>
      </c>
      <c r="M110" s="8"/>
      <c r="N110" s="10">
        <v>43525</v>
      </c>
      <c r="O110" s="10">
        <v>43851</v>
      </c>
      <c r="P110" s="9" t="s">
        <v>49</v>
      </c>
      <c r="Q110" s="9" t="s">
        <v>49</v>
      </c>
      <c r="R110" s="8"/>
      <c r="S110" s="8"/>
      <c r="T110" s="8"/>
      <c r="U110" s="8"/>
      <c r="V110" s="9" t="s">
        <v>49</v>
      </c>
      <c r="W110" s="9" t="s">
        <v>49</v>
      </c>
      <c r="X110" s="8"/>
      <c r="Y110" s="8"/>
      <c r="Z110" s="8"/>
      <c r="AA110" s="8"/>
      <c r="AB110" s="8"/>
      <c r="AC110" s="8"/>
      <c r="AD110" s="8"/>
      <c r="AE110" s="8"/>
      <c r="AF110" s="8"/>
      <c r="AG110" s="8"/>
      <c r="AH110" s="7" t="s">
        <v>51</v>
      </c>
      <c r="AI110" s="6" t="s">
        <v>49</v>
      </c>
      <c r="AJ110" s="6" t="s">
        <v>49</v>
      </c>
      <c r="AK110" s="6" t="s">
        <v>49</v>
      </c>
      <c r="AL110" s="9" t="s">
        <v>49</v>
      </c>
      <c r="AM110" s="9" t="s">
        <v>122</v>
      </c>
      <c r="AN110" s="6" t="s">
        <v>49</v>
      </c>
      <c r="AO110" s="9" t="s">
        <v>122</v>
      </c>
      <c r="AP110" s="11">
        <v>0</v>
      </c>
      <c r="AQ110" s="11">
        <v>0</v>
      </c>
      <c r="AR110" s="11">
        <v>0</v>
      </c>
      <c r="AS110" s="11">
        <v>0</v>
      </c>
      <c r="AT110" s="11">
        <v>0</v>
      </c>
      <c r="AU110" s="11">
        <v>0</v>
      </c>
      <c r="AV110" s="11" t="s">
        <v>51</v>
      </c>
    </row>
    <row r="111" spans="1:49" ht="14.5" hidden="1">
      <c r="A111" s="6">
        <v>110</v>
      </c>
      <c r="B111" s="7" t="s">
        <v>317</v>
      </c>
      <c r="C111" s="7" t="s">
        <v>49</v>
      </c>
      <c r="D111" s="6">
        <v>12514</v>
      </c>
      <c r="E111" s="6" t="s">
        <v>49</v>
      </c>
      <c r="F111" s="8"/>
      <c r="G111" s="8"/>
      <c r="H111" s="7" t="s">
        <v>49</v>
      </c>
      <c r="I111" s="7"/>
      <c r="J111" s="6" t="s">
        <v>49</v>
      </c>
      <c r="K111" s="9" t="s">
        <v>49</v>
      </c>
      <c r="L111" s="9" t="s">
        <v>49</v>
      </c>
      <c r="M111" s="8"/>
      <c r="N111" s="10">
        <v>42825</v>
      </c>
      <c r="O111" s="10">
        <v>43831</v>
      </c>
      <c r="P111" s="9" t="s">
        <v>49</v>
      </c>
      <c r="Q111" s="9" t="s">
        <v>49</v>
      </c>
      <c r="R111" s="8"/>
      <c r="S111" s="8"/>
      <c r="T111" s="8"/>
      <c r="U111" s="8"/>
      <c r="V111" s="9" t="s">
        <v>49</v>
      </c>
      <c r="W111" s="9" t="s">
        <v>49</v>
      </c>
      <c r="X111" s="8"/>
      <c r="Y111" s="8"/>
      <c r="Z111" s="8"/>
      <c r="AA111" s="8"/>
      <c r="AB111" s="8"/>
      <c r="AC111" s="8"/>
      <c r="AD111" s="8"/>
      <c r="AE111" s="8"/>
      <c r="AF111" s="8"/>
      <c r="AG111" s="8"/>
      <c r="AH111" s="7" t="s">
        <v>51</v>
      </c>
      <c r="AI111" s="6" t="s">
        <v>71</v>
      </c>
      <c r="AJ111" s="6" t="s">
        <v>49</v>
      </c>
      <c r="AK111" s="6" t="s">
        <v>118</v>
      </c>
      <c r="AL111" s="9" t="s">
        <v>119</v>
      </c>
      <c r="AM111" s="9" t="s">
        <v>49</v>
      </c>
      <c r="AN111" s="6" t="s">
        <v>96</v>
      </c>
      <c r="AO111" s="9" t="s">
        <v>49</v>
      </c>
      <c r="AP111" s="11">
        <v>7248.8885899999996</v>
      </c>
      <c r="AQ111" s="11">
        <v>0</v>
      </c>
      <c r="AR111" s="11">
        <v>0</v>
      </c>
      <c r="AS111" s="11">
        <v>41681.266040000002</v>
      </c>
      <c r="AT111" s="11">
        <v>0</v>
      </c>
      <c r="AU111" s="11">
        <v>0</v>
      </c>
      <c r="AV111" s="11">
        <v>0</v>
      </c>
    </row>
    <row r="112" spans="1:49" ht="14.5" hidden="1">
      <c r="A112" s="6">
        <v>111</v>
      </c>
      <c r="B112" s="7" t="s">
        <v>318</v>
      </c>
      <c r="C112" s="7" t="s">
        <v>49</v>
      </c>
      <c r="D112" s="6">
        <v>12514</v>
      </c>
      <c r="E112" s="6" t="s">
        <v>319</v>
      </c>
      <c r="F112" s="8"/>
      <c r="G112" s="8"/>
      <c r="H112" s="7" t="s">
        <v>49</v>
      </c>
      <c r="I112" s="7"/>
      <c r="J112" s="6" t="s">
        <v>49</v>
      </c>
      <c r="K112" s="9" t="s">
        <v>49</v>
      </c>
      <c r="L112" s="9" t="s">
        <v>49</v>
      </c>
      <c r="M112" s="12"/>
      <c r="N112" s="10">
        <v>42825</v>
      </c>
      <c r="O112" s="10">
        <v>43831</v>
      </c>
      <c r="P112" s="9" t="s">
        <v>49</v>
      </c>
      <c r="Q112" s="9" t="s">
        <v>49</v>
      </c>
      <c r="R112" s="12"/>
      <c r="S112" s="12"/>
      <c r="T112" s="12"/>
      <c r="U112" s="12"/>
      <c r="V112" s="9" t="s">
        <v>49</v>
      </c>
      <c r="W112" s="9" t="s">
        <v>49</v>
      </c>
      <c r="X112" s="8"/>
      <c r="Y112" s="8"/>
      <c r="Z112" s="8"/>
      <c r="AA112" s="8"/>
      <c r="AB112" s="8"/>
      <c r="AC112" s="8"/>
      <c r="AD112" s="8"/>
      <c r="AE112" s="8"/>
      <c r="AF112" s="8"/>
      <c r="AG112" s="8"/>
      <c r="AH112" s="7" t="s">
        <v>51</v>
      </c>
      <c r="AI112" s="6" t="s">
        <v>49</v>
      </c>
      <c r="AJ112" s="6" t="s">
        <v>49</v>
      </c>
      <c r="AK112" s="6" t="s">
        <v>49</v>
      </c>
      <c r="AL112" s="9" t="s">
        <v>49</v>
      </c>
      <c r="AM112" s="9" t="s">
        <v>122</v>
      </c>
      <c r="AN112" s="6" t="s">
        <v>49</v>
      </c>
      <c r="AO112" s="9" t="s">
        <v>320</v>
      </c>
      <c r="AP112" s="11">
        <v>0</v>
      </c>
      <c r="AQ112" s="11">
        <v>0</v>
      </c>
      <c r="AR112" s="11">
        <v>0</v>
      </c>
      <c r="AS112" s="11">
        <v>0</v>
      </c>
      <c r="AT112" s="11">
        <v>0</v>
      </c>
      <c r="AU112" s="11">
        <v>0</v>
      </c>
      <c r="AV112" s="11" t="s">
        <v>51</v>
      </c>
    </row>
    <row r="113" spans="1:49" ht="14.5" hidden="1">
      <c r="A113" s="6">
        <v>112</v>
      </c>
      <c r="B113" s="7" t="s">
        <v>321</v>
      </c>
      <c r="C113" s="7" t="s">
        <v>81</v>
      </c>
      <c r="D113" s="6">
        <v>16012</v>
      </c>
      <c r="E113" s="6" t="s">
        <v>49</v>
      </c>
      <c r="F113" s="8"/>
      <c r="G113" s="8"/>
      <c r="H113" s="7" t="s">
        <v>49</v>
      </c>
      <c r="I113" s="7"/>
      <c r="J113" s="6" t="s">
        <v>49</v>
      </c>
      <c r="K113" s="9" t="s">
        <v>49</v>
      </c>
      <c r="L113" s="9" t="s">
        <v>49</v>
      </c>
      <c r="M113" s="8"/>
      <c r="N113" s="12"/>
      <c r="O113" s="10">
        <v>43819</v>
      </c>
      <c r="P113" s="9" t="s">
        <v>49</v>
      </c>
      <c r="Q113" s="9" t="s">
        <v>49</v>
      </c>
      <c r="R113" s="8"/>
      <c r="S113" s="8"/>
      <c r="T113" s="8"/>
      <c r="U113" s="8"/>
      <c r="V113" s="9" t="s">
        <v>49</v>
      </c>
      <c r="W113" s="9" t="s">
        <v>49</v>
      </c>
      <c r="X113" s="8"/>
      <c r="Y113" s="8"/>
      <c r="Z113" s="8"/>
      <c r="AA113" s="8"/>
      <c r="AB113" s="8"/>
      <c r="AC113" s="8"/>
      <c r="AD113" s="8"/>
      <c r="AE113" s="8"/>
      <c r="AF113" s="8"/>
      <c r="AG113" s="8"/>
      <c r="AH113" s="7" t="s">
        <v>57</v>
      </c>
      <c r="AI113" s="6" t="s">
        <v>71</v>
      </c>
      <c r="AJ113" s="6" t="s">
        <v>49</v>
      </c>
      <c r="AK113" s="6" t="s">
        <v>49</v>
      </c>
      <c r="AL113" s="9" t="s">
        <v>322</v>
      </c>
      <c r="AM113" s="9" t="s">
        <v>49</v>
      </c>
      <c r="AN113" s="6" t="s">
        <v>85</v>
      </c>
      <c r="AO113" s="9" t="s">
        <v>49</v>
      </c>
      <c r="AP113" s="11">
        <v>7248.8885899999996</v>
      </c>
      <c r="AQ113" s="11">
        <v>0</v>
      </c>
      <c r="AR113" s="11">
        <v>0</v>
      </c>
      <c r="AS113" s="11">
        <v>41681.266040000002</v>
      </c>
      <c r="AT113" s="11">
        <v>0</v>
      </c>
      <c r="AU113" s="11">
        <v>0</v>
      </c>
      <c r="AV113" s="11">
        <v>0</v>
      </c>
    </row>
    <row r="114" spans="1:49" ht="14.5">
      <c r="A114" s="6">
        <v>113</v>
      </c>
      <c r="B114" s="7" t="s">
        <v>321</v>
      </c>
      <c r="C114" s="7" t="s">
        <v>81</v>
      </c>
      <c r="D114" s="6">
        <v>16012</v>
      </c>
      <c r="E114" s="6" t="s">
        <v>323</v>
      </c>
      <c r="F114" s="8"/>
      <c r="G114" s="8"/>
      <c r="H114" s="7" t="s">
        <v>245</v>
      </c>
      <c r="I114" s="7"/>
      <c r="J114" s="6" t="s">
        <v>75</v>
      </c>
      <c r="K114" s="9" t="s">
        <v>76</v>
      </c>
      <c r="L114" s="9" t="s">
        <v>49</v>
      </c>
      <c r="M114" s="8"/>
      <c r="N114" s="12"/>
      <c r="O114" s="10">
        <v>43819</v>
      </c>
      <c r="P114" s="9" t="s">
        <v>49</v>
      </c>
      <c r="Q114" s="9" t="s">
        <v>49</v>
      </c>
      <c r="R114" s="8"/>
      <c r="S114" s="8"/>
      <c r="T114" s="8"/>
      <c r="U114" s="8"/>
      <c r="V114" s="9" t="s">
        <v>49</v>
      </c>
      <c r="W114" s="9" t="s">
        <v>49</v>
      </c>
      <c r="X114" s="8"/>
      <c r="Y114" s="8"/>
      <c r="Z114" s="8"/>
      <c r="AA114" s="6">
        <v>0.16</v>
      </c>
      <c r="AB114" s="6">
        <v>0.16</v>
      </c>
      <c r="AC114" s="8"/>
      <c r="AD114" s="6">
        <v>0.16</v>
      </c>
      <c r="AE114" s="8"/>
      <c r="AF114" s="6">
        <v>0.08</v>
      </c>
      <c r="AG114" s="6">
        <v>0.08</v>
      </c>
      <c r="AH114" s="7" t="s">
        <v>57</v>
      </c>
      <c r="AI114" s="6" t="s">
        <v>49</v>
      </c>
      <c r="AJ114" s="6" t="s">
        <v>49</v>
      </c>
      <c r="AK114" s="6" t="s">
        <v>49</v>
      </c>
      <c r="AL114" s="9" t="s">
        <v>49</v>
      </c>
      <c r="AM114" s="9" t="s">
        <v>200</v>
      </c>
      <c r="AN114" s="6" t="s">
        <v>49</v>
      </c>
      <c r="AO114" s="9" t="s">
        <v>242</v>
      </c>
      <c r="AP114" s="11">
        <v>0</v>
      </c>
      <c r="AQ114" s="11">
        <v>0</v>
      </c>
      <c r="AR114" s="11">
        <v>0</v>
      </c>
      <c r="AS114" s="11">
        <v>0</v>
      </c>
      <c r="AT114" s="11">
        <v>183.2</v>
      </c>
      <c r="AU114" s="11">
        <v>0</v>
      </c>
      <c r="AV114" s="11" t="s">
        <v>57</v>
      </c>
    </row>
    <row r="115" spans="1:49" ht="14.5" hidden="1">
      <c r="A115" s="6">
        <v>114</v>
      </c>
      <c r="B115" s="7" t="s">
        <v>324</v>
      </c>
      <c r="C115" s="7" t="s">
        <v>81</v>
      </c>
      <c r="D115" s="6">
        <v>15488</v>
      </c>
      <c r="E115" s="6" t="s">
        <v>49</v>
      </c>
      <c r="F115" s="8"/>
      <c r="G115" s="8"/>
      <c r="H115" s="7" t="s">
        <v>49</v>
      </c>
      <c r="I115" s="7"/>
      <c r="J115" s="6" t="s">
        <v>49</v>
      </c>
      <c r="K115" s="9" t="s">
        <v>49</v>
      </c>
      <c r="L115" s="9" t="s">
        <v>49</v>
      </c>
      <c r="M115" s="8"/>
      <c r="N115" s="10">
        <v>43563</v>
      </c>
      <c r="O115" s="10">
        <v>43859</v>
      </c>
      <c r="P115" s="9" t="s">
        <v>49</v>
      </c>
      <c r="Q115" s="9" t="s">
        <v>49</v>
      </c>
      <c r="R115" s="8"/>
      <c r="S115" s="8"/>
      <c r="T115" s="8"/>
      <c r="U115" s="8"/>
      <c r="V115" s="9" t="s">
        <v>49</v>
      </c>
      <c r="W115" s="9" t="s">
        <v>49</v>
      </c>
      <c r="X115" s="8"/>
      <c r="Y115" s="8"/>
      <c r="Z115" s="8"/>
      <c r="AA115" s="8"/>
      <c r="AB115" s="8"/>
      <c r="AC115" s="8"/>
      <c r="AD115" s="8"/>
      <c r="AE115" s="8"/>
      <c r="AF115" s="8"/>
      <c r="AG115" s="8"/>
      <c r="AH115" s="7" t="s">
        <v>57</v>
      </c>
      <c r="AI115" s="6" t="s">
        <v>71</v>
      </c>
      <c r="AJ115" s="6" t="s">
        <v>49</v>
      </c>
      <c r="AK115" s="6" t="s">
        <v>49</v>
      </c>
      <c r="AL115" s="9" t="s">
        <v>325</v>
      </c>
      <c r="AM115" s="9" t="s">
        <v>49</v>
      </c>
      <c r="AN115" s="6" t="s">
        <v>85</v>
      </c>
      <c r="AO115" s="9" t="s">
        <v>49</v>
      </c>
      <c r="AP115" s="11">
        <v>7248.8885899999996</v>
      </c>
      <c r="AQ115" s="11">
        <v>0</v>
      </c>
      <c r="AR115" s="11">
        <v>0</v>
      </c>
      <c r="AS115" s="11">
        <v>41681.266040000002</v>
      </c>
      <c r="AT115" s="11">
        <v>0</v>
      </c>
      <c r="AU115" s="11">
        <v>0</v>
      </c>
      <c r="AV115" s="11">
        <v>0</v>
      </c>
    </row>
    <row r="116" spans="1:49" ht="14.5" hidden="1">
      <c r="A116" s="6">
        <v>115</v>
      </c>
      <c r="B116" s="7" t="s">
        <v>326</v>
      </c>
      <c r="C116" s="7" t="s">
        <v>81</v>
      </c>
      <c r="D116" s="6">
        <v>15488</v>
      </c>
      <c r="E116" s="6" t="s">
        <v>327</v>
      </c>
      <c r="F116" s="6">
        <v>83407</v>
      </c>
      <c r="G116" s="8"/>
      <c r="H116" s="7" t="s">
        <v>88</v>
      </c>
      <c r="I116" s="7" t="s">
        <v>266</v>
      </c>
      <c r="J116" s="6" t="s">
        <v>75</v>
      </c>
      <c r="K116" s="9" t="s">
        <v>76</v>
      </c>
      <c r="L116" s="9" t="s">
        <v>218</v>
      </c>
      <c r="M116" s="8"/>
      <c r="N116" s="10">
        <v>43563</v>
      </c>
      <c r="O116" s="10">
        <v>43859</v>
      </c>
      <c r="P116" s="9" t="s">
        <v>328</v>
      </c>
      <c r="Q116" s="9" t="s">
        <v>329</v>
      </c>
      <c r="R116" s="8"/>
      <c r="S116" s="8"/>
      <c r="T116" s="8"/>
      <c r="U116" s="8"/>
      <c r="V116" s="9" t="s">
        <v>49</v>
      </c>
      <c r="W116" s="9" t="s">
        <v>49</v>
      </c>
      <c r="X116" s="8"/>
      <c r="Y116" s="8"/>
      <c r="Z116" s="8"/>
      <c r="AA116" s="6">
        <v>1.1000000000000001</v>
      </c>
      <c r="AB116" s="6">
        <v>1.1000000000000001</v>
      </c>
      <c r="AC116" s="6">
        <v>2.3050000000000002</v>
      </c>
      <c r="AD116" s="6">
        <v>3.4049999999999998</v>
      </c>
      <c r="AE116" s="8"/>
      <c r="AF116" s="6">
        <v>0.55000000000000004</v>
      </c>
      <c r="AG116" s="6">
        <v>0.55000000000000004</v>
      </c>
      <c r="AH116" s="7" t="s">
        <v>57</v>
      </c>
      <c r="AI116" s="6" t="s">
        <v>49</v>
      </c>
      <c r="AJ116" s="6" t="s">
        <v>49</v>
      </c>
      <c r="AK116" s="6" t="s">
        <v>49</v>
      </c>
      <c r="AL116" s="9" t="s">
        <v>49</v>
      </c>
      <c r="AM116" s="9" t="s">
        <v>325</v>
      </c>
      <c r="AN116" s="6" t="s">
        <v>49</v>
      </c>
      <c r="AO116" s="9" t="s">
        <v>325</v>
      </c>
      <c r="AP116" s="11">
        <v>-1.4937499999999999</v>
      </c>
      <c r="AQ116" s="11">
        <v>-1493.75</v>
      </c>
      <c r="AR116" s="11">
        <v>-1493.7500000000002</v>
      </c>
      <c r="AS116" s="11">
        <v>208.20335</v>
      </c>
      <c r="AT116" s="11">
        <v>-1.4937499999999999</v>
      </c>
      <c r="AU116" s="11">
        <v>0</v>
      </c>
      <c r="AV116" s="11" t="s">
        <v>57</v>
      </c>
    </row>
    <row r="117" spans="1:49" ht="14.5" hidden="1">
      <c r="A117" s="6">
        <v>116</v>
      </c>
      <c r="B117" s="7" t="s">
        <v>330</v>
      </c>
      <c r="C117" s="7" t="s">
        <v>49</v>
      </c>
      <c r="D117" s="6">
        <v>12625</v>
      </c>
      <c r="E117" s="6" t="s">
        <v>49</v>
      </c>
      <c r="F117" s="8"/>
      <c r="G117" s="8"/>
      <c r="H117" s="7" t="s">
        <v>49</v>
      </c>
      <c r="I117" s="7"/>
      <c r="J117" s="6" t="s">
        <v>49</v>
      </c>
      <c r="K117" s="9" t="s">
        <v>49</v>
      </c>
      <c r="L117" s="9" t="s">
        <v>49</v>
      </c>
      <c r="M117" s="8"/>
      <c r="N117" s="10">
        <v>43252</v>
      </c>
      <c r="O117" s="10">
        <v>43860</v>
      </c>
      <c r="P117" s="9" t="s">
        <v>49</v>
      </c>
      <c r="Q117" s="9" t="s">
        <v>49</v>
      </c>
      <c r="R117" s="8"/>
      <c r="S117" s="8"/>
      <c r="T117" s="8"/>
      <c r="U117" s="8"/>
      <c r="V117" s="9" t="s">
        <v>49</v>
      </c>
      <c r="W117" s="9" t="s">
        <v>49</v>
      </c>
      <c r="X117" s="8"/>
      <c r="Y117" s="8"/>
      <c r="Z117" s="8"/>
      <c r="AA117" s="8"/>
      <c r="AB117" s="8"/>
      <c r="AC117" s="8"/>
      <c r="AD117" s="8"/>
      <c r="AE117" s="8"/>
      <c r="AF117" s="8"/>
      <c r="AG117" s="8"/>
      <c r="AH117" s="7" t="s">
        <v>51</v>
      </c>
      <c r="AI117" s="6" t="s">
        <v>71</v>
      </c>
      <c r="AJ117" s="6" t="s">
        <v>49</v>
      </c>
      <c r="AK117" s="6" t="s">
        <v>49</v>
      </c>
      <c r="AL117" s="9" t="s">
        <v>200</v>
      </c>
      <c r="AM117" s="9" t="s">
        <v>49</v>
      </c>
      <c r="AN117" s="6" t="s">
        <v>82</v>
      </c>
      <c r="AO117" s="9" t="s">
        <v>49</v>
      </c>
      <c r="AP117" s="11">
        <v>7248.8885899999996</v>
      </c>
      <c r="AQ117" s="11">
        <v>0</v>
      </c>
      <c r="AR117" s="11">
        <v>0</v>
      </c>
      <c r="AS117" s="11">
        <v>41681.266040000002</v>
      </c>
      <c r="AT117" s="11">
        <v>0</v>
      </c>
      <c r="AU117" s="11">
        <v>0</v>
      </c>
      <c r="AV117" s="11">
        <v>0</v>
      </c>
    </row>
    <row r="118" spans="1:49" ht="14.5" hidden="1">
      <c r="A118" s="6">
        <v>117</v>
      </c>
      <c r="B118" s="7" t="s">
        <v>330</v>
      </c>
      <c r="C118" s="7" t="s">
        <v>49</v>
      </c>
      <c r="D118" s="6">
        <v>12625</v>
      </c>
      <c r="E118" s="6" t="s">
        <v>331</v>
      </c>
      <c r="F118" s="8"/>
      <c r="G118" s="8"/>
      <c r="H118" s="7" t="s">
        <v>49</v>
      </c>
      <c r="I118" s="7"/>
      <c r="J118" s="6" t="s">
        <v>49</v>
      </c>
      <c r="K118" s="9" t="s">
        <v>49</v>
      </c>
      <c r="L118" s="9" t="s">
        <v>49</v>
      </c>
      <c r="M118" s="12"/>
      <c r="N118" s="10">
        <v>43252</v>
      </c>
      <c r="O118" s="10">
        <v>43860</v>
      </c>
      <c r="P118" s="9" t="s">
        <v>49</v>
      </c>
      <c r="Q118" s="9" t="s">
        <v>49</v>
      </c>
      <c r="R118" s="8"/>
      <c r="S118" s="8"/>
      <c r="T118" s="8"/>
      <c r="U118" s="8"/>
      <c r="V118" s="9" t="s">
        <v>49</v>
      </c>
      <c r="W118" s="9" t="s">
        <v>49</v>
      </c>
      <c r="X118" s="8"/>
      <c r="Y118" s="8"/>
      <c r="Z118" s="8"/>
      <c r="AA118" s="8"/>
      <c r="AB118" s="8"/>
      <c r="AC118" s="8"/>
      <c r="AD118" s="8"/>
      <c r="AE118" s="8"/>
      <c r="AF118" s="8"/>
      <c r="AG118" s="8"/>
      <c r="AH118" s="7" t="s">
        <v>51</v>
      </c>
      <c r="AI118" s="6" t="s">
        <v>49</v>
      </c>
      <c r="AJ118" s="6" t="s">
        <v>49</v>
      </c>
      <c r="AK118" s="6" t="s">
        <v>49</v>
      </c>
      <c r="AL118" s="9" t="s">
        <v>49</v>
      </c>
      <c r="AM118" s="9" t="s">
        <v>200</v>
      </c>
      <c r="AN118" s="6" t="s">
        <v>49</v>
      </c>
      <c r="AO118" s="9" t="s">
        <v>99</v>
      </c>
      <c r="AP118" s="11">
        <v>0</v>
      </c>
      <c r="AQ118" s="11">
        <v>0</v>
      </c>
      <c r="AR118" s="11">
        <v>0</v>
      </c>
      <c r="AS118" s="11">
        <v>0</v>
      </c>
      <c r="AT118" s="11">
        <v>0</v>
      </c>
      <c r="AU118" s="11">
        <v>0</v>
      </c>
      <c r="AV118" s="11" t="s">
        <v>51</v>
      </c>
    </row>
    <row r="119" spans="1:49" ht="14.5" hidden="1">
      <c r="A119" s="6">
        <v>118</v>
      </c>
      <c r="B119" s="7" t="s">
        <v>332</v>
      </c>
      <c r="C119" s="7" t="s">
        <v>49</v>
      </c>
      <c r="D119" s="6">
        <v>12519</v>
      </c>
      <c r="E119" s="6" t="s">
        <v>49</v>
      </c>
      <c r="F119" s="8"/>
      <c r="G119" s="8"/>
      <c r="H119" s="7" t="s">
        <v>49</v>
      </c>
      <c r="I119" s="7"/>
      <c r="J119" s="6" t="s">
        <v>49</v>
      </c>
      <c r="K119" s="9" t="s">
        <v>49</v>
      </c>
      <c r="L119" s="9" t="s">
        <v>49</v>
      </c>
      <c r="M119" s="8"/>
      <c r="N119" s="10">
        <v>42919</v>
      </c>
      <c r="O119" s="10">
        <v>43920</v>
      </c>
      <c r="P119" s="9" t="s">
        <v>49</v>
      </c>
      <c r="Q119" s="9" t="s">
        <v>49</v>
      </c>
      <c r="R119" s="8"/>
      <c r="S119" s="8"/>
      <c r="T119" s="8"/>
      <c r="U119" s="8"/>
      <c r="V119" s="9" t="s">
        <v>49</v>
      </c>
      <c r="W119" s="9" t="s">
        <v>49</v>
      </c>
      <c r="X119" s="8"/>
      <c r="Y119" s="8"/>
      <c r="Z119" s="8"/>
      <c r="AA119" s="8"/>
      <c r="AB119" s="8"/>
      <c r="AC119" s="8"/>
      <c r="AD119" s="8"/>
      <c r="AE119" s="8"/>
      <c r="AF119" s="8"/>
      <c r="AG119" s="8"/>
      <c r="AH119" s="7" t="s">
        <v>51</v>
      </c>
      <c r="AI119" s="6" t="s">
        <v>71</v>
      </c>
      <c r="AJ119" s="6" t="s">
        <v>49</v>
      </c>
      <c r="AK119" s="6" t="s">
        <v>118</v>
      </c>
      <c r="AL119" s="9" t="s">
        <v>200</v>
      </c>
      <c r="AM119" s="9" t="s">
        <v>49</v>
      </c>
      <c r="AN119" s="6" t="s">
        <v>96</v>
      </c>
      <c r="AO119" s="9" t="s">
        <v>49</v>
      </c>
      <c r="AP119" s="11">
        <v>7248.8885899999996</v>
      </c>
      <c r="AQ119" s="11">
        <v>0</v>
      </c>
      <c r="AR119" s="11">
        <v>0</v>
      </c>
      <c r="AS119" s="11">
        <v>41681.266040000002</v>
      </c>
      <c r="AT119" s="11">
        <v>0</v>
      </c>
      <c r="AU119" s="11">
        <v>0</v>
      </c>
      <c r="AV119" s="11">
        <v>0</v>
      </c>
    </row>
    <row r="120" spans="1:49" ht="14.5" hidden="1">
      <c r="A120" s="6">
        <v>119</v>
      </c>
      <c r="B120" s="7" t="s">
        <v>332</v>
      </c>
      <c r="C120" s="7" t="s">
        <v>49</v>
      </c>
      <c r="D120" s="6">
        <v>12519</v>
      </c>
      <c r="E120" s="6" t="s">
        <v>333</v>
      </c>
      <c r="F120" s="8"/>
      <c r="G120" s="8"/>
      <c r="H120" s="7" t="s">
        <v>49</v>
      </c>
      <c r="I120" s="7"/>
      <c r="J120" s="6" t="s">
        <v>49</v>
      </c>
      <c r="K120" s="9" t="s">
        <v>49</v>
      </c>
      <c r="L120" s="9" t="s">
        <v>49</v>
      </c>
      <c r="M120" s="8"/>
      <c r="N120" s="10">
        <v>42919</v>
      </c>
      <c r="O120" s="10">
        <v>43920</v>
      </c>
      <c r="P120" s="9" t="s">
        <v>49</v>
      </c>
      <c r="Q120" s="9" t="s">
        <v>49</v>
      </c>
      <c r="R120" s="8"/>
      <c r="S120" s="8"/>
      <c r="T120" s="8"/>
      <c r="U120" s="8"/>
      <c r="V120" s="9" t="s">
        <v>49</v>
      </c>
      <c r="W120" s="9" t="s">
        <v>49</v>
      </c>
      <c r="X120" s="8"/>
      <c r="Y120" s="8"/>
      <c r="Z120" s="8"/>
      <c r="AA120" s="8"/>
      <c r="AB120" s="8"/>
      <c r="AC120" s="8"/>
      <c r="AD120" s="8"/>
      <c r="AE120" s="8"/>
      <c r="AF120" s="8"/>
      <c r="AG120" s="8"/>
      <c r="AH120" s="7" t="s">
        <v>51</v>
      </c>
      <c r="AI120" s="6" t="s">
        <v>49</v>
      </c>
      <c r="AJ120" s="6" t="s">
        <v>49</v>
      </c>
      <c r="AK120" s="6" t="s">
        <v>49</v>
      </c>
      <c r="AL120" s="9" t="s">
        <v>49</v>
      </c>
      <c r="AM120" s="9" t="s">
        <v>200</v>
      </c>
      <c r="AN120" s="6" t="s">
        <v>49</v>
      </c>
      <c r="AO120" s="9" t="s">
        <v>201</v>
      </c>
      <c r="AP120" s="11">
        <v>0</v>
      </c>
      <c r="AQ120" s="11">
        <v>0</v>
      </c>
      <c r="AR120" s="11">
        <v>0</v>
      </c>
      <c r="AS120" s="11">
        <v>0</v>
      </c>
      <c r="AT120" s="11">
        <v>0</v>
      </c>
      <c r="AU120" s="11">
        <v>0</v>
      </c>
      <c r="AV120" s="11" t="s">
        <v>51</v>
      </c>
    </row>
    <row r="121" spans="1:49" ht="14.5" hidden="1">
      <c r="A121" s="6">
        <v>120</v>
      </c>
      <c r="B121" s="7" t="s">
        <v>334</v>
      </c>
      <c r="C121" s="7" t="s">
        <v>81</v>
      </c>
      <c r="D121" s="6">
        <v>12624</v>
      </c>
      <c r="E121" s="6" t="s">
        <v>49</v>
      </c>
      <c r="F121" s="12"/>
      <c r="G121" s="8"/>
      <c r="H121" s="7" t="s">
        <v>88</v>
      </c>
      <c r="I121" s="7"/>
      <c r="J121" s="6" t="s">
        <v>49</v>
      </c>
      <c r="K121" s="9" t="s">
        <v>49</v>
      </c>
      <c r="L121" s="9" t="s">
        <v>49</v>
      </c>
      <c r="M121" s="8"/>
      <c r="N121" s="10">
        <v>43098</v>
      </c>
      <c r="O121" s="10">
        <v>44196</v>
      </c>
      <c r="P121" s="9" t="s">
        <v>49</v>
      </c>
      <c r="Q121" s="9" t="s">
        <v>49</v>
      </c>
      <c r="R121" s="12"/>
      <c r="S121" s="12"/>
      <c r="T121" s="12"/>
      <c r="U121" s="12"/>
      <c r="V121" s="9" t="s">
        <v>49</v>
      </c>
      <c r="W121" s="9" t="s">
        <v>49</v>
      </c>
      <c r="X121" s="8"/>
      <c r="Y121" s="8"/>
      <c r="Z121" s="12"/>
      <c r="AA121" s="6">
        <v>2</v>
      </c>
      <c r="AB121" s="6">
        <v>2</v>
      </c>
      <c r="AC121" s="8"/>
      <c r="AD121" s="6">
        <v>3</v>
      </c>
      <c r="AE121" s="12"/>
      <c r="AF121" s="6">
        <v>1</v>
      </c>
      <c r="AG121" s="6">
        <v>1</v>
      </c>
      <c r="AH121" s="7" t="s">
        <v>57</v>
      </c>
      <c r="AI121" s="6" t="s">
        <v>71</v>
      </c>
      <c r="AJ121" s="6" t="s">
        <v>49</v>
      </c>
      <c r="AK121" s="6" t="s">
        <v>49</v>
      </c>
      <c r="AL121" s="9" t="s">
        <v>236</v>
      </c>
      <c r="AM121" s="9" t="s">
        <v>49</v>
      </c>
      <c r="AN121" s="6" t="s">
        <v>218</v>
      </c>
      <c r="AO121" s="9" t="s">
        <v>49</v>
      </c>
      <c r="AP121" s="11">
        <v>7248.8885899999996</v>
      </c>
      <c r="AQ121" s="11">
        <v>0</v>
      </c>
      <c r="AR121" s="11">
        <v>0</v>
      </c>
      <c r="AS121" s="11">
        <v>41681.266040000002</v>
      </c>
      <c r="AT121" s="11">
        <v>0</v>
      </c>
      <c r="AU121" s="11">
        <v>600</v>
      </c>
      <c r="AV121" s="11">
        <v>0</v>
      </c>
    </row>
    <row r="122" spans="1:49" ht="14.5" hidden="1">
      <c r="A122" s="6">
        <v>121</v>
      </c>
      <c r="B122" s="7" t="s">
        <v>334</v>
      </c>
      <c r="C122" s="7" t="s">
        <v>81</v>
      </c>
      <c r="D122" s="6">
        <v>12624</v>
      </c>
      <c r="E122" s="6" t="s">
        <v>335</v>
      </c>
      <c r="F122" s="8"/>
      <c r="G122" s="8"/>
      <c r="H122" s="7" t="s">
        <v>88</v>
      </c>
      <c r="I122" s="7"/>
      <c r="J122" s="6" t="s">
        <v>75</v>
      </c>
      <c r="K122" s="9" t="s">
        <v>76</v>
      </c>
      <c r="L122" s="9" t="s">
        <v>49</v>
      </c>
      <c r="M122" s="8"/>
      <c r="N122" s="10">
        <v>43098</v>
      </c>
      <c r="O122" s="10">
        <v>44196</v>
      </c>
      <c r="P122" s="9" t="s">
        <v>49</v>
      </c>
      <c r="Q122" s="9" t="s">
        <v>49</v>
      </c>
      <c r="R122" s="8"/>
      <c r="S122" s="8"/>
      <c r="T122" s="8"/>
      <c r="U122" s="8"/>
      <c r="V122" s="9" t="s">
        <v>49</v>
      </c>
      <c r="W122" s="9" t="s">
        <v>49</v>
      </c>
      <c r="X122" s="8"/>
      <c r="Y122" s="8"/>
      <c r="Z122" s="8"/>
      <c r="AA122" s="6">
        <v>1.8</v>
      </c>
      <c r="AB122" s="6">
        <v>1.8</v>
      </c>
      <c r="AC122" s="8"/>
      <c r="AD122" s="6">
        <v>1.8</v>
      </c>
      <c r="AE122" s="8"/>
      <c r="AF122" s="6">
        <v>0.9</v>
      </c>
      <c r="AG122" s="6">
        <v>0.9</v>
      </c>
      <c r="AH122" s="7" t="s">
        <v>51</v>
      </c>
      <c r="AI122" s="6" t="s">
        <v>49</v>
      </c>
      <c r="AJ122" s="6" t="s">
        <v>49</v>
      </c>
      <c r="AK122" s="6" t="s">
        <v>49</v>
      </c>
      <c r="AL122" s="9" t="s">
        <v>49</v>
      </c>
      <c r="AM122" s="9" t="s">
        <v>236</v>
      </c>
      <c r="AN122" s="6" t="s">
        <v>218</v>
      </c>
      <c r="AO122" s="9" t="s">
        <v>201</v>
      </c>
      <c r="AP122" s="11">
        <v>0</v>
      </c>
      <c r="AQ122" s="11">
        <v>0</v>
      </c>
      <c r="AR122" s="11">
        <v>0</v>
      </c>
      <c r="AS122" s="11">
        <v>0</v>
      </c>
      <c r="AT122" s="11">
        <v>600</v>
      </c>
      <c r="AU122" s="11">
        <v>600</v>
      </c>
      <c r="AV122" s="11" t="s">
        <v>51</v>
      </c>
    </row>
    <row r="123" spans="1:49" ht="14.5" hidden="1">
      <c r="A123" s="6">
        <v>122</v>
      </c>
      <c r="B123" s="7" t="s">
        <v>336</v>
      </c>
      <c r="C123" s="7" t="s">
        <v>337</v>
      </c>
      <c r="D123" s="6">
        <v>15545</v>
      </c>
      <c r="E123" s="6" t="s">
        <v>49</v>
      </c>
      <c r="F123" s="8"/>
      <c r="G123" s="8"/>
      <c r="H123" s="7" t="s">
        <v>49</v>
      </c>
      <c r="I123" s="7"/>
      <c r="J123" s="6" t="s">
        <v>49</v>
      </c>
      <c r="K123" s="9" t="s">
        <v>49</v>
      </c>
      <c r="L123" s="9" t="s">
        <v>49</v>
      </c>
      <c r="M123" s="8"/>
      <c r="N123" s="10">
        <v>43556</v>
      </c>
      <c r="O123" s="10">
        <v>43860</v>
      </c>
      <c r="P123" s="9" t="s">
        <v>49</v>
      </c>
      <c r="Q123" s="9" t="s">
        <v>49</v>
      </c>
      <c r="R123" s="8"/>
      <c r="S123" s="8"/>
      <c r="T123" s="8"/>
      <c r="U123" s="8"/>
      <c r="V123" s="9" t="s">
        <v>49</v>
      </c>
      <c r="W123" s="9" t="s">
        <v>49</v>
      </c>
      <c r="X123" s="8"/>
      <c r="Y123" s="8"/>
      <c r="Z123" s="8"/>
      <c r="AA123" s="8"/>
      <c r="AB123" s="8"/>
      <c r="AC123" s="8"/>
      <c r="AD123" s="8"/>
      <c r="AE123" s="8"/>
      <c r="AF123" s="8"/>
      <c r="AG123" s="8"/>
      <c r="AH123" s="7" t="s">
        <v>57</v>
      </c>
      <c r="AI123" s="6" t="s">
        <v>71</v>
      </c>
      <c r="AJ123" s="6" t="s">
        <v>49</v>
      </c>
      <c r="AK123" s="6" t="s">
        <v>49</v>
      </c>
      <c r="AL123" s="9" t="s">
        <v>338</v>
      </c>
      <c r="AM123" s="9" t="s">
        <v>49</v>
      </c>
      <c r="AN123" s="6" t="s">
        <v>82</v>
      </c>
      <c r="AO123" s="9" t="s">
        <v>49</v>
      </c>
      <c r="AP123" s="11">
        <v>7248.8885899999996</v>
      </c>
      <c r="AQ123" s="11">
        <v>0</v>
      </c>
      <c r="AR123" s="11">
        <v>0</v>
      </c>
      <c r="AS123" s="11">
        <v>41681.266040000002</v>
      </c>
      <c r="AT123" s="11">
        <v>0</v>
      </c>
      <c r="AU123" s="11"/>
      <c r="AV123" s="11">
        <v>0</v>
      </c>
    </row>
    <row r="124" spans="1:49" ht="14.5" hidden="1">
      <c r="A124" s="6">
        <v>123</v>
      </c>
      <c r="B124" s="7" t="s">
        <v>339</v>
      </c>
      <c r="C124" s="7" t="s">
        <v>337</v>
      </c>
      <c r="D124" s="6">
        <v>15545</v>
      </c>
      <c r="E124" s="6" t="s">
        <v>340</v>
      </c>
      <c r="F124" s="8"/>
      <c r="G124" s="8"/>
      <c r="H124" s="7" t="s">
        <v>88</v>
      </c>
      <c r="I124" s="7"/>
      <c r="J124" s="6" t="s">
        <v>75</v>
      </c>
      <c r="K124" s="9" t="s">
        <v>76</v>
      </c>
      <c r="L124" s="9" t="s">
        <v>218</v>
      </c>
      <c r="M124" s="8"/>
      <c r="N124" s="10">
        <v>43556</v>
      </c>
      <c r="O124" s="10">
        <v>43860</v>
      </c>
      <c r="P124" s="9" t="s">
        <v>336</v>
      </c>
      <c r="Q124" s="9" t="s">
        <v>341</v>
      </c>
      <c r="R124" s="6">
        <v>27.6</v>
      </c>
      <c r="S124" s="6">
        <v>43.6</v>
      </c>
      <c r="T124" s="6">
        <v>90.2</v>
      </c>
      <c r="U124" s="6">
        <v>6.4</v>
      </c>
      <c r="V124" s="9" t="s">
        <v>342</v>
      </c>
      <c r="W124" s="9" t="s">
        <v>49</v>
      </c>
      <c r="X124" s="8"/>
      <c r="Y124" s="6">
        <v>0.16</v>
      </c>
      <c r="Z124" s="8"/>
      <c r="AA124" s="6">
        <v>8.6999999999999994E-2</v>
      </c>
      <c r="AB124" s="6">
        <v>0.247</v>
      </c>
      <c r="AC124" s="6">
        <v>4.0570000000000004</v>
      </c>
      <c r="AD124" s="6">
        <v>4.3040000000000003</v>
      </c>
      <c r="AE124" s="8"/>
      <c r="AF124" s="6">
        <v>0.247</v>
      </c>
      <c r="AG124" s="6">
        <v>0.247</v>
      </c>
      <c r="AH124" s="7" t="s">
        <v>51</v>
      </c>
      <c r="AI124" s="6" t="s">
        <v>49</v>
      </c>
      <c r="AJ124" s="6" t="s">
        <v>49</v>
      </c>
      <c r="AK124" s="6" t="s">
        <v>49</v>
      </c>
      <c r="AL124" s="9" t="s">
        <v>49</v>
      </c>
      <c r="AM124" s="9" t="s">
        <v>338</v>
      </c>
      <c r="AN124" s="6" t="s">
        <v>49</v>
      </c>
      <c r="AO124" s="9" t="s">
        <v>343</v>
      </c>
      <c r="AP124" s="11">
        <v>95.139399999999995</v>
      </c>
      <c r="AQ124" s="11">
        <v>104067.74</v>
      </c>
      <c r="AR124" s="11">
        <v>104067.73833333336</v>
      </c>
      <c r="AS124" s="11">
        <v>1106.8086799999999</v>
      </c>
      <c r="AT124" s="11">
        <v>104.06774</v>
      </c>
      <c r="AU124" s="11">
        <v>200</v>
      </c>
      <c r="AV124" s="11" t="s">
        <v>51</v>
      </c>
      <c r="AW124" t="s">
        <v>93</v>
      </c>
    </row>
    <row r="125" spans="1:49" ht="14.5" hidden="1">
      <c r="A125" s="6">
        <v>124</v>
      </c>
      <c r="B125" s="7" t="s">
        <v>344</v>
      </c>
      <c r="C125" s="7" t="s">
        <v>337</v>
      </c>
      <c r="D125" s="6">
        <v>15545</v>
      </c>
      <c r="E125" s="6" t="s">
        <v>345</v>
      </c>
      <c r="F125" s="8"/>
      <c r="G125" s="8"/>
      <c r="H125" s="7" t="s">
        <v>49</v>
      </c>
      <c r="I125" s="7"/>
      <c r="J125" s="6" t="s">
        <v>49</v>
      </c>
      <c r="K125" s="9" t="s">
        <v>49</v>
      </c>
      <c r="L125" s="9" t="s">
        <v>49</v>
      </c>
      <c r="M125" s="8"/>
      <c r="N125" s="8"/>
      <c r="O125" s="10">
        <v>43525</v>
      </c>
      <c r="P125" s="9" t="s">
        <v>49</v>
      </c>
      <c r="Q125" s="9" t="s">
        <v>49</v>
      </c>
      <c r="R125" s="8"/>
      <c r="S125" s="8"/>
      <c r="T125" s="8"/>
      <c r="U125" s="8"/>
      <c r="V125" s="9" t="s">
        <v>49</v>
      </c>
      <c r="W125" s="9" t="s">
        <v>49</v>
      </c>
      <c r="X125" s="8"/>
      <c r="Y125" s="8"/>
      <c r="Z125" s="8"/>
      <c r="AA125" s="12"/>
      <c r="AB125" s="12"/>
      <c r="AC125" s="8"/>
      <c r="AD125" s="12"/>
      <c r="AE125" s="8"/>
      <c r="AF125" s="12"/>
      <c r="AG125" s="12"/>
      <c r="AH125" s="7" t="s">
        <v>57</v>
      </c>
      <c r="AI125" s="6" t="s">
        <v>49</v>
      </c>
      <c r="AJ125" s="6" t="s">
        <v>49</v>
      </c>
      <c r="AK125" s="6" t="s">
        <v>49</v>
      </c>
      <c r="AL125" s="9" t="s">
        <v>49</v>
      </c>
      <c r="AM125" s="9" t="s">
        <v>346</v>
      </c>
      <c r="AN125" s="6" t="s">
        <v>49</v>
      </c>
      <c r="AO125" s="9" t="s">
        <v>346</v>
      </c>
      <c r="AP125" s="11">
        <v>0</v>
      </c>
      <c r="AQ125" s="11">
        <v>0</v>
      </c>
      <c r="AR125" s="11">
        <v>0</v>
      </c>
      <c r="AS125" s="11">
        <v>0</v>
      </c>
      <c r="AT125" s="11">
        <v>184.87799999999999</v>
      </c>
      <c r="AU125" s="11">
        <v>0</v>
      </c>
      <c r="AV125" s="11" t="s">
        <v>57</v>
      </c>
    </row>
    <row r="126" spans="1:49" ht="14.5" hidden="1">
      <c r="A126" s="6">
        <v>125</v>
      </c>
      <c r="B126" s="7" t="s">
        <v>347</v>
      </c>
      <c r="C126" s="7" t="s">
        <v>81</v>
      </c>
      <c r="D126" s="6">
        <v>15643</v>
      </c>
      <c r="E126" s="6" t="s">
        <v>49</v>
      </c>
      <c r="F126" s="8"/>
      <c r="G126" s="8"/>
      <c r="H126" s="7" t="s">
        <v>49</v>
      </c>
      <c r="I126" s="7"/>
      <c r="J126" s="6" t="s">
        <v>49</v>
      </c>
      <c r="K126" s="9" t="s">
        <v>49</v>
      </c>
      <c r="L126" s="9" t="s">
        <v>49</v>
      </c>
      <c r="M126" s="8"/>
      <c r="N126" s="10">
        <v>43739</v>
      </c>
      <c r="O126" s="10">
        <v>44196</v>
      </c>
      <c r="P126" s="9" t="s">
        <v>49</v>
      </c>
      <c r="Q126" s="9" t="s">
        <v>49</v>
      </c>
      <c r="R126" s="8"/>
      <c r="S126" s="8"/>
      <c r="T126" s="8"/>
      <c r="U126" s="8"/>
      <c r="V126" s="9" t="s">
        <v>49</v>
      </c>
      <c r="W126" s="9" t="s">
        <v>49</v>
      </c>
      <c r="X126" s="8"/>
      <c r="Y126" s="8"/>
      <c r="Z126" s="8"/>
      <c r="AA126" s="8"/>
      <c r="AB126" s="8"/>
      <c r="AC126" s="8"/>
      <c r="AD126" s="8"/>
      <c r="AE126" s="8"/>
      <c r="AF126" s="8"/>
      <c r="AG126" s="8"/>
      <c r="AH126" s="7" t="s">
        <v>57</v>
      </c>
      <c r="AI126" s="6" t="s">
        <v>71</v>
      </c>
      <c r="AJ126" s="6" t="s">
        <v>49</v>
      </c>
      <c r="AK126" s="6" t="s">
        <v>49</v>
      </c>
      <c r="AL126" s="9" t="s">
        <v>52</v>
      </c>
      <c r="AM126" s="9" t="s">
        <v>49</v>
      </c>
      <c r="AN126" s="6" t="s">
        <v>85</v>
      </c>
      <c r="AO126" s="9" t="s">
        <v>49</v>
      </c>
      <c r="AP126" s="11">
        <v>7248.8885899999996</v>
      </c>
      <c r="AQ126" s="11">
        <v>0</v>
      </c>
      <c r="AR126" s="11">
        <v>0</v>
      </c>
      <c r="AS126" s="11">
        <v>41681.266040000002</v>
      </c>
      <c r="AT126" s="11">
        <v>0</v>
      </c>
      <c r="AU126" s="11">
        <v>0</v>
      </c>
      <c r="AV126" s="11">
        <v>0</v>
      </c>
    </row>
    <row r="127" spans="1:49" ht="14.5" hidden="1">
      <c r="A127" s="6">
        <v>126</v>
      </c>
      <c r="B127" s="7" t="s">
        <v>347</v>
      </c>
      <c r="C127" s="7" t="s">
        <v>81</v>
      </c>
      <c r="D127" s="6">
        <v>15643</v>
      </c>
      <c r="E127" s="6" t="s">
        <v>348</v>
      </c>
      <c r="F127" s="8"/>
      <c r="G127" s="8"/>
      <c r="H127" s="7" t="s">
        <v>49</v>
      </c>
      <c r="I127" s="7"/>
      <c r="J127" s="6" t="s">
        <v>49</v>
      </c>
      <c r="K127" s="9" t="s">
        <v>49</v>
      </c>
      <c r="L127" s="9" t="s">
        <v>49</v>
      </c>
      <c r="M127" s="8"/>
      <c r="N127" s="10">
        <v>43739</v>
      </c>
      <c r="O127" s="10">
        <v>44196</v>
      </c>
      <c r="P127" s="9" t="s">
        <v>49</v>
      </c>
      <c r="Q127" s="9" t="s">
        <v>49</v>
      </c>
      <c r="R127" s="8"/>
      <c r="S127" s="8"/>
      <c r="T127" s="8"/>
      <c r="U127" s="8"/>
      <c r="V127" s="9" t="s">
        <v>49</v>
      </c>
      <c r="W127" s="9" t="s">
        <v>49</v>
      </c>
      <c r="X127" s="8"/>
      <c r="Y127" s="8"/>
      <c r="Z127" s="8"/>
      <c r="AA127" s="8"/>
      <c r="AB127" s="8"/>
      <c r="AC127" s="8"/>
      <c r="AD127" s="8"/>
      <c r="AE127" s="8"/>
      <c r="AF127" s="8"/>
      <c r="AG127" s="8"/>
      <c r="AH127" s="7" t="s">
        <v>57</v>
      </c>
      <c r="AI127" s="6" t="s">
        <v>49</v>
      </c>
      <c r="AJ127" s="6" t="s">
        <v>49</v>
      </c>
      <c r="AK127" s="6" t="s">
        <v>49</v>
      </c>
      <c r="AL127" s="9" t="s">
        <v>49</v>
      </c>
      <c r="AM127" s="9" t="s">
        <v>52</v>
      </c>
      <c r="AN127" s="6" t="s">
        <v>49</v>
      </c>
      <c r="AO127" s="9" t="s">
        <v>52</v>
      </c>
      <c r="AP127" s="11">
        <v>0</v>
      </c>
      <c r="AQ127" s="11">
        <v>0</v>
      </c>
      <c r="AR127" s="11">
        <v>0</v>
      </c>
      <c r="AS127" s="11">
        <v>0</v>
      </c>
      <c r="AT127" s="11">
        <v>0</v>
      </c>
      <c r="AU127" s="11">
        <v>0</v>
      </c>
      <c r="AV127" s="11" t="s">
        <v>57</v>
      </c>
    </row>
    <row r="128" spans="1:49" ht="14.5" hidden="1">
      <c r="A128" s="6">
        <v>127</v>
      </c>
      <c r="B128" s="7" t="s">
        <v>349</v>
      </c>
      <c r="C128" s="7" t="s">
        <v>49</v>
      </c>
      <c r="D128" s="6">
        <v>15061</v>
      </c>
      <c r="E128" s="6" t="s">
        <v>49</v>
      </c>
      <c r="F128" s="8"/>
      <c r="G128" s="8"/>
      <c r="H128" s="7" t="s">
        <v>49</v>
      </c>
      <c r="I128" s="7"/>
      <c r="J128" s="6" t="s">
        <v>49</v>
      </c>
      <c r="K128" s="9" t="s">
        <v>49</v>
      </c>
      <c r="L128" s="9" t="s">
        <v>49</v>
      </c>
      <c r="M128" s="8"/>
      <c r="N128" s="10">
        <v>43026</v>
      </c>
      <c r="O128" s="10">
        <v>43920</v>
      </c>
      <c r="P128" s="9" t="s">
        <v>49</v>
      </c>
      <c r="Q128" s="9" t="s">
        <v>49</v>
      </c>
      <c r="R128" s="8"/>
      <c r="S128" s="8"/>
      <c r="T128" s="8"/>
      <c r="U128" s="8"/>
      <c r="V128" s="9" t="s">
        <v>49</v>
      </c>
      <c r="W128" s="9" t="s">
        <v>49</v>
      </c>
      <c r="X128" s="8"/>
      <c r="Y128" s="8"/>
      <c r="Z128" s="8"/>
      <c r="AA128" s="8"/>
      <c r="AB128" s="8"/>
      <c r="AC128" s="8"/>
      <c r="AD128" s="8"/>
      <c r="AE128" s="8"/>
      <c r="AF128" s="8"/>
      <c r="AG128" s="8"/>
      <c r="AH128" s="7" t="s">
        <v>51</v>
      </c>
      <c r="AI128" s="6" t="s">
        <v>71</v>
      </c>
      <c r="AJ128" s="6" t="s">
        <v>49</v>
      </c>
      <c r="AK128" s="6" t="s">
        <v>49</v>
      </c>
      <c r="AL128" s="9" t="s">
        <v>221</v>
      </c>
      <c r="AM128" s="9" t="s">
        <v>49</v>
      </c>
      <c r="AN128" s="6" t="s">
        <v>96</v>
      </c>
      <c r="AO128" s="9" t="s">
        <v>49</v>
      </c>
      <c r="AP128" s="11">
        <v>7248.8885899999996</v>
      </c>
      <c r="AQ128" s="11">
        <v>0</v>
      </c>
      <c r="AR128" s="11">
        <v>0</v>
      </c>
      <c r="AS128" s="11">
        <v>41681.266040000002</v>
      </c>
      <c r="AT128" s="11">
        <v>0</v>
      </c>
      <c r="AU128" s="11">
        <v>0</v>
      </c>
      <c r="AV128" s="11">
        <v>0</v>
      </c>
    </row>
    <row r="129" spans="1:49" ht="14.5" hidden="1">
      <c r="A129" s="6">
        <v>128</v>
      </c>
      <c r="B129" s="7" t="s">
        <v>349</v>
      </c>
      <c r="C129" s="7" t="s">
        <v>49</v>
      </c>
      <c r="D129" s="6">
        <v>15061</v>
      </c>
      <c r="E129" s="6" t="s">
        <v>350</v>
      </c>
      <c r="F129" s="8"/>
      <c r="G129" s="8"/>
      <c r="H129" s="7" t="s">
        <v>49</v>
      </c>
      <c r="I129" s="7"/>
      <c r="J129" s="6" t="s">
        <v>49</v>
      </c>
      <c r="K129" s="9" t="s">
        <v>49</v>
      </c>
      <c r="L129" s="9" t="s">
        <v>49</v>
      </c>
      <c r="M129" s="8"/>
      <c r="N129" s="10">
        <v>43026</v>
      </c>
      <c r="O129" s="10">
        <v>43920</v>
      </c>
      <c r="P129" s="9" t="s">
        <v>49</v>
      </c>
      <c r="Q129" s="9" t="s">
        <v>49</v>
      </c>
      <c r="R129" s="8"/>
      <c r="S129" s="8"/>
      <c r="T129" s="8"/>
      <c r="U129" s="8"/>
      <c r="V129" s="9" t="s">
        <v>49</v>
      </c>
      <c r="W129" s="9" t="s">
        <v>49</v>
      </c>
      <c r="X129" s="8"/>
      <c r="Y129" s="8"/>
      <c r="Z129" s="8"/>
      <c r="AA129" s="8"/>
      <c r="AB129" s="8"/>
      <c r="AC129" s="8"/>
      <c r="AD129" s="8"/>
      <c r="AE129" s="8"/>
      <c r="AF129" s="8"/>
      <c r="AG129" s="8"/>
      <c r="AH129" s="7" t="s">
        <v>51</v>
      </c>
      <c r="AI129" s="6" t="s">
        <v>49</v>
      </c>
      <c r="AJ129" s="6" t="s">
        <v>49</v>
      </c>
      <c r="AK129" s="6" t="s">
        <v>49</v>
      </c>
      <c r="AL129" s="9" t="s">
        <v>49</v>
      </c>
      <c r="AM129" s="9" t="s">
        <v>221</v>
      </c>
      <c r="AN129" s="6" t="s">
        <v>49</v>
      </c>
      <c r="AO129" s="9" t="s">
        <v>159</v>
      </c>
      <c r="AP129" s="11">
        <v>44.921769999999995</v>
      </c>
      <c r="AQ129" s="11">
        <v>64576.27</v>
      </c>
      <c r="AR129" s="11">
        <v>64576.259583333354</v>
      </c>
      <c r="AS129" s="11">
        <v>1398.4269199999999</v>
      </c>
      <c r="AT129" s="11">
        <v>64.576269999999994</v>
      </c>
      <c r="AU129" s="11">
        <v>0</v>
      </c>
      <c r="AV129" s="11" t="s">
        <v>51</v>
      </c>
    </row>
    <row r="130" spans="1:49" ht="14.5" hidden="1">
      <c r="A130" s="6">
        <v>129</v>
      </c>
      <c r="B130" s="7" t="s">
        <v>351</v>
      </c>
      <c r="C130" s="7" t="s">
        <v>101</v>
      </c>
      <c r="D130" s="6">
        <v>16021</v>
      </c>
      <c r="E130" s="6" t="s">
        <v>49</v>
      </c>
      <c r="F130" s="8"/>
      <c r="G130" s="8"/>
      <c r="H130" s="7" t="s">
        <v>49</v>
      </c>
      <c r="I130" s="7"/>
      <c r="J130" s="6" t="s">
        <v>49</v>
      </c>
      <c r="K130" s="9" t="s">
        <v>49</v>
      </c>
      <c r="L130" s="9" t="s">
        <v>49</v>
      </c>
      <c r="M130" s="8"/>
      <c r="N130" s="10">
        <v>43500</v>
      </c>
      <c r="O130" s="10">
        <v>44196</v>
      </c>
      <c r="P130" s="9" t="s">
        <v>49</v>
      </c>
      <c r="Q130" s="9" t="s">
        <v>49</v>
      </c>
      <c r="R130" s="8"/>
      <c r="S130" s="8"/>
      <c r="T130" s="8"/>
      <c r="U130" s="8"/>
      <c r="V130" s="9" t="s">
        <v>49</v>
      </c>
      <c r="W130" s="9" t="s">
        <v>49</v>
      </c>
      <c r="X130" s="8"/>
      <c r="Y130" s="8"/>
      <c r="Z130" s="8"/>
      <c r="AA130" s="8"/>
      <c r="AB130" s="8"/>
      <c r="AC130" s="8"/>
      <c r="AD130" s="8"/>
      <c r="AE130" s="8"/>
      <c r="AF130" s="8"/>
      <c r="AG130" s="8"/>
      <c r="AH130" s="7" t="s">
        <v>57</v>
      </c>
      <c r="AI130" s="6" t="s">
        <v>71</v>
      </c>
      <c r="AJ130" s="6" t="s">
        <v>49</v>
      </c>
      <c r="AK130" s="6" t="s">
        <v>49</v>
      </c>
      <c r="AL130" s="9" t="s">
        <v>52</v>
      </c>
      <c r="AM130" s="9" t="s">
        <v>49</v>
      </c>
      <c r="AN130" s="6" t="s">
        <v>73</v>
      </c>
      <c r="AO130" s="9" t="s">
        <v>49</v>
      </c>
      <c r="AP130" s="11">
        <v>7248.8885899999996</v>
      </c>
      <c r="AQ130" s="11">
        <v>0</v>
      </c>
      <c r="AR130" s="11">
        <v>0</v>
      </c>
      <c r="AS130" s="11">
        <v>41681.266040000002</v>
      </c>
      <c r="AT130" s="11">
        <v>0</v>
      </c>
      <c r="AU130" s="11">
        <v>0</v>
      </c>
      <c r="AV130" s="11">
        <v>0</v>
      </c>
    </row>
    <row r="131" spans="1:49" ht="14.5" hidden="1">
      <c r="A131" s="6">
        <v>130</v>
      </c>
      <c r="B131" s="7" t="s">
        <v>351</v>
      </c>
      <c r="C131" s="7" t="s">
        <v>101</v>
      </c>
      <c r="D131" s="6">
        <v>16021</v>
      </c>
      <c r="E131" s="6" t="s">
        <v>352</v>
      </c>
      <c r="F131" s="6">
        <v>83355</v>
      </c>
      <c r="G131" s="8"/>
      <c r="H131" s="7" t="s">
        <v>88</v>
      </c>
      <c r="I131" s="7" t="s">
        <v>217</v>
      </c>
      <c r="J131" s="6" t="s">
        <v>75</v>
      </c>
      <c r="K131" s="9" t="s">
        <v>76</v>
      </c>
      <c r="L131" s="9" t="s">
        <v>73</v>
      </c>
      <c r="M131" s="15">
        <v>140</v>
      </c>
      <c r="N131" s="10">
        <v>43500</v>
      </c>
      <c r="O131" s="10">
        <v>44196</v>
      </c>
      <c r="P131" s="9" t="s">
        <v>349</v>
      </c>
      <c r="Q131" s="9" t="s">
        <v>353</v>
      </c>
      <c r="R131" s="6">
        <v>3.23</v>
      </c>
      <c r="S131" s="6">
        <v>0.3</v>
      </c>
      <c r="T131" s="6">
        <v>1.4</v>
      </c>
      <c r="U131" s="6">
        <v>0.7</v>
      </c>
      <c r="V131" s="9" t="s">
        <v>354</v>
      </c>
      <c r="W131" s="9" t="s">
        <v>108</v>
      </c>
      <c r="X131" s="8"/>
      <c r="Y131" s="8"/>
      <c r="Z131" s="6">
        <v>0.14000000000000001</v>
      </c>
      <c r="AA131" s="8"/>
      <c r="AB131" s="6">
        <v>0.14000000000000001</v>
      </c>
      <c r="AC131" s="6">
        <v>0.91500000000000004</v>
      </c>
      <c r="AD131" s="6">
        <v>1.0549999999999999</v>
      </c>
      <c r="AE131" s="6">
        <v>0.112</v>
      </c>
      <c r="AF131" s="8"/>
      <c r="AG131" s="6">
        <v>0.112</v>
      </c>
      <c r="AH131" s="7" t="s">
        <v>57</v>
      </c>
      <c r="AI131" s="6" t="s">
        <v>49</v>
      </c>
      <c r="AJ131" s="6" t="s">
        <v>49</v>
      </c>
      <c r="AK131" s="6" t="s">
        <v>49</v>
      </c>
      <c r="AL131" s="9" t="s">
        <v>49</v>
      </c>
      <c r="AM131" s="9" t="s">
        <v>221</v>
      </c>
      <c r="AN131" s="6" t="s">
        <v>73</v>
      </c>
      <c r="AO131" s="9" t="s">
        <v>221</v>
      </c>
      <c r="AP131" s="11">
        <v>0</v>
      </c>
      <c r="AQ131" s="11">
        <v>0</v>
      </c>
      <c r="AR131" s="11">
        <v>0</v>
      </c>
      <c r="AS131" s="11">
        <v>0</v>
      </c>
      <c r="AT131" s="11">
        <v>0</v>
      </c>
      <c r="AU131" s="11">
        <v>140</v>
      </c>
      <c r="AV131" s="11" t="s">
        <v>57</v>
      </c>
      <c r="AW131" t="s">
        <v>306</v>
      </c>
    </row>
    <row r="132" spans="1:49" ht="14.5" hidden="1">
      <c r="A132" s="6">
        <v>131</v>
      </c>
      <c r="B132" s="7" t="s">
        <v>355</v>
      </c>
      <c r="C132" s="7" t="s">
        <v>49</v>
      </c>
      <c r="D132" s="6">
        <v>15063</v>
      </c>
      <c r="E132" s="6" t="s">
        <v>356</v>
      </c>
      <c r="F132" s="12"/>
      <c r="G132" s="8"/>
      <c r="H132" s="7" t="s">
        <v>49</v>
      </c>
      <c r="I132" s="7"/>
      <c r="J132" s="6" t="s">
        <v>49</v>
      </c>
      <c r="K132" s="9" t="s">
        <v>49</v>
      </c>
      <c r="L132" s="9" t="s">
        <v>49</v>
      </c>
      <c r="M132" s="12"/>
      <c r="N132" s="10">
        <v>43312</v>
      </c>
      <c r="O132" s="10">
        <v>43553</v>
      </c>
      <c r="P132" s="9" t="s">
        <v>49</v>
      </c>
      <c r="Q132" s="9" t="s">
        <v>49</v>
      </c>
      <c r="R132" s="12"/>
      <c r="S132" s="12"/>
      <c r="T132" s="12"/>
      <c r="U132" s="12"/>
      <c r="V132" s="9" t="s">
        <v>49</v>
      </c>
      <c r="W132" s="9" t="s">
        <v>49</v>
      </c>
      <c r="X132" s="8"/>
      <c r="Y132" s="8"/>
      <c r="Z132" s="8"/>
      <c r="AA132" s="12"/>
      <c r="AB132" s="12"/>
      <c r="AC132" s="8"/>
      <c r="AD132" s="12"/>
      <c r="AE132" s="8"/>
      <c r="AF132" s="12"/>
      <c r="AG132" s="12"/>
      <c r="AH132" s="7" t="s">
        <v>51</v>
      </c>
      <c r="AI132" s="6" t="s">
        <v>49</v>
      </c>
      <c r="AJ132" s="6" t="s">
        <v>49</v>
      </c>
      <c r="AK132" s="6" t="s">
        <v>49</v>
      </c>
      <c r="AL132" s="9" t="s">
        <v>49</v>
      </c>
      <c r="AM132" s="9" t="s">
        <v>357</v>
      </c>
      <c r="AN132" s="6" t="s">
        <v>49</v>
      </c>
      <c r="AO132" s="9" t="s">
        <v>357</v>
      </c>
      <c r="AP132" s="11">
        <v>0</v>
      </c>
      <c r="AQ132" s="11">
        <v>0</v>
      </c>
      <c r="AR132" s="11">
        <v>0</v>
      </c>
      <c r="AS132" s="11">
        <v>0</v>
      </c>
      <c r="AT132" s="11">
        <v>0</v>
      </c>
      <c r="AU132" s="11">
        <v>0</v>
      </c>
      <c r="AV132" s="11" t="s">
        <v>51</v>
      </c>
    </row>
    <row r="133" spans="1:49" ht="14.5" hidden="1">
      <c r="A133" s="6">
        <v>132</v>
      </c>
      <c r="B133" s="7" t="s">
        <v>358</v>
      </c>
      <c r="C133" s="7" t="s">
        <v>49</v>
      </c>
      <c r="D133" s="6">
        <v>12563</v>
      </c>
      <c r="E133" s="6" t="s">
        <v>359</v>
      </c>
      <c r="F133" s="8"/>
      <c r="G133" s="8"/>
      <c r="H133" s="7" t="s">
        <v>49</v>
      </c>
      <c r="I133" s="7"/>
      <c r="J133" s="6" t="s">
        <v>49</v>
      </c>
      <c r="K133" s="9" t="s">
        <v>49</v>
      </c>
      <c r="L133" s="9" t="s">
        <v>49</v>
      </c>
      <c r="M133" s="8"/>
      <c r="N133" s="10">
        <v>42370</v>
      </c>
      <c r="O133" s="10">
        <v>45198</v>
      </c>
      <c r="P133" s="9" t="s">
        <v>49</v>
      </c>
      <c r="Q133" s="9" t="s">
        <v>49</v>
      </c>
      <c r="R133" s="8"/>
      <c r="S133" s="8"/>
      <c r="T133" s="8"/>
      <c r="U133" s="8"/>
      <c r="V133" s="9" t="s">
        <v>49</v>
      </c>
      <c r="W133" s="9" t="s">
        <v>49</v>
      </c>
      <c r="X133" s="8"/>
      <c r="Y133" s="8"/>
      <c r="Z133" s="8"/>
      <c r="AA133" s="8"/>
      <c r="AB133" s="8"/>
      <c r="AC133" s="8"/>
      <c r="AD133" s="8"/>
      <c r="AE133" s="8"/>
      <c r="AF133" s="8"/>
      <c r="AG133" s="8"/>
      <c r="AH133" s="7" t="s">
        <v>51</v>
      </c>
      <c r="AI133" s="6" t="s">
        <v>49</v>
      </c>
      <c r="AJ133" s="6" t="s">
        <v>49</v>
      </c>
      <c r="AK133" s="6" t="s">
        <v>49</v>
      </c>
      <c r="AL133" s="9" t="s">
        <v>49</v>
      </c>
      <c r="AM133" s="9" t="s">
        <v>122</v>
      </c>
      <c r="AN133" s="6" t="s">
        <v>49</v>
      </c>
      <c r="AO133" s="9" t="s">
        <v>122</v>
      </c>
      <c r="AP133" s="11">
        <v>0</v>
      </c>
      <c r="AQ133" s="11">
        <v>0</v>
      </c>
      <c r="AR133" s="11">
        <v>0</v>
      </c>
      <c r="AS133" s="11">
        <v>0</v>
      </c>
      <c r="AT133" s="11">
        <v>0</v>
      </c>
      <c r="AU133" s="11">
        <v>0</v>
      </c>
      <c r="AV133" s="11" t="s">
        <v>51</v>
      </c>
    </row>
    <row r="134" spans="1:49" ht="14.5" hidden="1">
      <c r="A134" s="6">
        <v>133</v>
      </c>
      <c r="B134" s="7" t="s">
        <v>360</v>
      </c>
      <c r="C134" s="7" t="s">
        <v>49</v>
      </c>
      <c r="D134" s="6">
        <v>15583</v>
      </c>
      <c r="E134" s="6" t="s">
        <v>361</v>
      </c>
      <c r="F134" s="12"/>
      <c r="G134" s="8"/>
      <c r="H134" s="7" t="s">
        <v>49</v>
      </c>
      <c r="I134" s="7"/>
      <c r="J134" s="6" t="s">
        <v>49</v>
      </c>
      <c r="K134" s="9" t="s">
        <v>49</v>
      </c>
      <c r="L134" s="9" t="s">
        <v>49</v>
      </c>
      <c r="M134" s="12"/>
      <c r="N134" s="10">
        <v>43647</v>
      </c>
      <c r="O134" s="10">
        <v>45229</v>
      </c>
      <c r="P134" s="9" t="s">
        <v>49</v>
      </c>
      <c r="Q134" s="9" t="s">
        <v>49</v>
      </c>
      <c r="R134" s="8"/>
      <c r="S134" s="8"/>
      <c r="T134" s="8"/>
      <c r="U134" s="12"/>
      <c r="V134" s="9" t="s">
        <v>49</v>
      </c>
      <c r="W134" s="9" t="s">
        <v>49</v>
      </c>
      <c r="X134" s="8"/>
      <c r="Y134" s="8"/>
      <c r="Z134" s="8"/>
      <c r="AA134" s="8"/>
      <c r="AB134" s="8"/>
      <c r="AC134" s="8"/>
      <c r="AD134" s="8"/>
      <c r="AE134" s="8"/>
      <c r="AF134" s="8"/>
      <c r="AG134" s="8"/>
      <c r="AH134" s="7" t="s">
        <v>51</v>
      </c>
      <c r="AI134" s="6" t="s">
        <v>49</v>
      </c>
      <c r="AJ134" s="6" t="s">
        <v>49</v>
      </c>
      <c r="AK134" s="6" t="s">
        <v>49</v>
      </c>
      <c r="AL134" s="9" t="s">
        <v>49</v>
      </c>
      <c r="AM134" s="9" t="s">
        <v>52</v>
      </c>
      <c r="AN134" s="6" t="s">
        <v>49</v>
      </c>
      <c r="AO134" s="9" t="s">
        <v>52</v>
      </c>
      <c r="AP134" s="11">
        <v>0</v>
      </c>
      <c r="AQ134" s="11">
        <v>0</v>
      </c>
      <c r="AR134" s="11">
        <v>0</v>
      </c>
      <c r="AS134" s="11">
        <v>0</v>
      </c>
      <c r="AT134" s="11">
        <v>0</v>
      </c>
      <c r="AU134" s="11">
        <v>0</v>
      </c>
      <c r="AV134" s="11" t="s">
        <v>51</v>
      </c>
    </row>
    <row r="135" spans="1:49" ht="14.5" hidden="1">
      <c r="A135" s="6">
        <v>134</v>
      </c>
      <c r="B135" s="7" t="s">
        <v>362</v>
      </c>
      <c r="C135" s="7" t="s">
        <v>49</v>
      </c>
      <c r="D135" s="6">
        <v>15066</v>
      </c>
      <c r="E135" s="6" t="s">
        <v>49</v>
      </c>
      <c r="F135" s="12"/>
      <c r="G135" s="8"/>
      <c r="H135" s="7" t="s">
        <v>49</v>
      </c>
      <c r="I135" s="7"/>
      <c r="J135" s="6" t="s">
        <v>49</v>
      </c>
      <c r="K135" s="9" t="s">
        <v>49</v>
      </c>
      <c r="L135" s="9" t="s">
        <v>49</v>
      </c>
      <c r="M135" s="8"/>
      <c r="N135" s="10">
        <v>43052</v>
      </c>
      <c r="O135" s="10">
        <v>43831</v>
      </c>
      <c r="P135" s="9" t="s">
        <v>49</v>
      </c>
      <c r="Q135" s="9" t="s">
        <v>49</v>
      </c>
      <c r="R135" s="12"/>
      <c r="S135" s="12"/>
      <c r="T135" s="12"/>
      <c r="U135" s="12"/>
      <c r="V135" s="9" t="s">
        <v>49</v>
      </c>
      <c r="W135" s="9" t="s">
        <v>49</v>
      </c>
      <c r="X135" s="8"/>
      <c r="Y135" s="8"/>
      <c r="Z135" s="8"/>
      <c r="AA135" s="12"/>
      <c r="AB135" s="12"/>
      <c r="AC135" s="8"/>
      <c r="AD135" s="12"/>
      <c r="AE135" s="8"/>
      <c r="AF135" s="12"/>
      <c r="AG135" s="12"/>
      <c r="AH135" s="7" t="s">
        <v>51</v>
      </c>
      <c r="AI135" s="6" t="s">
        <v>71</v>
      </c>
      <c r="AJ135" s="6" t="s">
        <v>49</v>
      </c>
      <c r="AK135" s="6" t="s">
        <v>49</v>
      </c>
      <c r="AL135" s="9" t="s">
        <v>119</v>
      </c>
      <c r="AM135" s="9" t="s">
        <v>49</v>
      </c>
      <c r="AN135" s="6" t="s">
        <v>96</v>
      </c>
      <c r="AO135" s="9" t="s">
        <v>49</v>
      </c>
      <c r="AP135" s="11">
        <v>7248.8885899999996</v>
      </c>
      <c r="AQ135" s="11">
        <v>0</v>
      </c>
      <c r="AR135" s="11">
        <v>0</v>
      </c>
      <c r="AS135" s="11">
        <v>41681.266040000002</v>
      </c>
      <c r="AT135" s="11">
        <v>0</v>
      </c>
      <c r="AU135" s="11">
        <v>0</v>
      </c>
      <c r="AV135" s="11">
        <v>0</v>
      </c>
    </row>
    <row r="136" spans="1:49" ht="14.5" hidden="1">
      <c r="A136" s="6">
        <v>135</v>
      </c>
      <c r="B136" s="7" t="s">
        <v>362</v>
      </c>
      <c r="C136" s="7" t="s">
        <v>49</v>
      </c>
      <c r="D136" s="6">
        <v>15066</v>
      </c>
      <c r="E136" s="6" t="s">
        <v>363</v>
      </c>
      <c r="F136" s="8"/>
      <c r="G136" s="8"/>
      <c r="H136" s="7" t="s">
        <v>49</v>
      </c>
      <c r="I136" s="7"/>
      <c r="J136" s="6" t="s">
        <v>49</v>
      </c>
      <c r="K136" s="9" t="s">
        <v>49</v>
      </c>
      <c r="L136" s="9" t="s">
        <v>49</v>
      </c>
      <c r="M136" s="8"/>
      <c r="N136" s="10">
        <v>43052</v>
      </c>
      <c r="O136" s="10">
        <v>43831</v>
      </c>
      <c r="P136" s="9" t="s">
        <v>49</v>
      </c>
      <c r="Q136" s="9" t="s">
        <v>49</v>
      </c>
      <c r="R136" s="8"/>
      <c r="S136" s="8"/>
      <c r="T136" s="8"/>
      <c r="U136" s="8"/>
      <c r="V136" s="9" t="s">
        <v>49</v>
      </c>
      <c r="W136" s="9" t="s">
        <v>49</v>
      </c>
      <c r="X136" s="8"/>
      <c r="Y136" s="8"/>
      <c r="Z136" s="8"/>
      <c r="AA136" s="8"/>
      <c r="AB136" s="8"/>
      <c r="AC136" s="8"/>
      <c r="AD136" s="8"/>
      <c r="AE136" s="8"/>
      <c r="AF136" s="8"/>
      <c r="AG136" s="8"/>
      <c r="AH136" s="7" t="s">
        <v>51</v>
      </c>
      <c r="AI136" s="6" t="s">
        <v>49</v>
      </c>
      <c r="AJ136" s="6" t="s">
        <v>49</v>
      </c>
      <c r="AK136" s="6" t="s">
        <v>49</v>
      </c>
      <c r="AL136" s="9" t="s">
        <v>49</v>
      </c>
      <c r="AM136" s="9" t="s">
        <v>122</v>
      </c>
      <c r="AN136" s="6" t="s">
        <v>49</v>
      </c>
      <c r="AO136" s="9" t="s">
        <v>159</v>
      </c>
      <c r="AP136" s="11">
        <v>0</v>
      </c>
      <c r="AQ136" s="11">
        <v>0</v>
      </c>
      <c r="AR136" s="11">
        <v>0</v>
      </c>
      <c r="AS136" s="11">
        <v>0</v>
      </c>
      <c r="AT136" s="11">
        <v>0</v>
      </c>
      <c r="AU136" s="11">
        <v>0</v>
      </c>
      <c r="AV136" s="11" t="s">
        <v>51</v>
      </c>
    </row>
    <row r="137" spans="1:49" ht="14.5" hidden="1">
      <c r="A137" s="6">
        <v>136</v>
      </c>
      <c r="B137" s="7" t="s">
        <v>364</v>
      </c>
      <c r="C137" s="7" t="s">
        <v>49</v>
      </c>
      <c r="D137" s="6">
        <v>15583</v>
      </c>
      <c r="E137" s="6" t="s">
        <v>49</v>
      </c>
      <c r="F137" s="8"/>
      <c r="G137" s="8"/>
      <c r="H137" s="7" t="s">
        <v>49</v>
      </c>
      <c r="I137" s="7"/>
      <c r="J137" s="6" t="s">
        <v>49</v>
      </c>
      <c r="K137" s="9" t="s">
        <v>49</v>
      </c>
      <c r="L137" s="9" t="s">
        <v>49</v>
      </c>
      <c r="M137" s="8"/>
      <c r="N137" s="10">
        <v>43647</v>
      </c>
      <c r="O137" s="10">
        <v>45229</v>
      </c>
      <c r="P137" s="9" t="s">
        <v>49</v>
      </c>
      <c r="Q137" s="9" t="s">
        <v>49</v>
      </c>
      <c r="R137" s="8"/>
      <c r="S137" s="8"/>
      <c r="T137" s="8"/>
      <c r="U137" s="8"/>
      <c r="V137" s="9" t="s">
        <v>49</v>
      </c>
      <c r="W137" s="9" t="s">
        <v>49</v>
      </c>
      <c r="X137" s="8"/>
      <c r="Y137" s="8"/>
      <c r="Z137" s="8"/>
      <c r="AA137" s="8"/>
      <c r="AB137" s="8"/>
      <c r="AC137" s="8"/>
      <c r="AD137" s="8"/>
      <c r="AE137" s="8"/>
      <c r="AF137" s="8"/>
      <c r="AG137" s="8"/>
      <c r="AH137" s="7" t="s">
        <v>51</v>
      </c>
      <c r="AI137" s="6" t="s">
        <v>110</v>
      </c>
      <c r="AJ137" s="6" t="s">
        <v>49</v>
      </c>
      <c r="AK137" s="6" t="s">
        <v>49</v>
      </c>
      <c r="AL137" s="9" t="s">
        <v>52</v>
      </c>
      <c r="AM137" s="9" t="s">
        <v>49</v>
      </c>
      <c r="AN137" s="6" t="s">
        <v>210</v>
      </c>
      <c r="AO137" s="9" t="s">
        <v>49</v>
      </c>
      <c r="AP137" s="11">
        <v>7248.8885899999996</v>
      </c>
      <c r="AQ137" s="11">
        <v>0</v>
      </c>
      <c r="AR137" s="11">
        <v>0</v>
      </c>
      <c r="AS137" s="11">
        <v>41681.266040000002</v>
      </c>
      <c r="AT137" s="11">
        <v>0</v>
      </c>
      <c r="AU137" s="11">
        <v>0</v>
      </c>
      <c r="AV137" s="11">
        <v>0</v>
      </c>
    </row>
    <row r="138" spans="1:49" ht="14.5" hidden="1">
      <c r="A138" s="6">
        <v>137</v>
      </c>
      <c r="B138" s="7" t="s">
        <v>365</v>
      </c>
      <c r="C138" s="7" t="s">
        <v>49</v>
      </c>
      <c r="D138" s="6">
        <v>15644</v>
      </c>
      <c r="E138" s="6" t="s">
        <v>49</v>
      </c>
      <c r="F138" s="8"/>
      <c r="G138" s="8"/>
      <c r="H138" s="7" t="s">
        <v>49</v>
      </c>
      <c r="I138" s="7"/>
      <c r="J138" s="6" t="s">
        <v>49</v>
      </c>
      <c r="K138" s="9" t="s">
        <v>49</v>
      </c>
      <c r="L138" s="9" t="s">
        <v>49</v>
      </c>
      <c r="M138" s="8"/>
      <c r="N138" s="12"/>
      <c r="O138" s="12"/>
      <c r="P138" s="9" t="s">
        <v>49</v>
      </c>
      <c r="Q138" s="9" t="s">
        <v>49</v>
      </c>
      <c r="R138" s="8"/>
      <c r="S138" s="8"/>
      <c r="T138" s="8"/>
      <c r="U138" s="8"/>
      <c r="V138" s="9" t="s">
        <v>49</v>
      </c>
      <c r="W138" s="9" t="s">
        <v>49</v>
      </c>
      <c r="X138" s="8"/>
      <c r="Y138" s="8"/>
      <c r="Z138" s="8"/>
      <c r="AA138" s="8"/>
      <c r="AB138" s="8"/>
      <c r="AC138" s="8"/>
      <c r="AD138" s="8"/>
      <c r="AE138" s="8"/>
      <c r="AF138" s="8"/>
      <c r="AG138" s="8"/>
      <c r="AH138" s="7" t="s">
        <v>79</v>
      </c>
      <c r="AI138" s="6" t="s">
        <v>110</v>
      </c>
      <c r="AJ138" s="6" t="s">
        <v>49</v>
      </c>
      <c r="AK138" s="6" t="s">
        <v>49</v>
      </c>
      <c r="AL138" s="9" t="s">
        <v>111</v>
      </c>
      <c r="AM138" s="9" t="s">
        <v>49</v>
      </c>
      <c r="AN138" s="6" t="s">
        <v>82</v>
      </c>
      <c r="AO138" s="9" t="s">
        <v>49</v>
      </c>
      <c r="AP138" s="11">
        <v>7248.8885899999996</v>
      </c>
      <c r="AQ138" s="11">
        <v>0</v>
      </c>
      <c r="AR138" s="11">
        <v>0</v>
      </c>
      <c r="AS138" s="11">
        <v>41681.266040000002</v>
      </c>
      <c r="AT138" s="11">
        <v>0</v>
      </c>
      <c r="AU138" s="11">
        <v>0</v>
      </c>
      <c r="AV138" s="11">
        <v>0</v>
      </c>
    </row>
    <row r="139" spans="1:49" ht="14.5" hidden="1">
      <c r="A139" s="6">
        <v>138</v>
      </c>
      <c r="B139" s="7" t="s">
        <v>366</v>
      </c>
      <c r="C139" s="7" t="s">
        <v>49</v>
      </c>
      <c r="D139" s="6">
        <v>15481</v>
      </c>
      <c r="E139" s="6" t="s">
        <v>367</v>
      </c>
      <c r="F139" s="8"/>
      <c r="G139" s="8"/>
      <c r="H139" s="7" t="s">
        <v>49</v>
      </c>
      <c r="I139" s="7"/>
      <c r="J139" s="6" t="s">
        <v>49</v>
      </c>
      <c r="K139" s="9" t="s">
        <v>49</v>
      </c>
      <c r="L139" s="9" t="s">
        <v>49</v>
      </c>
      <c r="M139" s="8"/>
      <c r="N139" s="10">
        <v>43650</v>
      </c>
      <c r="O139" s="10">
        <v>43859</v>
      </c>
      <c r="P139" s="9" t="s">
        <v>49</v>
      </c>
      <c r="Q139" s="9" t="s">
        <v>49</v>
      </c>
      <c r="R139" s="8"/>
      <c r="S139" s="8"/>
      <c r="T139" s="8"/>
      <c r="U139" s="8"/>
      <c r="V139" s="9" t="s">
        <v>49</v>
      </c>
      <c r="W139" s="9" t="s">
        <v>49</v>
      </c>
      <c r="X139" s="8"/>
      <c r="Y139" s="8"/>
      <c r="Z139" s="8"/>
      <c r="AA139" s="8"/>
      <c r="AB139" s="8"/>
      <c r="AC139" s="8"/>
      <c r="AD139" s="8"/>
      <c r="AE139" s="8"/>
      <c r="AF139" s="8"/>
      <c r="AG139" s="8"/>
      <c r="AH139" s="7" t="s">
        <v>57</v>
      </c>
      <c r="AI139" s="6" t="s">
        <v>49</v>
      </c>
      <c r="AJ139" s="6" t="s">
        <v>49</v>
      </c>
      <c r="AK139" s="6" t="s">
        <v>49</v>
      </c>
      <c r="AL139" s="9" t="s">
        <v>49</v>
      </c>
      <c r="AM139" s="9" t="s">
        <v>67</v>
      </c>
      <c r="AN139" s="6" t="s">
        <v>49</v>
      </c>
      <c r="AO139" s="9" t="s">
        <v>67</v>
      </c>
      <c r="AP139" s="11">
        <v>0</v>
      </c>
      <c r="AQ139" s="11">
        <v>0</v>
      </c>
      <c r="AR139" s="11">
        <v>0</v>
      </c>
      <c r="AS139" s="11">
        <v>0</v>
      </c>
      <c r="AT139" s="11">
        <v>0</v>
      </c>
      <c r="AU139" s="11">
        <v>0</v>
      </c>
      <c r="AV139" s="11" t="s">
        <v>57</v>
      </c>
    </row>
    <row r="140" spans="1:49" ht="14.5" hidden="1">
      <c r="A140" s="6">
        <v>139</v>
      </c>
      <c r="B140" s="7" t="s">
        <v>368</v>
      </c>
      <c r="C140" s="7" t="s">
        <v>49</v>
      </c>
      <c r="D140" s="6">
        <v>15644</v>
      </c>
      <c r="E140" s="6" t="s">
        <v>49</v>
      </c>
      <c r="F140" s="8"/>
      <c r="G140" s="8"/>
      <c r="H140" s="7" t="s">
        <v>49</v>
      </c>
      <c r="I140" s="7"/>
      <c r="J140" s="6" t="s">
        <v>49</v>
      </c>
      <c r="K140" s="9" t="s">
        <v>49</v>
      </c>
      <c r="L140" s="9" t="s">
        <v>49</v>
      </c>
      <c r="M140" s="8"/>
      <c r="N140" s="12"/>
      <c r="O140" s="12"/>
      <c r="P140" s="9" t="s">
        <v>49</v>
      </c>
      <c r="Q140" s="9" t="s">
        <v>49</v>
      </c>
      <c r="R140" s="8"/>
      <c r="S140" s="8"/>
      <c r="T140" s="8"/>
      <c r="U140" s="8"/>
      <c r="V140" s="9" t="s">
        <v>49</v>
      </c>
      <c r="W140" s="9" t="s">
        <v>49</v>
      </c>
      <c r="X140" s="8"/>
      <c r="Y140" s="8"/>
      <c r="Z140" s="8"/>
      <c r="AA140" s="8"/>
      <c r="AB140" s="8"/>
      <c r="AC140" s="8"/>
      <c r="AD140" s="8"/>
      <c r="AE140" s="8"/>
      <c r="AF140" s="8"/>
      <c r="AG140" s="8"/>
      <c r="AH140" s="7" t="s">
        <v>79</v>
      </c>
      <c r="AI140" s="6" t="s">
        <v>110</v>
      </c>
      <c r="AJ140" s="6" t="s">
        <v>49</v>
      </c>
      <c r="AK140" s="6" t="s">
        <v>49</v>
      </c>
      <c r="AL140" s="9" t="s">
        <v>111</v>
      </c>
      <c r="AM140" s="9" t="s">
        <v>49</v>
      </c>
      <c r="AN140" s="6" t="s">
        <v>82</v>
      </c>
      <c r="AO140" s="9" t="s">
        <v>49</v>
      </c>
      <c r="AP140" s="11">
        <v>7248.8885899999996</v>
      </c>
      <c r="AQ140" s="11">
        <v>0</v>
      </c>
      <c r="AR140" s="11">
        <v>0</v>
      </c>
      <c r="AS140" s="11">
        <v>41681.266040000002</v>
      </c>
      <c r="AT140" s="11">
        <v>0</v>
      </c>
      <c r="AU140" s="11">
        <v>0</v>
      </c>
      <c r="AV140" s="11">
        <v>0</v>
      </c>
    </row>
    <row r="141" spans="1:49" ht="14.5" hidden="1">
      <c r="A141" s="6">
        <v>140</v>
      </c>
      <c r="B141" s="7" t="s">
        <v>369</v>
      </c>
      <c r="C141" s="7" t="s">
        <v>49</v>
      </c>
      <c r="D141" s="6">
        <v>15387</v>
      </c>
      <c r="E141" s="6" t="s">
        <v>49</v>
      </c>
      <c r="F141" s="8"/>
      <c r="G141" s="8"/>
      <c r="H141" s="7" t="s">
        <v>49</v>
      </c>
      <c r="I141" s="7"/>
      <c r="J141" s="6" t="s">
        <v>49</v>
      </c>
      <c r="K141" s="9" t="s">
        <v>49</v>
      </c>
      <c r="L141" s="9" t="s">
        <v>49</v>
      </c>
      <c r="M141" s="8"/>
      <c r="N141" s="12"/>
      <c r="O141" s="10">
        <v>43434</v>
      </c>
      <c r="P141" s="9" t="s">
        <v>49</v>
      </c>
      <c r="Q141" s="9" t="s">
        <v>49</v>
      </c>
      <c r="R141" s="8"/>
      <c r="S141" s="8"/>
      <c r="T141" s="8"/>
      <c r="U141" s="8"/>
      <c r="V141" s="9" t="s">
        <v>49</v>
      </c>
      <c r="W141" s="9" t="s">
        <v>49</v>
      </c>
      <c r="X141" s="8"/>
      <c r="Y141" s="8"/>
      <c r="Z141" s="8"/>
      <c r="AA141" s="8"/>
      <c r="AB141" s="8"/>
      <c r="AC141" s="8"/>
      <c r="AD141" s="8"/>
      <c r="AE141" s="8"/>
      <c r="AF141" s="8"/>
      <c r="AG141" s="8"/>
      <c r="AH141" s="7" t="s">
        <v>57</v>
      </c>
      <c r="AI141" s="6" t="s">
        <v>71</v>
      </c>
      <c r="AJ141" s="6" t="s">
        <v>49</v>
      </c>
      <c r="AK141" s="6" t="s">
        <v>49</v>
      </c>
      <c r="AL141" s="9" t="s">
        <v>52</v>
      </c>
      <c r="AM141" s="9" t="s">
        <v>49</v>
      </c>
      <c r="AN141" s="6" t="s">
        <v>82</v>
      </c>
      <c r="AO141" s="9" t="s">
        <v>49</v>
      </c>
      <c r="AP141" s="11">
        <v>7248.8885899999996</v>
      </c>
      <c r="AQ141" s="11">
        <v>0</v>
      </c>
      <c r="AR141" s="11">
        <v>0</v>
      </c>
      <c r="AS141" s="11">
        <v>41681.266040000002</v>
      </c>
      <c r="AT141" s="11">
        <v>0</v>
      </c>
      <c r="AU141" s="11">
        <v>0</v>
      </c>
      <c r="AV141" s="11">
        <v>0</v>
      </c>
    </row>
    <row r="142" spans="1:49" ht="14.5" hidden="1">
      <c r="A142" s="6">
        <v>141</v>
      </c>
      <c r="B142" s="7" t="s">
        <v>369</v>
      </c>
      <c r="C142" s="7" t="s">
        <v>49</v>
      </c>
      <c r="D142" s="6">
        <v>15387</v>
      </c>
      <c r="E142" s="6" t="s">
        <v>370</v>
      </c>
      <c r="F142" s="6">
        <v>80759</v>
      </c>
      <c r="G142" s="8"/>
      <c r="H142" s="7" t="s">
        <v>49</v>
      </c>
      <c r="I142" s="7"/>
      <c r="J142" s="6" t="s">
        <v>49</v>
      </c>
      <c r="K142" s="9" t="s">
        <v>49</v>
      </c>
      <c r="L142" s="9" t="s">
        <v>49</v>
      </c>
      <c r="M142" s="8"/>
      <c r="N142" s="12"/>
      <c r="O142" s="10">
        <v>43434</v>
      </c>
      <c r="P142" s="9" t="s">
        <v>49</v>
      </c>
      <c r="Q142" s="9" t="s">
        <v>49</v>
      </c>
      <c r="R142" s="8"/>
      <c r="S142" s="8"/>
      <c r="T142" s="8"/>
      <c r="U142" s="8"/>
      <c r="V142" s="9" t="s">
        <v>49</v>
      </c>
      <c r="W142" s="9" t="s">
        <v>49</v>
      </c>
      <c r="X142" s="8"/>
      <c r="Y142" s="8"/>
      <c r="Z142" s="8"/>
      <c r="AA142" s="8"/>
      <c r="AB142" s="8"/>
      <c r="AC142" s="8"/>
      <c r="AD142" s="8"/>
      <c r="AE142" s="8"/>
      <c r="AF142" s="8"/>
      <c r="AG142" s="8"/>
      <c r="AH142" s="7" t="s">
        <v>51</v>
      </c>
      <c r="AI142" s="6" t="s">
        <v>49</v>
      </c>
      <c r="AJ142" s="6" t="s">
        <v>49</v>
      </c>
      <c r="AK142" s="6" t="s">
        <v>49</v>
      </c>
      <c r="AL142" s="9" t="s">
        <v>49</v>
      </c>
      <c r="AM142" s="9" t="s">
        <v>200</v>
      </c>
      <c r="AN142" s="6" t="s">
        <v>49</v>
      </c>
      <c r="AO142" s="9" t="s">
        <v>200</v>
      </c>
      <c r="AP142" s="11">
        <v>0</v>
      </c>
      <c r="AQ142" s="11">
        <v>0</v>
      </c>
      <c r="AR142" s="11">
        <v>0</v>
      </c>
      <c r="AS142" s="11">
        <v>0</v>
      </c>
      <c r="AT142" s="11">
        <v>47.1</v>
      </c>
      <c r="AU142" s="11">
        <v>0</v>
      </c>
      <c r="AV142" s="11" t="s">
        <v>51</v>
      </c>
    </row>
    <row r="143" spans="1:49" ht="14.5" hidden="1">
      <c r="A143" s="6">
        <v>142</v>
      </c>
      <c r="B143" s="7" t="s">
        <v>371</v>
      </c>
      <c r="C143" s="7" t="s">
        <v>203</v>
      </c>
      <c r="D143" s="12"/>
      <c r="E143" s="6" t="s">
        <v>104</v>
      </c>
      <c r="F143" s="8"/>
      <c r="G143" s="8"/>
      <c r="H143" s="7" t="s">
        <v>49</v>
      </c>
      <c r="I143" s="7"/>
      <c r="J143" s="6" t="s">
        <v>49</v>
      </c>
      <c r="K143" s="9" t="s">
        <v>49</v>
      </c>
      <c r="L143" s="9" t="s">
        <v>49</v>
      </c>
      <c r="M143" s="18">
        <v>150</v>
      </c>
      <c r="N143" s="8"/>
      <c r="O143" s="12"/>
      <c r="P143" s="9" t="s">
        <v>49</v>
      </c>
      <c r="Q143" s="9" t="s">
        <v>49</v>
      </c>
      <c r="R143" s="8"/>
      <c r="S143" s="8"/>
      <c r="T143" s="8"/>
      <c r="U143" s="8"/>
      <c r="V143" s="9" t="s">
        <v>49</v>
      </c>
      <c r="W143" s="9" t="s">
        <v>49</v>
      </c>
      <c r="X143" s="8"/>
      <c r="Y143" s="8"/>
      <c r="Z143" s="8"/>
      <c r="AA143" s="8"/>
      <c r="AB143" s="8"/>
      <c r="AC143" s="8"/>
      <c r="AD143" s="8"/>
      <c r="AE143" s="8"/>
      <c r="AF143" s="8"/>
      <c r="AG143" s="8"/>
      <c r="AH143" s="7" t="s">
        <v>49</v>
      </c>
      <c r="AI143" s="6" t="s">
        <v>49</v>
      </c>
      <c r="AJ143" s="6" t="s">
        <v>49</v>
      </c>
      <c r="AK143" s="6" t="s">
        <v>49</v>
      </c>
      <c r="AL143" s="9" t="s">
        <v>49</v>
      </c>
      <c r="AM143" s="9" t="s">
        <v>49</v>
      </c>
      <c r="AN143" s="6" t="s">
        <v>49</v>
      </c>
      <c r="AO143" s="9" t="s">
        <v>49</v>
      </c>
      <c r="AP143" s="11">
        <v>0</v>
      </c>
      <c r="AQ143" s="11">
        <v>0</v>
      </c>
      <c r="AR143" s="11">
        <v>0</v>
      </c>
      <c r="AS143" s="11">
        <v>0</v>
      </c>
      <c r="AT143" s="11">
        <v>0</v>
      </c>
      <c r="AU143" s="11">
        <v>0</v>
      </c>
      <c r="AV143" s="11">
        <v>0</v>
      </c>
    </row>
    <row r="144" spans="1:49" ht="14.5" hidden="1">
      <c r="A144" s="6">
        <v>143</v>
      </c>
      <c r="B144" s="7" t="s">
        <v>372</v>
      </c>
      <c r="C144" s="7" t="s">
        <v>49</v>
      </c>
      <c r="D144" s="6">
        <v>15067</v>
      </c>
      <c r="E144" s="6" t="s">
        <v>373</v>
      </c>
      <c r="F144" s="8"/>
      <c r="G144" s="8"/>
      <c r="H144" s="7" t="s">
        <v>49</v>
      </c>
      <c r="I144" s="7"/>
      <c r="J144" s="6" t="s">
        <v>49</v>
      </c>
      <c r="K144" s="9" t="s">
        <v>49</v>
      </c>
      <c r="L144" s="9" t="s">
        <v>49</v>
      </c>
      <c r="M144" s="8"/>
      <c r="N144" s="10">
        <v>43423</v>
      </c>
      <c r="O144" s="10">
        <v>43831</v>
      </c>
      <c r="P144" s="9" t="s">
        <v>49</v>
      </c>
      <c r="Q144" s="9" t="s">
        <v>49</v>
      </c>
      <c r="R144" s="8"/>
      <c r="S144" s="8"/>
      <c r="T144" s="8"/>
      <c r="U144" s="8"/>
      <c r="V144" s="9" t="s">
        <v>49</v>
      </c>
      <c r="W144" s="9" t="s">
        <v>49</v>
      </c>
      <c r="X144" s="8"/>
      <c r="Y144" s="8"/>
      <c r="Z144" s="8"/>
      <c r="AA144" s="8"/>
      <c r="AB144" s="8"/>
      <c r="AC144" s="8"/>
      <c r="AD144" s="8"/>
      <c r="AE144" s="8"/>
      <c r="AF144" s="8"/>
      <c r="AG144" s="8"/>
      <c r="AH144" s="7" t="s">
        <v>57</v>
      </c>
      <c r="AI144" s="6" t="s">
        <v>49</v>
      </c>
      <c r="AJ144" s="6" t="s">
        <v>49</v>
      </c>
      <c r="AK144" s="6" t="s">
        <v>49</v>
      </c>
      <c r="AL144" s="9" t="s">
        <v>49</v>
      </c>
      <c r="AM144" s="9" t="s">
        <v>221</v>
      </c>
      <c r="AN144" s="6" t="s">
        <v>49</v>
      </c>
      <c r="AO144" s="9" t="s">
        <v>221</v>
      </c>
      <c r="AP144" s="11">
        <v>0</v>
      </c>
      <c r="AQ144" s="11">
        <v>0</v>
      </c>
      <c r="AR144" s="11">
        <v>0</v>
      </c>
      <c r="AS144" s="11">
        <v>0</v>
      </c>
      <c r="AT144" s="11">
        <v>0</v>
      </c>
      <c r="AU144" s="11">
        <v>0</v>
      </c>
      <c r="AV144" s="11" t="s">
        <v>57</v>
      </c>
    </row>
    <row r="145" spans="1:49" ht="14.5" hidden="1">
      <c r="A145" s="6">
        <v>144</v>
      </c>
      <c r="B145" s="7" t="s">
        <v>374</v>
      </c>
      <c r="C145" s="7" t="s">
        <v>69</v>
      </c>
      <c r="D145" s="6">
        <v>15475</v>
      </c>
      <c r="E145" s="6" t="s">
        <v>49</v>
      </c>
      <c r="F145" s="8"/>
      <c r="G145" s="8"/>
      <c r="H145" s="7" t="s">
        <v>49</v>
      </c>
      <c r="I145" s="7"/>
      <c r="J145" s="6" t="s">
        <v>49</v>
      </c>
      <c r="K145" s="9" t="s">
        <v>49</v>
      </c>
      <c r="L145" s="9" t="s">
        <v>49</v>
      </c>
      <c r="M145" s="8"/>
      <c r="N145" s="12"/>
      <c r="O145" s="10">
        <v>43830</v>
      </c>
      <c r="P145" s="9" t="s">
        <v>49</v>
      </c>
      <c r="Q145" s="9" t="s">
        <v>49</v>
      </c>
      <c r="R145" s="8"/>
      <c r="S145" s="8"/>
      <c r="T145" s="8"/>
      <c r="U145" s="8"/>
      <c r="V145" s="9" t="s">
        <v>49</v>
      </c>
      <c r="W145" s="9" t="s">
        <v>49</v>
      </c>
      <c r="X145" s="8"/>
      <c r="Y145" s="8"/>
      <c r="Z145" s="8"/>
      <c r="AA145" s="8"/>
      <c r="AB145" s="8"/>
      <c r="AC145" s="8"/>
      <c r="AD145" s="8"/>
      <c r="AE145" s="8"/>
      <c r="AF145" s="8"/>
      <c r="AG145" s="8"/>
      <c r="AH145" s="7" t="s">
        <v>57</v>
      </c>
      <c r="AI145" s="6" t="s">
        <v>71</v>
      </c>
      <c r="AJ145" s="6" t="s">
        <v>49</v>
      </c>
      <c r="AK145" s="6" t="s">
        <v>49</v>
      </c>
      <c r="AL145" s="9" t="s">
        <v>72</v>
      </c>
      <c r="AM145" s="9" t="s">
        <v>49</v>
      </c>
      <c r="AN145" s="6" t="s">
        <v>82</v>
      </c>
      <c r="AO145" s="9" t="s">
        <v>49</v>
      </c>
      <c r="AP145" s="11">
        <v>7248.8885899999996</v>
      </c>
      <c r="AQ145" s="11">
        <v>0</v>
      </c>
      <c r="AR145" s="11">
        <v>0</v>
      </c>
      <c r="AS145" s="11">
        <v>41681.266040000002</v>
      </c>
      <c r="AT145" s="11">
        <v>0</v>
      </c>
      <c r="AU145" s="11">
        <v>0</v>
      </c>
      <c r="AV145" s="11">
        <v>0</v>
      </c>
    </row>
    <row r="146" spans="1:49" ht="14.5" hidden="1">
      <c r="A146" s="6">
        <v>145</v>
      </c>
      <c r="B146" s="7" t="s">
        <v>374</v>
      </c>
      <c r="C146" s="7" t="s">
        <v>69</v>
      </c>
      <c r="D146" s="6">
        <v>15475</v>
      </c>
      <c r="E146" s="6" t="s">
        <v>375</v>
      </c>
      <c r="F146" s="6">
        <v>84862</v>
      </c>
      <c r="G146" s="8"/>
      <c r="H146" s="7" t="s">
        <v>49</v>
      </c>
      <c r="I146" s="7"/>
      <c r="J146" s="6" t="s">
        <v>49</v>
      </c>
      <c r="K146" s="9" t="s">
        <v>49</v>
      </c>
      <c r="L146" s="9" t="s">
        <v>73</v>
      </c>
      <c r="M146" s="8"/>
      <c r="N146" s="12"/>
      <c r="O146" s="10">
        <v>43830</v>
      </c>
      <c r="P146" s="9" t="s">
        <v>376</v>
      </c>
      <c r="Q146" s="9" t="s">
        <v>377</v>
      </c>
      <c r="R146" s="8"/>
      <c r="S146" s="8"/>
      <c r="T146" s="8"/>
      <c r="U146" s="8"/>
      <c r="V146" s="9" t="s">
        <v>49</v>
      </c>
      <c r="W146" s="9" t="s">
        <v>49</v>
      </c>
      <c r="X146" s="8"/>
      <c r="Y146" s="8"/>
      <c r="Z146" s="8"/>
      <c r="AA146" s="8"/>
      <c r="AB146" s="8"/>
      <c r="AC146" s="8"/>
      <c r="AD146" s="8"/>
      <c r="AE146" s="8"/>
      <c r="AF146" s="8"/>
      <c r="AG146" s="8"/>
      <c r="AH146" s="7" t="s">
        <v>51</v>
      </c>
      <c r="AI146" s="6" t="s">
        <v>49</v>
      </c>
      <c r="AJ146" s="6" t="s">
        <v>49</v>
      </c>
      <c r="AK146" s="6" t="s">
        <v>49</v>
      </c>
      <c r="AL146" s="9" t="s">
        <v>49</v>
      </c>
      <c r="AM146" s="9" t="s">
        <v>72</v>
      </c>
      <c r="AN146" s="6" t="s">
        <v>49</v>
      </c>
      <c r="AO146" s="9" t="s">
        <v>72</v>
      </c>
      <c r="AP146" s="11">
        <v>63.408209999999997</v>
      </c>
      <c r="AQ146" s="11">
        <v>79108.92</v>
      </c>
      <c r="AR146" s="11">
        <v>79108.925833333327</v>
      </c>
      <c r="AS146" s="11">
        <v>353.87824999999998</v>
      </c>
      <c r="AT146" s="11">
        <v>242.68391999999997</v>
      </c>
      <c r="AU146" s="11">
        <v>0</v>
      </c>
      <c r="AV146" s="11" t="s">
        <v>51</v>
      </c>
    </row>
    <row r="147" spans="1:49" ht="14.5" hidden="1">
      <c r="A147" s="6">
        <v>146</v>
      </c>
      <c r="B147" s="7" t="s">
        <v>378</v>
      </c>
      <c r="C147" s="7" t="s">
        <v>49</v>
      </c>
      <c r="D147" s="6">
        <v>12479</v>
      </c>
      <c r="E147" s="6" t="s">
        <v>379</v>
      </c>
      <c r="F147" s="8"/>
      <c r="G147" s="8"/>
      <c r="H147" s="7" t="s">
        <v>49</v>
      </c>
      <c r="I147" s="7"/>
      <c r="J147" s="6" t="s">
        <v>49</v>
      </c>
      <c r="K147" s="9" t="s">
        <v>49</v>
      </c>
      <c r="L147" s="9" t="s">
        <v>49</v>
      </c>
      <c r="M147" s="8"/>
      <c r="N147" s="12"/>
      <c r="O147" s="12"/>
      <c r="P147" s="9" t="s">
        <v>49</v>
      </c>
      <c r="Q147" s="9" t="s">
        <v>49</v>
      </c>
      <c r="R147" s="8"/>
      <c r="S147" s="8"/>
      <c r="T147" s="8"/>
      <c r="U147" s="8"/>
      <c r="V147" s="9" t="s">
        <v>49</v>
      </c>
      <c r="W147" s="9" t="s">
        <v>49</v>
      </c>
      <c r="X147" s="8"/>
      <c r="Y147" s="8"/>
      <c r="Z147" s="8"/>
      <c r="AA147" s="8"/>
      <c r="AB147" s="8"/>
      <c r="AC147" s="8"/>
      <c r="AD147" s="8"/>
      <c r="AE147" s="8"/>
      <c r="AF147" s="8"/>
      <c r="AG147" s="8"/>
      <c r="AH147" s="7" t="s">
        <v>51</v>
      </c>
      <c r="AI147" s="6" t="s">
        <v>49</v>
      </c>
      <c r="AJ147" s="6" t="s">
        <v>49</v>
      </c>
      <c r="AK147" s="6" t="s">
        <v>49</v>
      </c>
      <c r="AL147" s="9" t="s">
        <v>49</v>
      </c>
      <c r="AM147" s="9" t="s">
        <v>380</v>
      </c>
      <c r="AN147" s="6" t="s">
        <v>49</v>
      </c>
      <c r="AO147" s="9" t="s">
        <v>159</v>
      </c>
      <c r="AP147" s="11">
        <v>0</v>
      </c>
      <c r="AQ147" s="11">
        <v>0</v>
      </c>
      <c r="AR147" s="11">
        <v>0</v>
      </c>
      <c r="AS147" s="11">
        <v>0</v>
      </c>
      <c r="AT147" s="11">
        <v>0</v>
      </c>
      <c r="AU147" s="11">
        <v>0</v>
      </c>
      <c r="AV147" s="11" t="s">
        <v>51</v>
      </c>
    </row>
    <row r="148" spans="1:49" ht="14.5" hidden="1">
      <c r="A148" s="6">
        <v>147</v>
      </c>
      <c r="B148" s="7" t="s">
        <v>381</v>
      </c>
      <c r="C148" s="7" t="s">
        <v>49</v>
      </c>
      <c r="D148" s="6">
        <v>12479</v>
      </c>
      <c r="E148" s="6" t="s">
        <v>49</v>
      </c>
      <c r="F148" s="8"/>
      <c r="G148" s="8"/>
      <c r="H148" s="7" t="s">
        <v>49</v>
      </c>
      <c r="I148" s="7"/>
      <c r="J148" s="6" t="s">
        <v>49</v>
      </c>
      <c r="K148" s="9" t="s">
        <v>49</v>
      </c>
      <c r="L148" s="9" t="s">
        <v>49</v>
      </c>
      <c r="M148" s="8"/>
      <c r="N148" s="8"/>
      <c r="O148" s="12"/>
      <c r="P148" s="9" t="s">
        <v>49</v>
      </c>
      <c r="Q148" s="9" t="s">
        <v>49</v>
      </c>
      <c r="R148" s="8"/>
      <c r="S148" s="8"/>
      <c r="T148" s="8"/>
      <c r="U148" s="8"/>
      <c r="V148" s="9" t="s">
        <v>49</v>
      </c>
      <c r="W148" s="9" t="s">
        <v>49</v>
      </c>
      <c r="X148" s="8"/>
      <c r="Y148" s="8"/>
      <c r="Z148" s="8"/>
      <c r="AA148" s="8"/>
      <c r="AB148" s="8"/>
      <c r="AC148" s="8"/>
      <c r="AD148" s="8"/>
      <c r="AE148" s="8"/>
      <c r="AF148" s="8"/>
      <c r="AG148" s="8"/>
      <c r="AH148" s="7" t="s">
        <v>57</v>
      </c>
      <c r="AI148" s="6" t="s">
        <v>71</v>
      </c>
      <c r="AJ148" s="6" t="s">
        <v>49</v>
      </c>
      <c r="AK148" s="6" t="s">
        <v>118</v>
      </c>
      <c r="AL148" s="9" t="s">
        <v>380</v>
      </c>
      <c r="AM148" s="9" t="s">
        <v>49</v>
      </c>
      <c r="AN148" s="6" t="s">
        <v>82</v>
      </c>
      <c r="AO148" s="9" t="s">
        <v>49</v>
      </c>
      <c r="AP148" s="11">
        <v>7248.8885899999996</v>
      </c>
      <c r="AQ148" s="11">
        <v>0</v>
      </c>
      <c r="AR148" s="11">
        <v>0</v>
      </c>
      <c r="AS148" s="11">
        <v>41681.266040000002</v>
      </c>
      <c r="AT148" s="11">
        <v>0</v>
      </c>
      <c r="AU148" s="11">
        <v>0</v>
      </c>
      <c r="AV148" s="11">
        <v>0</v>
      </c>
    </row>
    <row r="149" spans="1:49" ht="14.5" hidden="1">
      <c r="A149" s="6">
        <v>148</v>
      </c>
      <c r="B149" s="7" t="s">
        <v>382</v>
      </c>
      <c r="C149" s="7" t="s">
        <v>49</v>
      </c>
      <c r="D149" s="6">
        <v>15063</v>
      </c>
      <c r="E149" s="6" t="s">
        <v>383</v>
      </c>
      <c r="F149" s="8"/>
      <c r="G149" s="8"/>
      <c r="H149" s="7" t="s">
        <v>49</v>
      </c>
      <c r="I149" s="7"/>
      <c r="J149" s="6" t="s">
        <v>49</v>
      </c>
      <c r="K149" s="9" t="s">
        <v>49</v>
      </c>
      <c r="L149" s="9" t="s">
        <v>49</v>
      </c>
      <c r="M149" s="8"/>
      <c r="N149" s="10">
        <v>43374</v>
      </c>
      <c r="O149" s="10">
        <v>43831</v>
      </c>
      <c r="P149" s="9" t="s">
        <v>49</v>
      </c>
      <c r="Q149" s="9" t="s">
        <v>49</v>
      </c>
      <c r="R149" s="8"/>
      <c r="S149" s="8"/>
      <c r="T149" s="8"/>
      <c r="U149" s="8"/>
      <c r="V149" s="9" t="s">
        <v>49</v>
      </c>
      <c r="W149" s="9" t="s">
        <v>49</v>
      </c>
      <c r="X149" s="8"/>
      <c r="Y149" s="8"/>
      <c r="Z149" s="8"/>
      <c r="AA149" s="8"/>
      <c r="AB149" s="8"/>
      <c r="AC149" s="8"/>
      <c r="AD149" s="8"/>
      <c r="AE149" s="8"/>
      <c r="AF149" s="8"/>
      <c r="AG149" s="8"/>
      <c r="AH149" s="7" t="s">
        <v>57</v>
      </c>
      <c r="AI149" s="6" t="s">
        <v>49</v>
      </c>
      <c r="AJ149" s="6" t="s">
        <v>49</v>
      </c>
      <c r="AK149" s="6" t="s">
        <v>49</v>
      </c>
      <c r="AL149" s="9" t="s">
        <v>49</v>
      </c>
      <c r="AM149" s="9" t="s">
        <v>357</v>
      </c>
      <c r="AN149" s="6" t="s">
        <v>49</v>
      </c>
      <c r="AO149" s="9" t="s">
        <v>159</v>
      </c>
      <c r="AP149" s="11">
        <v>0</v>
      </c>
      <c r="AQ149" s="11">
        <v>0</v>
      </c>
      <c r="AR149" s="11">
        <v>0</v>
      </c>
      <c r="AS149" s="11">
        <v>0</v>
      </c>
      <c r="AT149" s="11">
        <v>0</v>
      </c>
      <c r="AU149" s="11">
        <v>0</v>
      </c>
      <c r="AV149" s="11" t="s">
        <v>57</v>
      </c>
    </row>
    <row r="150" spans="1:49" ht="14.5" hidden="1">
      <c r="A150" s="6">
        <v>149</v>
      </c>
      <c r="B150" s="7" t="s">
        <v>384</v>
      </c>
      <c r="C150" s="7" t="s">
        <v>49</v>
      </c>
      <c r="D150" s="6">
        <v>15524</v>
      </c>
      <c r="E150" s="6" t="s">
        <v>385</v>
      </c>
      <c r="F150" s="8"/>
      <c r="G150" s="8"/>
      <c r="H150" s="7" t="s">
        <v>49</v>
      </c>
      <c r="I150" s="7"/>
      <c r="J150" s="6" t="s">
        <v>49</v>
      </c>
      <c r="K150" s="9" t="s">
        <v>49</v>
      </c>
      <c r="L150" s="9" t="s">
        <v>49</v>
      </c>
      <c r="M150" s="12"/>
      <c r="N150" s="10">
        <v>43497</v>
      </c>
      <c r="O150" s="10">
        <v>43921</v>
      </c>
      <c r="P150" s="9" t="s">
        <v>49</v>
      </c>
      <c r="Q150" s="9" t="s">
        <v>49</v>
      </c>
      <c r="R150" s="8"/>
      <c r="S150" s="8"/>
      <c r="T150" s="8"/>
      <c r="U150" s="8"/>
      <c r="V150" s="9" t="s">
        <v>49</v>
      </c>
      <c r="W150" s="9" t="s">
        <v>49</v>
      </c>
      <c r="X150" s="8"/>
      <c r="Y150" s="8"/>
      <c r="Z150" s="8"/>
      <c r="AA150" s="8"/>
      <c r="AB150" s="8"/>
      <c r="AC150" s="8"/>
      <c r="AD150" s="8"/>
      <c r="AE150" s="8"/>
      <c r="AF150" s="8"/>
      <c r="AG150" s="8"/>
      <c r="AH150" s="7" t="s">
        <v>57</v>
      </c>
      <c r="AI150" s="6" t="s">
        <v>49</v>
      </c>
      <c r="AJ150" s="6" t="s">
        <v>49</v>
      </c>
      <c r="AK150" s="6" t="s">
        <v>49</v>
      </c>
      <c r="AL150" s="9" t="s">
        <v>49</v>
      </c>
      <c r="AM150" s="9" t="s">
        <v>386</v>
      </c>
      <c r="AN150" s="6" t="s">
        <v>49</v>
      </c>
      <c r="AO150" s="9" t="s">
        <v>52</v>
      </c>
      <c r="AP150" s="11">
        <v>0</v>
      </c>
      <c r="AQ150" s="11">
        <v>0</v>
      </c>
      <c r="AR150" s="11">
        <v>0</v>
      </c>
      <c r="AS150" s="11">
        <v>0</v>
      </c>
      <c r="AT150" s="11">
        <v>0</v>
      </c>
      <c r="AU150" s="11">
        <v>0</v>
      </c>
      <c r="AV150" s="11" t="s">
        <v>57</v>
      </c>
    </row>
    <row r="151" spans="1:49" ht="14.5" hidden="1">
      <c r="A151" s="6">
        <v>150</v>
      </c>
      <c r="B151" s="7" t="s">
        <v>387</v>
      </c>
      <c r="C151" s="7" t="s">
        <v>49</v>
      </c>
      <c r="D151" s="6">
        <v>15524</v>
      </c>
      <c r="E151" s="6" t="s">
        <v>388</v>
      </c>
      <c r="F151" s="8"/>
      <c r="G151" s="8"/>
      <c r="H151" s="7" t="s">
        <v>49</v>
      </c>
      <c r="I151" s="7"/>
      <c r="J151" s="6" t="s">
        <v>49</v>
      </c>
      <c r="K151" s="9" t="s">
        <v>49</v>
      </c>
      <c r="L151" s="9" t="s">
        <v>49</v>
      </c>
      <c r="M151" s="8"/>
      <c r="N151" s="10">
        <v>43497</v>
      </c>
      <c r="O151" s="10">
        <v>43921</v>
      </c>
      <c r="P151" s="9" t="s">
        <v>49</v>
      </c>
      <c r="Q151" s="9" t="s">
        <v>49</v>
      </c>
      <c r="R151" s="8"/>
      <c r="S151" s="8"/>
      <c r="T151" s="8"/>
      <c r="U151" s="8"/>
      <c r="V151" s="9" t="s">
        <v>49</v>
      </c>
      <c r="W151" s="9" t="s">
        <v>49</v>
      </c>
      <c r="X151" s="8"/>
      <c r="Y151" s="8"/>
      <c r="Z151" s="8"/>
      <c r="AA151" s="8"/>
      <c r="AB151" s="8"/>
      <c r="AC151" s="8"/>
      <c r="AD151" s="8"/>
      <c r="AE151" s="8"/>
      <c r="AF151" s="8"/>
      <c r="AG151" s="8"/>
      <c r="AH151" s="7" t="s">
        <v>57</v>
      </c>
      <c r="AI151" s="6" t="s">
        <v>49</v>
      </c>
      <c r="AJ151" s="6" t="s">
        <v>49</v>
      </c>
      <c r="AK151" s="6" t="s">
        <v>49</v>
      </c>
      <c r="AL151" s="9" t="s">
        <v>49</v>
      </c>
      <c r="AM151" s="9" t="s">
        <v>386</v>
      </c>
      <c r="AN151" s="6" t="s">
        <v>49</v>
      </c>
      <c r="AO151" s="9" t="s">
        <v>386</v>
      </c>
      <c r="AP151" s="11">
        <v>0</v>
      </c>
      <c r="AQ151" s="11">
        <v>0</v>
      </c>
      <c r="AR151" s="11">
        <v>0</v>
      </c>
      <c r="AS151" s="11">
        <v>0</v>
      </c>
      <c r="AT151" s="11">
        <v>0</v>
      </c>
      <c r="AU151" s="11">
        <v>0</v>
      </c>
      <c r="AV151" s="11" t="s">
        <v>57</v>
      </c>
    </row>
    <row r="152" spans="1:49" ht="29" hidden="1">
      <c r="A152" s="6">
        <v>151</v>
      </c>
      <c r="B152" s="7" t="s">
        <v>389</v>
      </c>
      <c r="C152" s="7" t="s">
        <v>203</v>
      </c>
      <c r="D152" s="12"/>
      <c r="E152" s="6" t="s">
        <v>104</v>
      </c>
      <c r="F152" s="8"/>
      <c r="G152" s="8"/>
      <c r="H152" s="7" t="s">
        <v>88</v>
      </c>
      <c r="I152" s="7" t="s">
        <v>255</v>
      </c>
      <c r="J152" s="6" t="s">
        <v>105</v>
      </c>
      <c r="K152" s="9" t="s">
        <v>106</v>
      </c>
      <c r="L152" s="9" t="s">
        <v>73</v>
      </c>
      <c r="M152" s="18">
        <v>200</v>
      </c>
      <c r="N152" s="12"/>
      <c r="O152" s="12"/>
      <c r="P152" s="9" t="s">
        <v>390</v>
      </c>
      <c r="Q152" s="9" t="s">
        <v>107</v>
      </c>
      <c r="R152" s="6">
        <v>0</v>
      </c>
      <c r="S152" s="6">
        <v>0</v>
      </c>
      <c r="T152" s="6">
        <v>0</v>
      </c>
      <c r="U152" s="6">
        <v>0.2</v>
      </c>
      <c r="V152" s="9" t="s">
        <v>391</v>
      </c>
      <c r="W152" s="9" t="s">
        <v>199</v>
      </c>
      <c r="X152" s="8"/>
      <c r="Y152" s="8"/>
      <c r="Z152" s="8"/>
      <c r="AA152" s="8"/>
      <c r="AB152" s="8"/>
      <c r="AC152" s="8"/>
      <c r="AD152" s="8"/>
      <c r="AE152" s="8"/>
      <c r="AF152" s="8"/>
      <c r="AG152" s="8"/>
      <c r="AH152" s="7" t="s">
        <v>49</v>
      </c>
      <c r="AI152" s="6" t="s">
        <v>49</v>
      </c>
      <c r="AJ152" s="6" t="s">
        <v>49</v>
      </c>
      <c r="AK152" s="6" t="s">
        <v>49</v>
      </c>
      <c r="AL152" s="9" t="s">
        <v>49</v>
      </c>
      <c r="AM152" s="9" t="s">
        <v>49</v>
      </c>
      <c r="AN152" s="6" t="s">
        <v>49</v>
      </c>
      <c r="AO152" s="9" t="s">
        <v>49</v>
      </c>
      <c r="AP152" s="11">
        <v>0</v>
      </c>
      <c r="AQ152" s="11">
        <v>0</v>
      </c>
      <c r="AR152" s="11">
        <v>0</v>
      </c>
      <c r="AS152" s="11">
        <v>0</v>
      </c>
      <c r="AT152" s="11">
        <v>0</v>
      </c>
      <c r="AU152" s="11">
        <v>0</v>
      </c>
      <c r="AV152" s="11">
        <v>0</v>
      </c>
    </row>
    <row r="153" spans="1:49" ht="14.5" hidden="1">
      <c r="A153" s="6">
        <v>152</v>
      </c>
      <c r="B153" s="7" t="s">
        <v>392</v>
      </c>
      <c r="C153" s="7" t="s">
        <v>49</v>
      </c>
      <c r="D153" s="6">
        <v>15388</v>
      </c>
      <c r="E153" s="6" t="s">
        <v>49</v>
      </c>
      <c r="F153" s="8"/>
      <c r="G153" s="8"/>
      <c r="H153" s="7" t="s">
        <v>49</v>
      </c>
      <c r="I153" s="7"/>
      <c r="J153" s="6" t="s">
        <v>49</v>
      </c>
      <c r="K153" s="9" t="s">
        <v>49</v>
      </c>
      <c r="L153" s="9" t="s">
        <v>49</v>
      </c>
      <c r="M153" s="8"/>
      <c r="N153" s="10">
        <v>43159</v>
      </c>
      <c r="O153" s="10">
        <v>43860</v>
      </c>
      <c r="P153" s="9" t="s">
        <v>49</v>
      </c>
      <c r="Q153" s="9" t="s">
        <v>49</v>
      </c>
      <c r="R153" s="8"/>
      <c r="S153" s="8"/>
      <c r="T153" s="8"/>
      <c r="U153" s="8"/>
      <c r="V153" s="9" t="s">
        <v>49</v>
      </c>
      <c r="W153" s="9" t="s">
        <v>49</v>
      </c>
      <c r="X153" s="8"/>
      <c r="Y153" s="8"/>
      <c r="Z153" s="8"/>
      <c r="AA153" s="8"/>
      <c r="AB153" s="8"/>
      <c r="AC153" s="8"/>
      <c r="AD153" s="8"/>
      <c r="AE153" s="8"/>
      <c r="AF153" s="8"/>
      <c r="AG153" s="8"/>
      <c r="AH153" s="7" t="s">
        <v>57</v>
      </c>
      <c r="AI153" s="6" t="s">
        <v>71</v>
      </c>
      <c r="AJ153" s="6" t="s">
        <v>49</v>
      </c>
      <c r="AK153" s="6" t="s">
        <v>49</v>
      </c>
      <c r="AL153" s="9" t="s">
        <v>92</v>
      </c>
      <c r="AM153" s="9" t="s">
        <v>49</v>
      </c>
      <c r="AN153" s="6" t="s">
        <v>96</v>
      </c>
      <c r="AO153" s="9" t="s">
        <v>49</v>
      </c>
      <c r="AP153" s="11">
        <v>7248.8885899999996</v>
      </c>
      <c r="AQ153" s="11">
        <v>0</v>
      </c>
      <c r="AR153" s="11">
        <v>0</v>
      </c>
      <c r="AS153" s="11">
        <v>41681.266040000002</v>
      </c>
      <c r="AT153" s="11">
        <v>0</v>
      </c>
      <c r="AU153" s="11">
        <v>0</v>
      </c>
      <c r="AV153" s="11">
        <v>0</v>
      </c>
    </row>
    <row r="154" spans="1:49" ht="14.5" hidden="1">
      <c r="A154" s="6">
        <v>153</v>
      </c>
      <c r="B154" s="7" t="s">
        <v>393</v>
      </c>
      <c r="C154" s="7" t="s">
        <v>49</v>
      </c>
      <c r="D154" s="6">
        <v>15388</v>
      </c>
      <c r="E154" s="6" t="s">
        <v>394</v>
      </c>
      <c r="F154" s="12"/>
      <c r="G154" s="8"/>
      <c r="H154" s="7" t="s">
        <v>49</v>
      </c>
      <c r="I154" s="7"/>
      <c r="J154" s="6" t="s">
        <v>49</v>
      </c>
      <c r="K154" s="9" t="s">
        <v>49</v>
      </c>
      <c r="L154" s="9" t="s">
        <v>49</v>
      </c>
      <c r="M154" s="8"/>
      <c r="N154" s="10">
        <v>43159</v>
      </c>
      <c r="O154" s="10">
        <v>43860</v>
      </c>
      <c r="P154" s="9" t="s">
        <v>49</v>
      </c>
      <c r="Q154" s="9" t="s">
        <v>49</v>
      </c>
      <c r="R154" s="8"/>
      <c r="S154" s="8"/>
      <c r="T154" s="8"/>
      <c r="U154" s="8"/>
      <c r="V154" s="9" t="s">
        <v>49</v>
      </c>
      <c r="W154" s="9" t="s">
        <v>49</v>
      </c>
      <c r="X154" s="8"/>
      <c r="Y154" s="8"/>
      <c r="Z154" s="8"/>
      <c r="AA154" s="12"/>
      <c r="AB154" s="12"/>
      <c r="AC154" s="8"/>
      <c r="AD154" s="12"/>
      <c r="AE154" s="8"/>
      <c r="AF154" s="12"/>
      <c r="AG154" s="12"/>
      <c r="AH154" s="7" t="s">
        <v>51</v>
      </c>
      <c r="AI154" s="6" t="s">
        <v>49</v>
      </c>
      <c r="AJ154" s="6" t="s">
        <v>49</v>
      </c>
      <c r="AK154" s="6" t="s">
        <v>49</v>
      </c>
      <c r="AL154" s="9" t="s">
        <v>49</v>
      </c>
      <c r="AM154" s="9" t="s">
        <v>95</v>
      </c>
      <c r="AN154" s="6" t="s">
        <v>49</v>
      </c>
      <c r="AO154" s="9" t="s">
        <v>49</v>
      </c>
      <c r="AP154" s="11">
        <v>0</v>
      </c>
      <c r="AQ154" s="11">
        <v>0</v>
      </c>
      <c r="AR154" s="11">
        <v>0</v>
      </c>
      <c r="AS154" s="11">
        <v>0</v>
      </c>
      <c r="AT154" s="11">
        <v>0</v>
      </c>
      <c r="AU154" s="11">
        <v>0</v>
      </c>
      <c r="AV154" s="11">
        <v>0</v>
      </c>
    </row>
    <row r="155" spans="1:49" ht="14.5" hidden="1">
      <c r="A155" s="6">
        <v>154</v>
      </c>
      <c r="B155" s="7" t="s">
        <v>395</v>
      </c>
      <c r="C155" s="7" t="s">
        <v>49</v>
      </c>
      <c r="D155" s="6">
        <v>12528</v>
      </c>
      <c r="E155" s="6" t="s">
        <v>396</v>
      </c>
      <c r="F155" s="8"/>
      <c r="G155" s="8"/>
      <c r="H155" s="7" t="s">
        <v>49</v>
      </c>
      <c r="I155" s="7"/>
      <c r="J155" s="6" t="s">
        <v>49</v>
      </c>
      <c r="K155" s="9" t="s">
        <v>49</v>
      </c>
      <c r="L155" s="9" t="s">
        <v>49</v>
      </c>
      <c r="M155" s="8"/>
      <c r="N155" s="10">
        <v>43497</v>
      </c>
      <c r="O155" s="10">
        <v>43833</v>
      </c>
      <c r="P155" s="9" t="s">
        <v>49</v>
      </c>
      <c r="Q155" s="9" t="s">
        <v>49</v>
      </c>
      <c r="R155" s="8"/>
      <c r="S155" s="8"/>
      <c r="T155" s="8"/>
      <c r="U155" s="8"/>
      <c r="V155" s="9" t="s">
        <v>49</v>
      </c>
      <c r="W155" s="9" t="s">
        <v>49</v>
      </c>
      <c r="X155" s="8"/>
      <c r="Y155" s="8"/>
      <c r="Z155" s="8"/>
      <c r="AA155" s="8"/>
      <c r="AB155" s="8"/>
      <c r="AC155" s="8"/>
      <c r="AD155" s="8"/>
      <c r="AE155" s="8"/>
      <c r="AF155" s="8"/>
      <c r="AG155" s="8"/>
      <c r="AH155" s="7" t="s">
        <v>57</v>
      </c>
      <c r="AI155" s="6" t="s">
        <v>49</v>
      </c>
      <c r="AJ155" s="6" t="s">
        <v>49</v>
      </c>
      <c r="AK155" s="6" t="s">
        <v>49</v>
      </c>
      <c r="AL155" s="9" t="s">
        <v>49</v>
      </c>
      <c r="AM155" s="9" t="s">
        <v>134</v>
      </c>
      <c r="AN155" s="6" t="s">
        <v>49</v>
      </c>
      <c r="AO155" s="9" t="s">
        <v>134</v>
      </c>
      <c r="AP155" s="11">
        <v>0</v>
      </c>
      <c r="AQ155" s="11">
        <v>0</v>
      </c>
      <c r="AR155" s="11">
        <v>0</v>
      </c>
      <c r="AS155" s="11">
        <v>0</v>
      </c>
      <c r="AT155" s="11">
        <v>0</v>
      </c>
      <c r="AU155" s="11">
        <v>0</v>
      </c>
      <c r="AV155" s="11" t="s">
        <v>57</v>
      </c>
    </row>
    <row r="156" spans="1:49" ht="14.5" hidden="1">
      <c r="A156" s="6">
        <v>155</v>
      </c>
      <c r="B156" s="7" t="s">
        <v>397</v>
      </c>
      <c r="C156" s="7" t="s">
        <v>49</v>
      </c>
      <c r="D156" s="6">
        <v>15644</v>
      </c>
      <c r="E156" s="6" t="s">
        <v>49</v>
      </c>
      <c r="F156" s="8"/>
      <c r="G156" s="8"/>
      <c r="H156" s="7" t="s">
        <v>49</v>
      </c>
      <c r="I156" s="7"/>
      <c r="J156" s="6" t="s">
        <v>49</v>
      </c>
      <c r="K156" s="9" t="s">
        <v>49</v>
      </c>
      <c r="L156" s="9" t="s">
        <v>49</v>
      </c>
      <c r="M156" s="8"/>
      <c r="N156" s="10">
        <v>43739</v>
      </c>
      <c r="O156" s="10">
        <v>44134</v>
      </c>
      <c r="P156" s="9" t="s">
        <v>49</v>
      </c>
      <c r="Q156" s="9" t="s">
        <v>49</v>
      </c>
      <c r="R156" s="8"/>
      <c r="S156" s="8"/>
      <c r="T156" s="8"/>
      <c r="U156" s="8"/>
      <c r="V156" s="9" t="s">
        <v>49</v>
      </c>
      <c r="W156" s="9" t="s">
        <v>49</v>
      </c>
      <c r="X156" s="8"/>
      <c r="Y156" s="8"/>
      <c r="Z156" s="8"/>
      <c r="AA156" s="8"/>
      <c r="AB156" s="8"/>
      <c r="AC156" s="8"/>
      <c r="AD156" s="8"/>
      <c r="AE156" s="8"/>
      <c r="AF156" s="8"/>
      <c r="AG156" s="8"/>
      <c r="AH156" s="7" t="s">
        <v>51</v>
      </c>
      <c r="AI156" s="6" t="s">
        <v>71</v>
      </c>
      <c r="AJ156" s="6" t="s">
        <v>49</v>
      </c>
      <c r="AK156" s="6" t="s">
        <v>49</v>
      </c>
      <c r="AL156" s="9" t="s">
        <v>52</v>
      </c>
      <c r="AM156" s="9" t="s">
        <v>49</v>
      </c>
      <c r="AN156" s="6" t="s">
        <v>96</v>
      </c>
      <c r="AO156" s="9" t="s">
        <v>49</v>
      </c>
      <c r="AP156" s="11">
        <v>7248.8885899999996</v>
      </c>
      <c r="AQ156" s="11">
        <v>0</v>
      </c>
      <c r="AR156" s="11">
        <v>0</v>
      </c>
      <c r="AS156" s="11">
        <v>41681.266040000002</v>
      </c>
      <c r="AT156" s="11">
        <v>0</v>
      </c>
      <c r="AU156" s="11">
        <v>0</v>
      </c>
      <c r="AV156" s="11">
        <v>0</v>
      </c>
    </row>
    <row r="157" spans="1:49" ht="14.5" hidden="1">
      <c r="A157" s="6">
        <v>156</v>
      </c>
      <c r="B157" s="7" t="s">
        <v>376</v>
      </c>
      <c r="C157" s="7" t="s">
        <v>69</v>
      </c>
      <c r="D157" s="12"/>
      <c r="E157" s="6" t="s">
        <v>104</v>
      </c>
      <c r="F157" s="8"/>
      <c r="G157" s="8"/>
      <c r="H157" s="7" t="s">
        <v>49</v>
      </c>
      <c r="I157" s="7"/>
      <c r="J157" s="6" t="s">
        <v>49</v>
      </c>
      <c r="K157" s="9" t="s">
        <v>49</v>
      </c>
      <c r="L157" s="9" t="s">
        <v>49</v>
      </c>
      <c r="M157" s="13">
        <v>361</v>
      </c>
      <c r="N157" s="12"/>
      <c r="O157" s="12"/>
      <c r="P157" s="9" t="s">
        <v>49</v>
      </c>
      <c r="Q157" s="9" t="s">
        <v>49</v>
      </c>
      <c r="R157" s="8"/>
      <c r="S157" s="8"/>
      <c r="T157" s="8"/>
      <c r="U157" s="8"/>
      <c r="V157" s="9" t="s">
        <v>49</v>
      </c>
      <c r="W157" s="9" t="s">
        <v>49</v>
      </c>
      <c r="X157" s="8"/>
      <c r="Y157" s="8"/>
      <c r="Z157" s="8"/>
      <c r="AA157" s="8"/>
      <c r="AB157" s="8"/>
      <c r="AC157" s="8"/>
      <c r="AD157" s="8"/>
      <c r="AE157" s="8"/>
      <c r="AF157" s="8"/>
      <c r="AG157" s="8"/>
      <c r="AH157" s="7" t="s">
        <v>49</v>
      </c>
      <c r="AI157" s="6" t="s">
        <v>49</v>
      </c>
      <c r="AJ157" s="6" t="s">
        <v>49</v>
      </c>
      <c r="AK157" s="6" t="s">
        <v>49</v>
      </c>
      <c r="AL157" s="9" t="s">
        <v>49</v>
      </c>
      <c r="AM157" s="9" t="s">
        <v>49</v>
      </c>
      <c r="AN157" s="6" t="s">
        <v>49</v>
      </c>
      <c r="AO157" s="9" t="s">
        <v>49</v>
      </c>
      <c r="AP157" s="11">
        <v>0</v>
      </c>
      <c r="AQ157" s="11">
        <v>0</v>
      </c>
      <c r="AR157" s="11">
        <v>0</v>
      </c>
      <c r="AS157" s="11">
        <v>0</v>
      </c>
      <c r="AT157" s="11">
        <v>0</v>
      </c>
      <c r="AU157" s="11">
        <v>417</v>
      </c>
      <c r="AV157" s="11">
        <v>0</v>
      </c>
      <c r="AW157" t="s">
        <v>93</v>
      </c>
    </row>
    <row r="158" spans="1:49" ht="14.5" hidden="1">
      <c r="A158" s="6">
        <v>157</v>
      </c>
      <c r="B158" s="7" t="s">
        <v>398</v>
      </c>
      <c r="C158" s="7" t="s">
        <v>49</v>
      </c>
      <c r="D158" s="6">
        <v>15644</v>
      </c>
      <c r="E158" s="6" t="s">
        <v>399</v>
      </c>
      <c r="F158" s="12"/>
      <c r="G158" s="8"/>
      <c r="H158" s="7" t="s">
        <v>49</v>
      </c>
      <c r="I158" s="7"/>
      <c r="J158" s="6" t="s">
        <v>49</v>
      </c>
      <c r="K158" s="9" t="s">
        <v>49</v>
      </c>
      <c r="L158" s="9" t="s">
        <v>49</v>
      </c>
      <c r="M158" s="8"/>
      <c r="N158" s="10">
        <v>43739</v>
      </c>
      <c r="O158" s="10">
        <v>44134</v>
      </c>
      <c r="P158" s="9" t="s">
        <v>49</v>
      </c>
      <c r="Q158" s="9" t="s">
        <v>49</v>
      </c>
      <c r="R158" s="8"/>
      <c r="S158" s="8"/>
      <c r="T158" s="8"/>
      <c r="U158" s="12"/>
      <c r="V158" s="9" t="s">
        <v>49</v>
      </c>
      <c r="W158" s="9" t="s">
        <v>49</v>
      </c>
      <c r="X158" s="8"/>
      <c r="Y158" s="8"/>
      <c r="Z158" s="8"/>
      <c r="AA158" s="8"/>
      <c r="AB158" s="8"/>
      <c r="AC158" s="8"/>
      <c r="AD158" s="8"/>
      <c r="AE158" s="8"/>
      <c r="AF158" s="8"/>
      <c r="AG158" s="8"/>
      <c r="AH158" s="7" t="s">
        <v>51</v>
      </c>
      <c r="AI158" s="6" t="s">
        <v>49</v>
      </c>
      <c r="AJ158" s="6" t="s">
        <v>49</v>
      </c>
      <c r="AK158" s="6" t="s">
        <v>49</v>
      </c>
      <c r="AL158" s="9" t="s">
        <v>49</v>
      </c>
      <c r="AM158" s="9" t="s">
        <v>52</v>
      </c>
      <c r="AN158" s="6" t="s">
        <v>49</v>
      </c>
      <c r="AO158" s="9" t="s">
        <v>52</v>
      </c>
      <c r="AP158" s="11">
        <v>0</v>
      </c>
      <c r="AQ158" s="11">
        <v>0</v>
      </c>
      <c r="AR158" s="11">
        <v>0</v>
      </c>
      <c r="AS158" s="11">
        <v>0</v>
      </c>
      <c r="AT158" s="11">
        <v>19.49999</v>
      </c>
      <c r="AU158" s="11">
        <v>0</v>
      </c>
      <c r="AV158" s="11" t="s">
        <v>51</v>
      </c>
    </row>
    <row r="159" spans="1:49" ht="14.5" hidden="1">
      <c r="A159" s="6">
        <v>158</v>
      </c>
      <c r="B159" s="7" t="s">
        <v>400</v>
      </c>
      <c r="C159" s="7" t="s">
        <v>49</v>
      </c>
      <c r="D159" s="6">
        <v>15599</v>
      </c>
      <c r="E159" s="6" t="s">
        <v>49</v>
      </c>
      <c r="F159" s="12"/>
      <c r="G159" s="8"/>
      <c r="H159" s="7" t="s">
        <v>49</v>
      </c>
      <c r="I159" s="7"/>
      <c r="J159" s="6" t="s">
        <v>49</v>
      </c>
      <c r="K159" s="9" t="s">
        <v>49</v>
      </c>
      <c r="L159" s="9" t="s">
        <v>49</v>
      </c>
      <c r="M159" s="12"/>
      <c r="N159" s="12"/>
      <c r="O159" s="10">
        <v>43525</v>
      </c>
      <c r="P159" s="9" t="s">
        <v>49</v>
      </c>
      <c r="Q159" s="9" t="s">
        <v>49</v>
      </c>
      <c r="R159" s="12"/>
      <c r="S159" s="12"/>
      <c r="T159" s="12"/>
      <c r="U159" s="12"/>
      <c r="V159" s="9" t="s">
        <v>49</v>
      </c>
      <c r="W159" s="9" t="s">
        <v>49</v>
      </c>
      <c r="X159" s="8"/>
      <c r="Y159" s="8"/>
      <c r="Z159" s="12"/>
      <c r="AA159" s="8"/>
      <c r="AB159" s="12"/>
      <c r="AC159" s="12"/>
      <c r="AD159" s="12"/>
      <c r="AE159" s="12"/>
      <c r="AF159" s="8"/>
      <c r="AG159" s="12"/>
      <c r="AH159" s="7" t="s">
        <v>57</v>
      </c>
      <c r="AI159" s="6" t="s">
        <v>71</v>
      </c>
      <c r="AJ159" s="6" t="s">
        <v>49</v>
      </c>
      <c r="AK159" s="6" t="s">
        <v>49</v>
      </c>
      <c r="AL159" s="9" t="s">
        <v>343</v>
      </c>
      <c r="AM159" s="9" t="s">
        <v>49</v>
      </c>
      <c r="AN159" s="6" t="s">
        <v>96</v>
      </c>
      <c r="AO159" s="9" t="s">
        <v>49</v>
      </c>
      <c r="AP159" s="11">
        <v>7248.8885899999996</v>
      </c>
      <c r="AQ159" s="11">
        <v>0</v>
      </c>
      <c r="AR159" s="11">
        <v>0</v>
      </c>
      <c r="AS159" s="11">
        <v>41681.266040000002</v>
      </c>
      <c r="AT159" s="11">
        <v>0</v>
      </c>
      <c r="AU159" s="11">
        <v>0</v>
      </c>
      <c r="AV159" s="11">
        <v>0</v>
      </c>
    </row>
    <row r="160" spans="1:49" ht="14.5" hidden="1">
      <c r="A160" s="6">
        <v>159</v>
      </c>
      <c r="B160" s="7" t="s">
        <v>401</v>
      </c>
      <c r="C160" s="7" t="s">
        <v>131</v>
      </c>
      <c r="D160" s="6">
        <v>15070</v>
      </c>
      <c r="E160" s="6" t="s">
        <v>402</v>
      </c>
      <c r="F160" s="6">
        <v>71317</v>
      </c>
      <c r="G160" s="8"/>
      <c r="H160" s="7" t="s">
        <v>88</v>
      </c>
      <c r="I160" s="7" t="s">
        <v>217</v>
      </c>
      <c r="J160" s="6" t="s">
        <v>75</v>
      </c>
      <c r="K160" s="9" t="s">
        <v>76</v>
      </c>
      <c r="L160" s="9" t="s">
        <v>73</v>
      </c>
      <c r="M160" s="8"/>
      <c r="N160" s="10">
        <v>42933</v>
      </c>
      <c r="O160" s="10">
        <v>44196</v>
      </c>
      <c r="P160" s="9" t="s">
        <v>403</v>
      </c>
      <c r="Q160" s="9" t="s">
        <v>404</v>
      </c>
      <c r="R160" s="6">
        <v>1.26</v>
      </c>
      <c r="S160" s="6">
        <v>5.2</v>
      </c>
      <c r="T160" s="6">
        <v>19.399999999999999</v>
      </c>
      <c r="U160" s="6">
        <v>9.8000000000000007</v>
      </c>
      <c r="V160" s="9" t="s">
        <v>234</v>
      </c>
      <c r="W160" s="9" t="s">
        <v>132</v>
      </c>
      <c r="X160" s="8"/>
      <c r="Y160" s="8"/>
      <c r="Z160" s="6">
        <v>1.5680000000000001</v>
      </c>
      <c r="AA160" s="8"/>
      <c r="AB160" s="6">
        <v>1.5680000000000001</v>
      </c>
      <c r="AC160" s="8"/>
      <c r="AD160" s="6">
        <v>1.5680000000000001</v>
      </c>
      <c r="AE160" s="6">
        <v>0.23699999999999999</v>
      </c>
      <c r="AF160" s="8"/>
      <c r="AG160" s="6">
        <v>0.23699999999999999</v>
      </c>
      <c r="AH160" s="7" t="s">
        <v>51</v>
      </c>
      <c r="AI160" s="6" t="s">
        <v>49</v>
      </c>
      <c r="AJ160" s="6" t="s">
        <v>49</v>
      </c>
      <c r="AK160" s="6" t="s">
        <v>49</v>
      </c>
      <c r="AL160" s="9" t="s">
        <v>49</v>
      </c>
      <c r="AM160" s="9" t="s">
        <v>134</v>
      </c>
      <c r="AN160" s="6" t="s">
        <v>49</v>
      </c>
      <c r="AO160" s="9" t="s">
        <v>320</v>
      </c>
      <c r="AP160" s="11">
        <v>0</v>
      </c>
      <c r="AQ160" s="11">
        <v>0</v>
      </c>
      <c r="AR160" s="11">
        <v>0</v>
      </c>
      <c r="AS160" s="11">
        <v>0</v>
      </c>
      <c r="AT160" s="11">
        <v>0</v>
      </c>
      <c r="AU160" s="11">
        <v>0</v>
      </c>
      <c r="AV160" s="11" t="s">
        <v>51</v>
      </c>
    </row>
    <row r="161" spans="1:48" ht="14.5" hidden="1">
      <c r="A161" s="6">
        <v>160</v>
      </c>
      <c r="B161" s="7" t="s">
        <v>405</v>
      </c>
      <c r="C161" s="7" t="s">
        <v>49</v>
      </c>
      <c r="D161" s="6">
        <v>15524</v>
      </c>
      <c r="E161" s="6" t="s">
        <v>49</v>
      </c>
      <c r="F161" s="8"/>
      <c r="G161" s="8"/>
      <c r="H161" s="7" t="s">
        <v>49</v>
      </c>
      <c r="I161" s="7"/>
      <c r="J161" s="6" t="s">
        <v>49</v>
      </c>
      <c r="K161" s="9" t="s">
        <v>49</v>
      </c>
      <c r="L161" s="9" t="s">
        <v>49</v>
      </c>
      <c r="M161" s="12"/>
      <c r="N161" s="10">
        <v>43497</v>
      </c>
      <c r="O161" s="10">
        <v>44225</v>
      </c>
      <c r="P161" s="9" t="s">
        <v>49</v>
      </c>
      <c r="Q161" s="9" t="s">
        <v>49</v>
      </c>
      <c r="R161" s="8"/>
      <c r="S161" s="8"/>
      <c r="T161" s="8"/>
      <c r="U161" s="8"/>
      <c r="V161" s="9" t="s">
        <v>49</v>
      </c>
      <c r="W161" s="9" t="s">
        <v>49</v>
      </c>
      <c r="X161" s="8"/>
      <c r="Y161" s="8"/>
      <c r="Z161" s="8"/>
      <c r="AA161" s="8"/>
      <c r="AB161" s="8"/>
      <c r="AC161" s="8"/>
      <c r="AD161" s="8"/>
      <c r="AE161" s="8"/>
      <c r="AF161" s="8"/>
      <c r="AG161" s="8"/>
      <c r="AH161" s="7" t="s">
        <v>57</v>
      </c>
      <c r="AI161" s="6" t="s">
        <v>71</v>
      </c>
      <c r="AJ161" s="6" t="s">
        <v>49</v>
      </c>
      <c r="AK161" s="6" t="s">
        <v>49</v>
      </c>
      <c r="AL161" s="9" t="s">
        <v>386</v>
      </c>
      <c r="AM161" s="9" t="s">
        <v>49</v>
      </c>
      <c r="AN161" s="6" t="s">
        <v>85</v>
      </c>
      <c r="AO161" s="9" t="s">
        <v>49</v>
      </c>
      <c r="AP161" s="11">
        <v>7248.8885899999996</v>
      </c>
      <c r="AQ161" s="11">
        <v>0</v>
      </c>
      <c r="AR161" s="11">
        <v>0</v>
      </c>
      <c r="AS161" s="11">
        <v>41681.266040000002</v>
      </c>
      <c r="AT161" s="11">
        <v>0</v>
      </c>
      <c r="AU161" s="11">
        <v>0</v>
      </c>
      <c r="AV161" s="11">
        <v>0</v>
      </c>
    </row>
    <row r="162" spans="1:48" ht="14.5" hidden="1">
      <c r="A162" s="6">
        <v>161</v>
      </c>
      <c r="B162" s="7" t="s">
        <v>406</v>
      </c>
      <c r="C162" s="7" t="s">
        <v>49</v>
      </c>
      <c r="D162" s="6">
        <v>15505</v>
      </c>
      <c r="E162" s="6" t="s">
        <v>49</v>
      </c>
      <c r="F162" s="8"/>
      <c r="G162" s="8"/>
      <c r="H162" s="7" t="s">
        <v>49</v>
      </c>
      <c r="I162" s="7"/>
      <c r="J162" s="6" t="s">
        <v>49</v>
      </c>
      <c r="K162" s="9" t="s">
        <v>49</v>
      </c>
      <c r="L162" s="9" t="s">
        <v>49</v>
      </c>
      <c r="M162" s="12"/>
      <c r="N162" s="8"/>
      <c r="O162" s="10">
        <v>43525</v>
      </c>
      <c r="P162" s="9" t="s">
        <v>49</v>
      </c>
      <c r="Q162" s="9" t="s">
        <v>49</v>
      </c>
      <c r="R162" s="8"/>
      <c r="S162" s="8"/>
      <c r="T162" s="8"/>
      <c r="U162" s="8"/>
      <c r="V162" s="9" t="s">
        <v>49</v>
      </c>
      <c r="W162" s="9" t="s">
        <v>49</v>
      </c>
      <c r="X162" s="8"/>
      <c r="Y162" s="8"/>
      <c r="Z162" s="8"/>
      <c r="AA162" s="8"/>
      <c r="AB162" s="8"/>
      <c r="AC162" s="8"/>
      <c r="AD162" s="8"/>
      <c r="AE162" s="8"/>
      <c r="AF162" s="8"/>
      <c r="AG162" s="8"/>
      <c r="AH162" s="7" t="s">
        <v>57</v>
      </c>
      <c r="AI162" s="6" t="s">
        <v>71</v>
      </c>
      <c r="AJ162" s="6" t="s">
        <v>49</v>
      </c>
      <c r="AK162" s="6" t="s">
        <v>49</v>
      </c>
      <c r="AL162" s="9" t="s">
        <v>52</v>
      </c>
      <c r="AM162" s="9" t="s">
        <v>49</v>
      </c>
      <c r="AN162" s="6" t="s">
        <v>85</v>
      </c>
      <c r="AO162" s="9" t="s">
        <v>49</v>
      </c>
      <c r="AP162" s="11">
        <v>7248.8885899999996</v>
      </c>
      <c r="AQ162" s="11">
        <v>0</v>
      </c>
      <c r="AR162" s="11">
        <v>0</v>
      </c>
      <c r="AS162" s="11">
        <v>41681.266040000002</v>
      </c>
      <c r="AT162" s="11">
        <v>0</v>
      </c>
      <c r="AU162" s="11">
        <v>0</v>
      </c>
      <c r="AV162" s="11">
        <v>0</v>
      </c>
    </row>
    <row r="163" spans="1:48" ht="14.5">
      <c r="A163" s="6">
        <v>162</v>
      </c>
      <c r="B163" s="7" t="s">
        <v>406</v>
      </c>
      <c r="C163" s="7" t="s">
        <v>81</v>
      </c>
      <c r="D163" s="6">
        <v>15505</v>
      </c>
      <c r="E163" s="6" t="s">
        <v>407</v>
      </c>
      <c r="F163" s="8"/>
      <c r="G163" s="8"/>
      <c r="H163" s="7" t="s">
        <v>245</v>
      </c>
      <c r="I163" s="7"/>
      <c r="J163" s="6" t="s">
        <v>75</v>
      </c>
      <c r="K163" s="9" t="s">
        <v>89</v>
      </c>
      <c r="L163" s="9" t="s">
        <v>49</v>
      </c>
      <c r="M163" s="12"/>
      <c r="N163" s="8"/>
      <c r="O163" s="10">
        <v>43525</v>
      </c>
      <c r="P163" s="9" t="s">
        <v>49</v>
      </c>
      <c r="Q163" s="9" t="s">
        <v>49</v>
      </c>
      <c r="R163" s="8"/>
      <c r="S163" s="8"/>
      <c r="T163" s="8"/>
      <c r="U163" s="8"/>
      <c r="V163" s="9" t="s">
        <v>49</v>
      </c>
      <c r="W163" s="9" t="s">
        <v>49</v>
      </c>
      <c r="X163" s="8"/>
      <c r="Y163" s="8"/>
      <c r="Z163" s="8"/>
      <c r="AA163" s="6">
        <v>0.33</v>
      </c>
      <c r="AB163" s="6">
        <v>0.33</v>
      </c>
      <c r="AC163" s="8"/>
      <c r="AD163" s="6">
        <v>0.33</v>
      </c>
      <c r="AE163" s="8"/>
      <c r="AF163" s="6">
        <v>0.16500000000000001</v>
      </c>
      <c r="AG163" s="6">
        <v>0.16500000000000001</v>
      </c>
      <c r="AH163" s="7" t="s">
        <v>57</v>
      </c>
      <c r="AI163" s="6" t="s">
        <v>49</v>
      </c>
      <c r="AJ163" s="6" t="s">
        <v>49</v>
      </c>
      <c r="AK163" s="6" t="s">
        <v>49</v>
      </c>
      <c r="AL163" s="9" t="s">
        <v>49</v>
      </c>
      <c r="AM163" s="9" t="s">
        <v>213</v>
      </c>
      <c r="AN163" s="6" t="s">
        <v>49</v>
      </c>
      <c r="AO163" s="9" t="s">
        <v>213</v>
      </c>
      <c r="AP163" s="11">
        <v>0</v>
      </c>
      <c r="AQ163" s="11">
        <v>0</v>
      </c>
      <c r="AR163" s="11">
        <v>0</v>
      </c>
      <c r="AS163" s="11">
        <v>0</v>
      </c>
      <c r="AT163" s="11">
        <v>330</v>
      </c>
      <c r="AU163" s="11">
        <v>0</v>
      </c>
      <c r="AV163" s="11" t="s">
        <v>57</v>
      </c>
    </row>
    <row r="164" spans="1:48" ht="14.5" hidden="1">
      <c r="A164" s="6">
        <v>163</v>
      </c>
      <c r="B164" s="7" t="s">
        <v>408</v>
      </c>
      <c r="C164" s="7" t="s">
        <v>49</v>
      </c>
      <c r="D164" s="6">
        <v>15492</v>
      </c>
      <c r="E164" s="6" t="s">
        <v>409</v>
      </c>
      <c r="F164" s="8"/>
      <c r="G164" s="8"/>
      <c r="H164" s="7" t="s">
        <v>49</v>
      </c>
      <c r="I164" s="7"/>
      <c r="J164" s="6" t="s">
        <v>49</v>
      </c>
      <c r="K164" s="9" t="s">
        <v>49</v>
      </c>
      <c r="L164" s="9" t="s">
        <v>49</v>
      </c>
      <c r="M164" s="8"/>
      <c r="N164" s="12"/>
      <c r="O164" s="10">
        <v>43525</v>
      </c>
      <c r="P164" s="9" t="s">
        <v>49</v>
      </c>
      <c r="Q164" s="9" t="s">
        <v>49</v>
      </c>
      <c r="R164" s="8"/>
      <c r="S164" s="8"/>
      <c r="T164" s="8"/>
      <c r="U164" s="8"/>
      <c r="V164" s="9" t="s">
        <v>49</v>
      </c>
      <c r="W164" s="9" t="s">
        <v>49</v>
      </c>
      <c r="X164" s="8"/>
      <c r="Y164" s="8"/>
      <c r="Z164" s="8"/>
      <c r="AA164" s="8"/>
      <c r="AB164" s="8"/>
      <c r="AC164" s="8"/>
      <c r="AD164" s="8"/>
      <c r="AE164" s="8"/>
      <c r="AF164" s="8"/>
      <c r="AG164" s="8"/>
      <c r="AH164" s="7" t="s">
        <v>57</v>
      </c>
      <c r="AI164" s="6" t="s">
        <v>49</v>
      </c>
      <c r="AJ164" s="6" t="s">
        <v>49</v>
      </c>
      <c r="AK164" s="6" t="s">
        <v>49</v>
      </c>
      <c r="AL164" s="9" t="s">
        <v>49</v>
      </c>
      <c r="AM164" s="9" t="s">
        <v>213</v>
      </c>
      <c r="AN164" s="6" t="s">
        <v>49</v>
      </c>
      <c r="AO164" s="9" t="s">
        <v>201</v>
      </c>
      <c r="AP164" s="11">
        <v>0</v>
      </c>
      <c r="AQ164" s="11">
        <v>0</v>
      </c>
      <c r="AR164" s="11">
        <v>0</v>
      </c>
      <c r="AS164" s="11">
        <v>0</v>
      </c>
      <c r="AT164" s="11">
        <v>0</v>
      </c>
      <c r="AU164" s="11">
        <v>0</v>
      </c>
      <c r="AV164" s="11" t="s">
        <v>57</v>
      </c>
    </row>
    <row r="165" spans="1:48" ht="14.5" hidden="1">
      <c r="A165" s="6">
        <v>164</v>
      </c>
      <c r="B165" s="7" t="s">
        <v>410</v>
      </c>
      <c r="C165" s="7" t="s">
        <v>49</v>
      </c>
      <c r="D165" s="6">
        <v>15492</v>
      </c>
      <c r="E165" s="6" t="s">
        <v>49</v>
      </c>
      <c r="F165" s="8"/>
      <c r="G165" s="8"/>
      <c r="H165" s="7" t="s">
        <v>49</v>
      </c>
      <c r="I165" s="7"/>
      <c r="J165" s="6" t="s">
        <v>49</v>
      </c>
      <c r="K165" s="9" t="s">
        <v>49</v>
      </c>
      <c r="L165" s="9" t="s">
        <v>49</v>
      </c>
      <c r="M165" s="8"/>
      <c r="N165" s="8"/>
      <c r="O165" s="10">
        <v>43525</v>
      </c>
      <c r="P165" s="9" t="s">
        <v>49</v>
      </c>
      <c r="Q165" s="9" t="s">
        <v>49</v>
      </c>
      <c r="R165" s="8"/>
      <c r="S165" s="8"/>
      <c r="T165" s="8"/>
      <c r="U165" s="8"/>
      <c r="V165" s="9" t="s">
        <v>49</v>
      </c>
      <c r="W165" s="9" t="s">
        <v>49</v>
      </c>
      <c r="X165" s="8"/>
      <c r="Y165" s="8"/>
      <c r="Z165" s="8"/>
      <c r="AA165" s="8"/>
      <c r="AB165" s="8"/>
      <c r="AC165" s="8"/>
      <c r="AD165" s="8"/>
      <c r="AE165" s="8"/>
      <c r="AF165" s="8"/>
      <c r="AG165" s="8"/>
      <c r="AH165" s="7" t="s">
        <v>57</v>
      </c>
      <c r="AI165" s="6" t="s">
        <v>71</v>
      </c>
      <c r="AJ165" s="6" t="s">
        <v>49</v>
      </c>
      <c r="AK165" s="6" t="s">
        <v>49</v>
      </c>
      <c r="AL165" s="9" t="s">
        <v>52</v>
      </c>
      <c r="AM165" s="9" t="s">
        <v>49</v>
      </c>
      <c r="AN165" s="6" t="s">
        <v>85</v>
      </c>
      <c r="AO165" s="9" t="s">
        <v>49</v>
      </c>
      <c r="AP165" s="11">
        <v>7248.8885899999996</v>
      </c>
      <c r="AQ165" s="11">
        <v>0</v>
      </c>
      <c r="AR165" s="11">
        <v>0</v>
      </c>
      <c r="AS165" s="11">
        <v>41681.266040000002</v>
      </c>
      <c r="AT165" s="11">
        <v>0</v>
      </c>
      <c r="AU165" s="11">
        <v>0</v>
      </c>
      <c r="AV165" s="11">
        <v>0</v>
      </c>
    </row>
    <row r="166" spans="1:48" ht="14.5" hidden="1">
      <c r="A166" s="6">
        <v>165</v>
      </c>
      <c r="B166" s="7" t="s">
        <v>411</v>
      </c>
      <c r="C166" s="7" t="s">
        <v>49</v>
      </c>
      <c r="D166" s="6">
        <v>15503</v>
      </c>
      <c r="E166" s="6" t="s">
        <v>49</v>
      </c>
      <c r="F166" s="8"/>
      <c r="G166" s="8"/>
      <c r="H166" s="7" t="s">
        <v>49</v>
      </c>
      <c r="I166" s="7"/>
      <c r="J166" s="6" t="s">
        <v>49</v>
      </c>
      <c r="K166" s="9" t="s">
        <v>49</v>
      </c>
      <c r="L166" s="9" t="s">
        <v>49</v>
      </c>
      <c r="M166" s="8"/>
      <c r="N166" s="10">
        <v>43556</v>
      </c>
      <c r="O166" s="10">
        <v>43860</v>
      </c>
      <c r="P166" s="9" t="s">
        <v>49</v>
      </c>
      <c r="Q166" s="9" t="s">
        <v>49</v>
      </c>
      <c r="R166" s="8"/>
      <c r="S166" s="8"/>
      <c r="T166" s="8"/>
      <c r="U166" s="8"/>
      <c r="V166" s="9" t="s">
        <v>49</v>
      </c>
      <c r="W166" s="9" t="s">
        <v>49</v>
      </c>
      <c r="X166" s="8"/>
      <c r="Y166" s="8"/>
      <c r="Z166" s="8"/>
      <c r="AA166" s="8"/>
      <c r="AB166" s="8"/>
      <c r="AC166" s="8"/>
      <c r="AD166" s="8"/>
      <c r="AE166" s="8"/>
      <c r="AF166" s="8"/>
      <c r="AG166" s="8"/>
      <c r="AH166" s="7" t="s">
        <v>57</v>
      </c>
      <c r="AI166" s="6" t="s">
        <v>71</v>
      </c>
      <c r="AJ166" s="6" t="s">
        <v>49</v>
      </c>
      <c r="AK166" s="6" t="s">
        <v>49</v>
      </c>
      <c r="AL166" s="9" t="s">
        <v>52</v>
      </c>
      <c r="AM166" s="9" t="s">
        <v>49</v>
      </c>
      <c r="AN166" s="6" t="s">
        <v>85</v>
      </c>
      <c r="AO166" s="9" t="s">
        <v>49</v>
      </c>
      <c r="AP166" s="11">
        <v>7248.8885899999996</v>
      </c>
      <c r="AQ166" s="11">
        <v>0</v>
      </c>
      <c r="AR166" s="11">
        <v>0</v>
      </c>
      <c r="AS166" s="11">
        <v>41681.266040000002</v>
      </c>
      <c r="AT166" s="11">
        <v>0</v>
      </c>
      <c r="AU166" s="11">
        <v>0</v>
      </c>
      <c r="AV166" s="11">
        <v>0</v>
      </c>
    </row>
    <row r="167" spans="1:48" ht="14.5" hidden="1">
      <c r="A167" s="6">
        <v>166</v>
      </c>
      <c r="B167" s="7" t="s">
        <v>411</v>
      </c>
      <c r="C167" s="7" t="s">
        <v>49</v>
      </c>
      <c r="D167" s="6">
        <v>15503</v>
      </c>
      <c r="E167" s="6" t="s">
        <v>412</v>
      </c>
      <c r="F167" s="8"/>
      <c r="G167" s="8"/>
      <c r="H167" s="7" t="s">
        <v>49</v>
      </c>
      <c r="I167" s="7"/>
      <c r="J167" s="6" t="s">
        <v>49</v>
      </c>
      <c r="K167" s="9" t="s">
        <v>49</v>
      </c>
      <c r="L167" s="9" t="s">
        <v>49</v>
      </c>
      <c r="M167" s="8"/>
      <c r="N167" s="10">
        <v>43556</v>
      </c>
      <c r="O167" s="10">
        <v>43860</v>
      </c>
      <c r="P167" s="9" t="s">
        <v>49</v>
      </c>
      <c r="Q167" s="9" t="s">
        <v>49</v>
      </c>
      <c r="R167" s="8"/>
      <c r="S167" s="8"/>
      <c r="T167" s="8"/>
      <c r="U167" s="8"/>
      <c r="V167" s="9" t="s">
        <v>49</v>
      </c>
      <c r="W167" s="9" t="s">
        <v>49</v>
      </c>
      <c r="X167" s="8"/>
      <c r="Y167" s="8"/>
      <c r="Z167" s="8"/>
      <c r="AA167" s="12"/>
      <c r="AB167" s="12"/>
      <c r="AC167" s="8"/>
      <c r="AD167" s="12"/>
      <c r="AE167" s="8"/>
      <c r="AF167" s="12"/>
      <c r="AG167" s="12"/>
      <c r="AH167" s="7" t="s">
        <v>57</v>
      </c>
      <c r="AI167" s="6" t="s">
        <v>49</v>
      </c>
      <c r="AJ167" s="6" t="s">
        <v>49</v>
      </c>
      <c r="AK167" s="6" t="s">
        <v>49</v>
      </c>
      <c r="AL167" s="9" t="s">
        <v>49</v>
      </c>
      <c r="AM167" s="9" t="s">
        <v>200</v>
      </c>
      <c r="AN167" s="6" t="s">
        <v>49</v>
      </c>
      <c r="AO167" s="9" t="s">
        <v>201</v>
      </c>
      <c r="AP167" s="11">
        <v>0</v>
      </c>
      <c r="AQ167" s="11">
        <v>0</v>
      </c>
      <c r="AR167" s="11">
        <v>0</v>
      </c>
      <c r="AS167" s="11">
        <v>0</v>
      </c>
      <c r="AT167" s="11">
        <v>487.63799999999998</v>
      </c>
      <c r="AU167" s="11">
        <v>0</v>
      </c>
      <c r="AV167" s="11" t="s">
        <v>57</v>
      </c>
    </row>
    <row r="168" spans="1:48" ht="14.5" hidden="1">
      <c r="A168" s="6">
        <v>167</v>
      </c>
      <c r="B168" s="7" t="s">
        <v>413</v>
      </c>
      <c r="C168" s="7" t="s">
        <v>49</v>
      </c>
      <c r="D168" s="6">
        <v>15342</v>
      </c>
      <c r="E168" s="6" t="s">
        <v>49</v>
      </c>
      <c r="F168" s="8"/>
      <c r="G168" s="8"/>
      <c r="H168" s="7" t="s">
        <v>49</v>
      </c>
      <c r="I168" s="7"/>
      <c r="J168" s="6" t="s">
        <v>49</v>
      </c>
      <c r="K168" s="9" t="s">
        <v>49</v>
      </c>
      <c r="L168" s="9" t="s">
        <v>49</v>
      </c>
      <c r="M168" s="8"/>
      <c r="N168" s="10">
        <v>43313</v>
      </c>
      <c r="O168" s="10">
        <v>43921</v>
      </c>
      <c r="P168" s="9" t="s">
        <v>49</v>
      </c>
      <c r="Q168" s="9" t="s">
        <v>49</v>
      </c>
      <c r="R168" s="8"/>
      <c r="S168" s="8"/>
      <c r="T168" s="8"/>
      <c r="U168" s="8"/>
      <c r="V168" s="9" t="s">
        <v>49</v>
      </c>
      <c r="W168" s="9" t="s">
        <v>49</v>
      </c>
      <c r="X168" s="8"/>
      <c r="Y168" s="8"/>
      <c r="Z168" s="8"/>
      <c r="AA168" s="8"/>
      <c r="AB168" s="8"/>
      <c r="AC168" s="8"/>
      <c r="AD168" s="8"/>
      <c r="AE168" s="8"/>
      <c r="AF168" s="8"/>
      <c r="AG168" s="8"/>
      <c r="AH168" s="7" t="s">
        <v>57</v>
      </c>
      <c r="AI168" s="6" t="s">
        <v>71</v>
      </c>
      <c r="AJ168" s="6" t="s">
        <v>49</v>
      </c>
      <c r="AK168" s="6" t="s">
        <v>49</v>
      </c>
      <c r="AL168" s="9" t="s">
        <v>414</v>
      </c>
      <c r="AM168" s="9" t="s">
        <v>49</v>
      </c>
      <c r="AN168" s="6" t="s">
        <v>82</v>
      </c>
      <c r="AO168" s="9" t="s">
        <v>49</v>
      </c>
      <c r="AP168" s="11">
        <v>7248.8885899999996</v>
      </c>
      <c r="AQ168" s="11">
        <v>0</v>
      </c>
      <c r="AR168" s="11">
        <v>0</v>
      </c>
      <c r="AS168" s="11">
        <v>41681.266040000002</v>
      </c>
      <c r="AT168" s="11">
        <v>0</v>
      </c>
      <c r="AU168" s="11">
        <v>0</v>
      </c>
      <c r="AV168" s="11">
        <v>0</v>
      </c>
    </row>
    <row r="169" spans="1:48" ht="14.5" hidden="1">
      <c r="A169" s="6">
        <v>168</v>
      </c>
      <c r="B169" s="7" t="s">
        <v>415</v>
      </c>
      <c r="C169" s="7" t="s">
        <v>81</v>
      </c>
      <c r="D169" s="6">
        <v>15342</v>
      </c>
      <c r="E169" s="6" t="s">
        <v>416</v>
      </c>
      <c r="F169" s="6">
        <v>83342</v>
      </c>
      <c r="G169" s="8"/>
      <c r="H169" s="7" t="s">
        <v>88</v>
      </c>
      <c r="I169" s="7" t="s">
        <v>266</v>
      </c>
      <c r="J169" s="6" t="s">
        <v>75</v>
      </c>
      <c r="K169" s="9" t="s">
        <v>76</v>
      </c>
      <c r="L169" s="9" t="s">
        <v>218</v>
      </c>
      <c r="M169" s="6">
        <v>0</v>
      </c>
      <c r="N169" s="10">
        <v>43543</v>
      </c>
      <c r="O169" s="10">
        <v>43921</v>
      </c>
      <c r="P169" s="9" t="s">
        <v>49</v>
      </c>
      <c r="Q169" s="9" t="s">
        <v>49</v>
      </c>
      <c r="R169" s="6">
        <v>2.11</v>
      </c>
      <c r="S169" s="6">
        <v>7.3</v>
      </c>
      <c r="T169" s="6">
        <v>10</v>
      </c>
      <c r="U169" s="6">
        <v>3.5</v>
      </c>
      <c r="V169" s="9" t="s">
        <v>417</v>
      </c>
      <c r="W169" s="9" t="s">
        <v>108</v>
      </c>
      <c r="X169" s="8"/>
      <c r="Y169" s="8"/>
      <c r="Z169" s="8"/>
      <c r="AA169" s="6">
        <v>1.988</v>
      </c>
      <c r="AB169" s="6">
        <v>1.988</v>
      </c>
      <c r="AC169" s="8"/>
      <c r="AD169" s="6">
        <v>1.988</v>
      </c>
      <c r="AE169" s="8"/>
      <c r="AF169" s="6">
        <v>0.99399999999999999</v>
      </c>
      <c r="AG169" s="6">
        <v>0.99399999999999999</v>
      </c>
      <c r="AH169" s="7" t="s">
        <v>57</v>
      </c>
      <c r="AI169" s="6" t="s">
        <v>49</v>
      </c>
      <c r="AJ169" s="6" t="s">
        <v>49</v>
      </c>
      <c r="AK169" s="6" t="s">
        <v>49</v>
      </c>
      <c r="AL169" s="9" t="s">
        <v>49</v>
      </c>
      <c r="AM169" s="9" t="s">
        <v>52</v>
      </c>
      <c r="AN169" s="6" t="s">
        <v>218</v>
      </c>
      <c r="AO169" s="9" t="s">
        <v>52</v>
      </c>
      <c r="AP169" s="11">
        <v>0</v>
      </c>
      <c r="AQ169" s="11">
        <v>0</v>
      </c>
      <c r="AR169" s="11">
        <v>0</v>
      </c>
      <c r="AS169" s="11">
        <v>0</v>
      </c>
      <c r="AT169" s="11">
        <v>0</v>
      </c>
      <c r="AU169" s="11">
        <v>0</v>
      </c>
      <c r="AV169" s="11" t="s">
        <v>57</v>
      </c>
    </row>
    <row r="170" spans="1:48" ht="14.5" hidden="1">
      <c r="A170" s="6">
        <v>169</v>
      </c>
      <c r="B170" s="7" t="s">
        <v>418</v>
      </c>
      <c r="C170" s="7" t="s">
        <v>81</v>
      </c>
      <c r="D170" s="6">
        <v>15342</v>
      </c>
      <c r="E170" s="6" t="s">
        <v>419</v>
      </c>
      <c r="F170" s="8"/>
      <c r="G170" s="8"/>
      <c r="H170" s="7" t="s">
        <v>49</v>
      </c>
      <c r="I170" s="7"/>
      <c r="J170" s="6" t="s">
        <v>49</v>
      </c>
      <c r="K170" s="9" t="s">
        <v>49</v>
      </c>
      <c r="L170" s="9" t="s">
        <v>49</v>
      </c>
      <c r="M170" s="8"/>
      <c r="N170" s="10">
        <v>43313</v>
      </c>
      <c r="O170" s="10">
        <v>43832</v>
      </c>
      <c r="P170" s="9" t="s">
        <v>49</v>
      </c>
      <c r="Q170" s="9" t="s">
        <v>49</v>
      </c>
      <c r="R170" s="8"/>
      <c r="S170" s="8"/>
      <c r="T170" s="8"/>
      <c r="U170" s="8"/>
      <c r="V170" s="9" t="s">
        <v>49</v>
      </c>
      <c r="W170" s="9" t="s">
        <v>49</v>
      </c>
      <c r="X170" s="8"/>
      <c r="Y170" s="8"/>
      <c r="Z170" s="8"/>
      <c r="AA170" s="8"/>
      <c r="AB170" s="8"/>
      <c r="AC170" s="8"/>
      <c r="AD170" s="8"/>
      <c r="AE170" s="8"/>
      <c r="AF170" s="8"/>
      <c r="AG170" s="8"/>
      <c r="AH170" s="7" t="s">
        <v>51</v>
      </c>
      <c r="AI170" s="6" t="s">
        <v>49</v>
      </c>
      <c r="AJ170" s="6" t="s">
        <v>49</v>
      </c>
      <c r="AK170" s="6" t="s">
        <v>49</v>
      </c>
      <c r="AL170" s="9" t="s">
        <v>49</v>
      </c>
      <c r="AM170" s="9" t="s">
        <v>420</v>
      </c>
      <c r="AN170" s="6" t="s">
        <v>49</v>
      </c>
      <c r="AO170" s="9" t="s">
        <v>201</v>
      </c>
      <c r="AP170" s="11">
        <v>32.925599999999996</v>
      </c>
      <c r="AQ170" s="11">
        <v>51257.29</v>
      </c>
      <c r="AR170" s="11">
        <v>51257.301250000011</v>
      </c>
      <c r="AS170" s="11">
        <v>196.41192999999998</v>
      </c>
      <c r="AT170" s="11">
        <v>51.257289999999998</v>
      </c>
      <c r="AU170" s="11">
        <v>0</v>
      </c>
      <c r="AV170" s="11" t="s">
        <v>51</v>
      </c>
    </row>
    <row r="171" spans="1:48" ht="14.5" hidden="1">
      <c r="A171" s="6">
        <v>170</v>
      </c>
      <c r="B171" s="7" t="s">
        <v>421</v>
      </c>
      <c r="C171" s="7" t="s">
        <v>86</v>
      </c>
      <c r="D171" s="6">
        <v>12497</v>
      </c>
      <c r="E171" s="6" t="s">
        <v>422</v>
      </c>
      <c r="F171" s="6">
        <v>77393</v>
      </c>
      <c r="G171" s="8"/>
      <c r="H171" s="7" t="s">
        <v>88</v>
      </c>
      <c r="I171" s="7" t="s">
        <v>217</v>
      </c>
      <c r="J171" s="6" t="s">
        <v>49</v>
      </c>
      <c r="K171" s="9" t="s">
        <v>49</v>
      </c>
      <c r="L171" s="9" t="s">
        <v>73</v>
      </c>
      <c r="M171" s="23">
        <v>312</v>
      </c>
      <c r="N171" s="10">
        <v>42968</v>
      </c>
      <c r="O171" s="10">
        <v>43833</v>
      </c>
      <c r="P171" s="9" t="s">
        <v>423</v>
      </c>
      <c r="Q171" s="9" t="s">
        <v>424</v>
      </c>
      <c r="R171" s="8">
        <v>5.0999999999999996</v>
      </c>
      <c r="S171" s="8">
        <v>24.5</v>
      </c>
      <c r="T171" s="8">
        <v>28.3</v>
      </c>
      <c r="U171" s="6">
        <v>4.8</v>
      </c>
      <c r="V171" s="16">
        <v>0.73</v>
      </c>
      <c r="W171" s="9" t="s">
        <v>108</v>
      </c>
      <c r="X171" s="8"/>
      <c r="Y171" s="8"/>
      <c r="Z171" s="8"/>
      <c r="AA171" s="8"/>
      <c r="AB171" s="8"/>
      <c r="AC171" s="8"/>
      <c r="AD171" s="8"/>
      <c r="AE171" s="8"/>
      <c r="AF171" s="8"/>
      <c r="AG171" s="8"/>
      <c r="AH171" s="7" t="s">
        <v>51</v>
      </c>
      <c r="AI171" s="6" t="s">
        <v>49</v>
      </c>
      <c r="AJ171" s="6" t="s">
        <v>49</v>
      </c>
      <c r="AK171" s="6" t="s">
        <v>49</v>
      </c>
      <c r="AL171" s="9" t="s">
        <v>49</v>
      </c>
      <c r="AM171" s="9" t="s">
        <v>95</v>
      </c>
      <c r="AN171" s="6" t="s">
        <v>49</v>
      </c>
      <c r="AO171" s="9" t="s">
        <v>95</v>
      </c>
      <c r="AP171" s="11">
        <v>12.60473</v>
      </c>
      <c r="AQ171" s="11">
        <v>171574.97</v>
      </c>
      <c r="AR171" s="11">
        <v>158970.2358333334</v>
      </c>
      <c r="AS171" s="11">
        <v>3664.9374400000002</v>
      </c>
      <c r="AT171" s="11">
        <v>171.57497000000001</v>
      </c>
      <c r="AU171" s="11">
        <v>0</v>
      </c>
      <c r="AV171" s="11" t="s">
        <v>51</v>
      </c>
    </row>
    <row r="172" spans="1:48" ht="14.5">
      <c r="A172" s="6">
        <v>171</v>
      </c>
      <c r="B172" s="7" t="s">
        <v>425</v>
      </c>
      <c r="C172" s="7" t="s">
        <v>86</v>
      </c>
      <c r="D172" s="6">
        <v>12497</v>
      </c>
      <c r="E172" s="6" t="s">
        <v>426</v>
      </c>
      <c r="F172" s="6">
        <v>83164</v>
      </c>
      <c r="G172" s="8"/>
      <c r="H172" s="7" t="s">
        <v>245</v>
      </c>
      <c r="I172" s="7"/>
      <c r="J172" s="6" t="s">
        <v>75</v>
      </c>
      <c r="K172" s="9" t="s">
        <v>89</v>
      </c>
      <c r="L172" s="9" t="s">
        <v>218</v>
      </c>
      <c r="M172" s="8"/>
      <c r="N172" s="12"/>
      <c r="O172" s="10">
        <v>44012</v>
      </c>
      <c r="P172" s="9" t="s">
        <v>49</v>
      </c>
      <c r="Q172" s="9" t="s">
        <v>49</v>
      </c>
      <c r="R172" s="6">
        <v>6.56</v>
      </c>
      <c r="S172" s="6">
        <v>21.3</v>
      </c>
      <c r="T172" s="6">
        <v>41.1</v>
      </c>
      <c r="U172" s="6">
        <v>3.3</v>
      </c>
      <c r="V172" s="9" t="s">
        <v>427</v>
      </c>
      <c r="W172" s="9" t="s">
        <v>49</v>
      </c>
      <c r="X172" s="8"/>
      <c r="Y172" s="8"/>
      <c r="Z172" s="8"/>
      <c r="AA172" s="6">
        <v>1.25</v>
      </c>
      <c r="AB172" s="6">
        <v>1.25</v>
      </c>
      <c r="AC172" s="8"/>
      <c r="AD172" s="6">
        <v>1.25</v>
      </c>
      <c r="AE172" s="8"/>
      <c r="AF172" s="6">
        <v>0.625</v>
      </c>
      <c r="AG172" s="6">
        <v>0.625</v>
      </c>
      <c r="AH172" s="7" t="s">
        <v>57</v>
      </c>
      <c r="AI172" s="6" t="s">
        <v>49</v>
      </c>
      <c r="AJ172" s="6" t="s">
        <v>49</v>
      </c>
      <c r="AK172" s="6" t="s">
        <v>49</v>
      </c>
      <c r="AL172" s="9" t="s">
        <v>49</v>
      </c>
      <c r="AM172" s="9" t="s">
        <v>92</v>
      </c>
      <c r="AN172" s="6" t="s">
        <v>49</v>
      </c>
      <c r="AO172" s="9" t="s">
        <v>92</v>
      </c>
      <c r="AP172" s="11">
        <v>0</v>
      </c>
      <c r="AQ172" s="11">
        <v>0</v>
      </c>
      <c r="AR172" s="11">
        <v>0</v>
      </c>
      <c r="AS172" s="11">
        <v>0</v>
      </c>
      <c r="AT172" s="11">
        <v>0</v>
      </c>
      <c r="AU172" s="11">
        <v>0</v>
      </c>
      <c r="AV172" s="11" t="s">
        <v>57</v>
      </c>
    </row>
    <row r="173" spans="1:48" ht="14.5" hidden="1">
      <c r="A173" s="6">
        <v>172</v>
      </c>
      <c r="B173" s="7" t="s">
        <v>428</v>
      </c>
      <c r="C173" s="7" t="s">
        <v>86</v>
      </c>
      <c r="D173" s="6">
        <v>12497</v>
      </c>
      <c r="E173" s="6" t="s">
        <v>49</v>
      </c>
      <c r="F173" s="8"/>
      <c r="G173" s="8"/>
      <c r="H173" s="7" t="s">
        <v>49</v>
      </c>
      <c r="I173" s="7"/>
      <c r="J173" s="6" t="s">
        <v>49</v>
      </c>
      <c r="K173" s="9" t="s">
        <v>49</v>
      </c>
      <c r="L173" s="9" t="s">
        <v>49</v>
      </c>
      <c r="M173" s="8"/>
      <c r="N173" s="10">
        <v>42968</v>
      </c>
      <c r="O173" s="10">
        <v>44012</v>
      </c>
      <c r="P173" s="9" t="s">
        <v>49</v>
      </c>
      <c r="Q173" s="9" t="s">
        <v>49</v>
      </c>
      <c r="R173" s="8"/>
      <c r="S173" s="8"/>
      <c r="T173" s="8"/>
      <c r="U173" s="8"/>
      <c r="V173" s="9" t="s">
        <v>49</v>
      </c>
      <c r="W173" s="9" t="s">
        <v>49</v>
      </c>
      <c r="X173" s="8"/>
      <c r="Y173" s="8"/>
      <c r="Z173" s="8"/>
      <c r="AA173" s="8"/>
      <c r="AB173" s="8"/>
      <c r="AC173" s="8"/>
      <c r="AD173" s="8"/>
      <c r="AE173" s="8"/>
      <c r="AF173" s="8"/>
      <c r="AG173" s="8"/>
      <c r="AH173" s="7" t="s">
        <v>51</v>
      </c>
      <c r="AI173" s="6" t="s">
        <v>71</v>
      </c>
      <c r="AJ173" s="6" t="s">
        <v>49</v>
      </c>
      <c r="AK173" s="6" t="s">
        <v>118</v>
      </c>
      <c r="AL173" s="9" t="s">
        <v>95</v>
      </c>
      <c r="AM173" s="9" t="s">
        <v>49</v>
      </c>
      <c r="AN173" s="6" t="s">
        <v>85</v>
      </c>
      <c r="AO173" s="9" t="s">
        <v>49</v>
      </c>
      <c r="AP173" s="11">
        <v>7248.8885899999996</v>
      </c>
      <c r="AQ173" s="11">
        <v>0</v>
      </c>
      <c r="AR173" s="11">
        <v>0</v>
      </c>
      <c r="AS173" s="11">
        <v>41681.266040000002</v>
      </c>
      <c r="AT173" s="11">
        <v>0</v>
      </c>
      <c r="AU173" s="11">
        <v>0</v>
      </c>
      <c r="AV173" s="11">
        <v>0</v>
      </c>
    </row>
    <row r="174" spans="1:48" ht="14.5" hidden="1">
      <c r="A174" s="6">
        <v>173</v>
      </c>
      <c r="B174" s="7" t="s">
        <v>429</v>
      </c>
      <c r="C174" s="7" t="s">
        <v>49</v>
      </c>
      <c r="D174" s="6">
        <v>12497</v>
      </c>
      <c r="E174" s="6" t="s">
        <v>49</v>
      </c>
      <c r="F174" s="8"/>
      <c r="G174" s="8"/>
      <c r="H174" s="7" t="s">
        <v>49</v>
      </c>
      <c r="I174" s="7"/>
      <c r="J174" s="6" t="s">
        <v>49</v>
      </c>
      <c r="K174" s="9" t="s">
        <v>49</v>
      </c>
      <c r="L174" s="9" t="s">
        <v>49</v>
      </c>
      <c r="M174" s="8"/>
      <c r="N174" s="10">
        <v>42968</v>
      </c>
      <c r="O174" s="10">
        <v>43833</v>
      </c>
      <c r="P174" s="9" t="s">
        <v>49</v>
      </c>
      <c r="Q174" s="9" t="s">
        <v>49</v>
      </c>
      <c r="R174" s="8"/>
      <c r="S174" s="8"/>
      <c r="T174" s="8"/>
      <c r="U174" s="8"/>
      <c r="V174" s="9" t="s">
        <v>49</v>
      </c>
      <c r="W174" s="9" t="s">
        <v>49</v>
      </c>
      <c r="X174" s="8"/>
      <c r="Y174" s="8"/>
      <c r="Z174" s="8"/>
      <c r="AA174" s="8"/>
      <c r="AB174" s="8"/>
      <c r="AC174" s="8"/>
      <c r="AD174" s="8"/>
      <c r="AE174" s="8"/>
      <c r="AF174" s="8"/>
      <c r="AG174" s="8"/>
      <c r="AH174" s="7" t="s">
        <v>51</v>
      </c>
      <c r="AI174" s="6" t="s">
        <v>49</v>
      </c>
      <c r="AJ174" s="6" t="s">
        <v>49</v>
      </c>
      <c r="AK174" s="6" t="s">
        <v>49</v>
      </c>
      <c r="AL174" s="9" t="s">
        <v>49</v>
      </c>
      <c r="AM174" s="9" t="s">
        <v>95</v>
      </c>
      <c r="AN174" s="6" t="s">
        <v>49</v>
      </c>
      <c r="AO174" s="9" t="s">
        <v>49</v>
      </c>
      <c r="AP174" s="11">
        <v>7248.8885899999996</v>
      </c>
      <c r="AQ174" s="11">
        <v>0</v>
      </c>
      <c r="AR174" s="11">
        <v>0</v>
      </c>
      <c r="AS174" s="11">
        <v>41681.266040000002</v>
      </c>
      <c r="AT174" s="11">
        <v>0</v>
      </c>
      <c r="AU174" s="11">
        <v>0</v>
      </c>
      <c r="AV174" s="11">
        <v>0</v>
      </c>
    </row>
    <row r="175" spans="1:48" ht="14.5" hidden="1">
      <c r="A175" s="6">
        <v>174</v>
      </c>
      <c r="B175" s="7" t="s">
        <v>430</v>
      </c>
      <c r="C175" s="7" t="s">
        <v>49</v>
      </c>
      <c r="D175" s="6">
        <v>12561</v>
      </c>
      <c r="E175" s="6" t="s">
        <v>431</v>
      </c>
      <c r="F175" s="8"/>
      <c r="G175" s="8"/>
      <c r="H175" s="7" t="s">
        <v>49</v>
      </c>
      <c r="I175" s="7"/>
      <c r="J175" s="6" t="s">
        <v>49</v>
      </c>
      <c r="K175" s="9" t="s">
        <v>49</v>
      </c>
      <c r="L175" s="9" t="s">
        <v>49</v>
      </c>
      <c r="M175" s="8"/>
      <c r="N175" s="10">
        <v>42592</v>
      </c>
      <c r="O175" s="10">
        <v>43860</v>
      </c>
      <c r="P175" s="9" t="s">
        <v>49</v>
      </c>
      <c r="Q175" s="9" t="s">
        <v>49</v>
      </c>
      <c r="R175" s="8"/>
      <c r="S175" s="8"/>
      <c r="T175" s="8"/>
      <c r="U175" s="8"/>
      <c r="V175" s="9" t="s">
        <v>49</v>
      </c>
      <c r="W175" s="9" t="s">
        <v>49</v>
      </c>
      <c r="X175" s="8"/>
      <c r="Y175" s="8"/>
      <c r="Z175" s="8"/>
      <c r="AA175" s="8"/>
      <c r="AB175" s="8"/>
      <c r="AC175" s="8"/>
      <c r="AD175" s="8"/>
      <c r="AE175" s="8"/>
      <c r="AF175" s="8"/>
      <c r="AG175" s="8"/>
      <c r="AH175" s="7" t="s">
        <v>57</v>
      </c>
      <c r="AI175" s="6" t="s">
        <v>49</v>
      </c>
      <c r="AJ175" s="6" t="s">
        <v>49</v>
      </c>
      <c r="AK175" s="6" t="s">
        <v>49</v>
      </c>
      <c r="AL175" s="9" t="s">
        <v>49</v>
      </c>
      <c r="AM175" s="9" t="s">
        <v>432</v>
      </c>
      <c r="AN175" s="6" t="s">
        <v>49</v>
      </c>
      <c r="AO175" s="9" t="s">
        <v>432</v>
      </c>
      <c r="AP175" s="11">
        <v>0</v>
      </c>
      <c r="AQ175" s="11">
        <v>0</v>
      </c>
      <c r="AR175" s="11">
        <v>0</v>
      </c>
      <c r="AS175" s="11">
        <v>124.83089</v>
      </c>
      <c r="AT175" s="11">
        <v>0</v>
      </c>
      <c r="AU175" s="11">
        <v>0</v>
      </c>
      <c r="AV175" s="11" t="s">
        <v>57</v>
      </c>
    </row>
    <row r="176" spans="1:48" ht="14.5" hidden="1">
      <c r="A176" s="6">
        <v>175</v>
      </c>
      <c r="B176" s="7" t="s">
        <v>433</v>
      </c>
      <c r="C176" s="7" t="s">
        <v>49</v>
      </c>
      <c r="D176" s="6">
        <v>15062</v>
      </c>
      <c r="E176" s="6" t="s">
        <v>434</v>
      </c>
      <c r="F176" s="8"/>
      <c r="G176" s="8"/>
      <c r="H176" s="7" t="s">
        <v>49</v>
      </c>
      <c r="I176" s="7"/>
      <c r="J176" s="6" t="s">
        <v>49</v>
      </c>
      <c r="K176" s="9" t="s">
        <v>49</v>
      </c>
      <c r="L176" s="9" t="s">
        <v>49</v>
      </c>
      <c r="M176" s="8"/>
      <c r="N176" s="10">
        <v>43126</v>
      </c>
      <c r="O176" s="10">
        <v>43921</v>
      </c>
      <c r="P176" s="9" t="s">
        <v>49</v>
      </c>
      <c r="Q176" s="9" t="s">
        <v>49</v>
      </c>
      <c r="R176" s="8"/>
      <c r="S176" s="8"/>
      <c r="T176" s="8"/>
      <c r="U176" s="8"/>
      <c r="V176" s="9" t="s">
        <v>49</v>
      </c>
      <c r="W176" s="9" t="s">
        <v>49</v>
      </c>
      <c r="X176" s="8"/>
      <c r="Y176" s="8"/>
      <c r="Z176" s="8"/>
      <c r="AA176" s="8"/>
      <c r="AB176" s="8"/>
      <c r="AC176" s="8"/>
      <c r="AD176" s="8"/>
      <c r="AE176" s="8"/>
      <c r="AF176" s="8"/>
      <c r="AG176" s="8"/>
      <c r="AH176" s="7" t="s">
        <v>51</v>
      </c>
      <c r="AI176" s="6" t="s">
        <v>49</v>
      </c>
      <c r="AJ176" s="6" t="s">
        <v>49</v>
      </c>
      <c r="AK176" s="6" t="s">
        <v>49</v>
      </c>
      <c r="AL176" s="9" t="s">
        <v>49</v>
      </c>
      <c r="AM176" s="9" t="s">
        <v>435</v>
      </c>
      <c r="AN176" s="6" t="s">
        <v>49</v>
      </c>
      <c r="AO176" s="9" t="s">
        <v>435</v>
      </c>
      <c r="AP176" s="11">
        <v>0</v>
      </c>
      <c r="AQ176" s="11">
        <v>0</v>
      </c>
      <c r="AR176" s="11">
        <v>0</v>
      </c>
      <c r="AS176" s="11">
        <v>0</v>
      </c>
      <c r="AT176" s="11">
        <v>0</v>
      </c>
      <c r="AU176" s="11">
        <v>0</v>
      </c>
      <c r="AV176" s="11" t="s">
        <v>51</v>
      </c>
    </row>
    <row r="177" spans="1:48" ht="14.5" hidden="1">
      <c r="A177" s="6">
        <v>176</v>
      </c>
      <c r="B177" s="7" t="s">
        <v>436</v>
      </c>
      <c r="C177" s="7" t="s">
        <v>49</v>
      </c>
      <c r="D177" s="6">
        <v>15070</v>
      </c>
      <c r="E177" s="6" t="s">
        <v>437</v>
      </c>
      <c r="F177" s="8"/>
      <c r="G177" s="8"/>
      <c r="H177" s="7" t="s">
        <v>49</v>
      </c>
      <c r="I177" s="7"/>
      <c r="J177" s="6" t="s">
        <v>49</v>
      </c>
      <c r="K177" s="9" t="s">
        <v>49</v>
      </c>
      <c r="L177" s="9" t="s">
        <v>49</v>
      </c>
      <c r="M177" s="8"/>
      <c r="N177" s="10">
        <v>42919</v>
      </c>
      <c r="O177" s="10">
        <v>43831</v>
      </c>
      <c r="P177" s="9" t="s">
        <v>49</v>
      </c>
      <c r="Q177" s="9" t="s">
        <v>49</v>
      </c>
      <c r="R177" s="8"/>
      <c r="S177" s="8"/>
      <c r="T177" s="8"/>
      <c r="U177" s="8"/>
      <c r="V177" s="9" t="s">
        <v>49</v>
      </c>
      <c r="W177" s="9" t="s">
        <v>49</v>
      </c>
      <c r="X177" s="8"/>
      <c r="Y177" s="8"/>
      <c r="Z177" s="8"/>
      <c r="AA177" s="8"/>
      <c r="AB177" s="8"/>
      <c r="AC177" s="8"/>
      <c r="AD177" s="8"/>
      <c r="AE177" s="8"/>
      <c r="AF177" s="8"/>
      <c r="AG177" s="8"/>
      <c r="AH177" s="7" t="s">
        <v>51</v>
      </c>
      <c r="AI177" s="6" t="s">
        <v>49</v>
      </c>
      <c r="AJ177" s="6" t="s">
        <v>49</v>
      </c>
      <c r="AK177" s="6" t="s">
        <v>49</v>
      </c>
      <c r="AL177" s="9" t="s">
        <v>49</v>
      </c>
      <c r="AM177" s="9" t="s">
        <v>134</v>
      </c>
      <c r="AN177" s="6" t="s">
        <v>49</v>
      </c>
      <c r="AO177" s="9" t="s">
        <v>320</v>
      </c>
      <c r="AP177" s="11">
        <v>0</v>
      </c>
      <c r="AQ177" s="11">
        <v>0</v>
      </c>
      <c r="AR177" s="11">
        <v>0</v>
      </c>
      <c r="AS177" s="11">
        <v>0</v>
      </c>
      <c r="AT177" s="11">
        <v>0</v>
      </c>
      <c r="AU177" s="11">
        <v>0</v>
      </c>
      <c r="AV177" s="11" t="s">
        <v>51</v>
      </c>
    </row>
    <row r="178" spans="1:48" ht="14.5" hidden="1">
      <c r="A178" s="6">
        <v>177</v>
      </c>
      <c r="B178" s="7" t="s">
        <v>438</v>
      </c>
      <c r="C178" s="7" t="s">
        <v>49</v>
      </c>
      <c r="D178" s="6">
        <v>15287</v>
      </c>
      <c r="E178" s="6" t="s">
        <v>439</v>
      </c>
      <c r="F178" s="8"/>
      <c r="G178" s="8"/>
      <c r="H178" s="7" t="s">
        <v>49</v>
      </c>
      <c r="I178" s="7"/>
      <c r="J178" s="6" t="s">
        <v>49</v>
      </c>
      <c r="K178" s="9" t="s">
        <v>49</v>
      </c>
      <c r="L178" s="9" t="s">
        <v>49</v>
      </c>
      <c r="M178" s="8"/>
      <c r="N178" s="10">
        <v>43312</v>
      </c>
      <c r="O178" s="10">
        <v>43831</v>
      </c>
      <c r="P178" s="9" t="s">
        <v>49</v>
      </c>
      <c r="Q178" s="9" t="s">
        <v>49</v>
      </c>
      <c r="R178" s="8"/>
      <c r="S178" s="8"/>
      <c r="T178" s="8"/>
      <c r="U178" s="8"/>
      <c r="V178" s="9" t="s">
        <v>49</v>
      </c>
      <c r="W178" s="9" t="s">
        <v>49</v>
      </c>
      <c r="X178" s="8"/>
      <c r="Y178" s="8"/>
      <c r="Z178" s="8"/>
      <c r="AA178" s="8"/>
      <c r="AB178" s="8"/>
      <c r="AC178" s="8"/>
      <c r="AD178" s="8"/>
      <c r="AE178" s="8"/>
      <c r="AF178" s="8"/>
      <c r="AG178" s="8"/>
      <c r="AH178" s="7" t="s">
        <v>51</v>
      </c>
      <c r="AI178" s="6" t="s">
        <v>49</v>
      </c>
      <c r="AJ178" s="6" t="s">
        <v>49</v>
      </c>
      <c r="AK178" s="6" t="s">
        <v>49</v>
      </c>
      <c r="AL178" s="9" t="s">
        <v>49</v>
      </c>
      <c r="AM178" s="9" t="s">
        <v>122</v>
      </c>
      <c r="AN178" s="6" t="s">
        <v>49</v>
      </c>
      <c r="AO178" s="9" t="s">
        <v>122</v>
      </c>
      <c r="AP178" s="11">
        <v>0</v>
      </c>
      <c r="AQ178" s="11">
        <v>0</v>
      </c>
      <c r="AR178" s="11">
        <v>0</v>
      </c>
      <c r="AS178" s="11">
        <v>0</v>
      </c>
      <c r="AT178" s="11">
        <v>0</v>
      </c>
      <c r="AU178" s="11">
        <v>0</v>
      </c>
      <c r="AV178" s="11" t="s">
        <v>51</v>
      </c>
    </row>
    <row r="179" spans="1:48" ht="14.5" hidden="1">
      <c r="A179" s="6">
        <v>178</v>
      </c>
      <c r="B179" s="7" t="s">
        <v>440</v>
      </c>
      <c r="C179" s="7" t="s">
        <v>49</v>
      </c>
      <c r="D179" s="6">
        <v>15292</v>
      </c>
      <c r="E179" s="6" t="s">
        <v>441</v>
      </c>
      <c r="F179" s="8"/>
      <c r="G179" s="8"/>
      <c r="H179" s="7" t="s">
        <v>49</v>
      </c>
      <c r="I179" s="7"/>
      <c r="J179" s="6" t="s">
        <v>49</v>
      </c>
      <c r="K179" s="9" t="s">
        <v>49</v>
      </c>
      <c r="L179" s="9" t="s">
        <v>49</v>
      </c>
      <c r="M179" s="8"/>
      <c r="N179" s="10">
        <v>43192</v>
      </c>
      <c r="O179" s="10">
        <v>44533</v>
      </c>
      <c r="P179" s="9" t="s">
        <v>49</v>
      </c>
      <c r="Q179" s="9" t="s">
        <v>49</v>
      </c>
      <c r="R179" s="8"/>
      <c r="S179" s="8"/>
      <c r="T179" s="8"/>
      <c r="U179" s="8"/>
      <c r="V179" s="9" t="s">
        <v>49</v>
      </c>
      <c r="W179" s="9" t="s">
        <v>49</v>
      </c>
      <c r="X179" s="8"/>
      <c r="Y179" s="8"/>
      <c r="Z179" s="8"/>
      <c r="AA179" s="8"/>
      <c r="AB179" s="8"/>
      <c r="AC179" s="8"/>
      <c r="AD179" s="8"/>
      <c r="AE179" s="8"/>
      <c r="AF179" s="8"/>
      <c r="AG179" s="8"/>
      <c r="AH179" s="7" t="s">
        <v>51</v>
      </c>
      <c r="AI179" s="6" t="s">
        <v>49</v>
      </c>
      <c r="AJ179" s="6" t="s">
        <v>49</v>
      </c>
      <c r="AK179" s="6" t="s">
        <v>49</v>
      </c>
      <c r="AL179" s="9" t="s">
        <v>49</v>
      </c>
      <c r="AM179" s="9" t="s">
        <v>122</v>
      </c>
      <c r="AN179" s="6" t="s">
        <v>49</v>
      </c>
      <c r="AO179" s="9" t="s">
        <v>122</v>
      </c>
      <c r="AP179" s="11">
        <v>0</v>
      </c>
      <c r="AQ179" s="11">
        <v>0</v>
      </c>
      <c r="AR179" s="11">
        <v>0</v>
      </c>
      <c r="AS179" s="11">
        <v>0</v>
      </c>
      <c r="AT179" s="11">
        <v>0</v>
      </c>
      <c r="AU179" s="11">
        <v>0</v>
      </c>
      <c r="AV179" s="11" t="s">
        <v>51</v>
      </c>
    </row>
    <row r="180" spans="1:48" ht="14.5" hidden="1">
      <c r="A180" s="6">
        <v>179</v>
      </c>
      <c r="B180" s="7" t="s">
        <v>442</v>
      </c>
      <c r="C180" s="7" t="s">
        <v>49</v>
      </c>
      <c r="D180" s="6">
        <v>15376</v>
      </c>
      <c r="E180" s="6" t="s">
        <v>443</v>
      </c>
      <c r="F180" s="8"/>
      <c r="G180" s="8"/>
      <c r="H180" s="7" t="s">
        <v>49</v>
      </c>
      <c r="I180" s="7"/>
      <c r="J180" s="6" t="s">
        <v>49</v>
      </c>
      <c r="K180" s="9" t="s">
        <v>49</v>
      </c>
      <c r="L180" s="9" t="s">
        <v>49</v>
      </c>
      <c r="M180" s="8"/>
      <c r="N180" s="12"/>
      <c r="O180" s="10">
        <v>43525</v>
      </c>
      <c r="P180" s="9" t="s">
        <v>49</v>
      </c>
      <c r="Q180" s="9" t="s">
        <v>49</v>
      </c>
      <c r="R180" s="8"/>
      <c r="S180" s="8"/>
      <c r="T180" s="8"/>
      <c r="U180" s="8"/>
      <c r="V180" s="9" t="s">
        <v>49</v>
      </c>
      <c r="W180" s="9" t="s">
        <v>49</v>
      </c>
      <c r="X180" s="8"/>
      <c r="Y180" s="8"/>
      <c r="Z180" s="8"/>
      <c r="AA180" s="8"/>
      <c r="AB180" s="8"/>
      <c r="AC180" s="8"/>
      <c r="AD180" s="8"/>
      <c r="AE180" s="8"/>
      <c r="AF180" s="8"/>
      <c r="AG180" s="8"/>
      <c r="AH180" s="7" t="s">
        <v>57</v>
      </c>
      <c r="AI180" s="6" t="s">
        <v>49</v>
      </c>
      <c r="AJ180" s="6" t="s">
        <v>49</v>
      </c>
      <c r="AK180" s="6" t="s">
        <v>49</v>
      </c>
      <c r="AL180" s="9" t="s">
        <v>49</v>
      </c>
      <c r="AM180" s="9" t="s">
        <v>213</v>
      </c>
      <c r="AN180" s="6" t="s">
        <v>49</v>
      </c>
      <c r="AO180" s="9" t="s">
        <v>213</v>
      </c>
      <c r="AP180" s="11">
        <v>0</v>
      </c>
      <c r="AQ180" s="11">
        <v>0</v>
      </c>
      <c r="AR180" s="11">
        <v>0</v>
      </c>
      <c r="AS180" s="11">
        <v>0</v>
      </c>
      <c r="AT180" s="11">
        <v>0</v>
      </c>
      <c r="AU180" s="11">
        <v>0</v>
      </c>
      <c r="AV180" s="11" t="s">
        <v>57</v>
      </c>
    </row>
    <row r="181" spans="1:48" ht="14.5" hidden="1">
      <c r="A181" s="6">
        <v>180</v>
      </c>
      <c r="B181" s="7" t="s">
        <v>444</v>
      </c>
      <c r="C181" s="7" t="s">
        <v>49</v>
      </c>
      <c r="D181" s="6">
        <v>15523</v>
      </c>
      <c r="E181" s="6" t="s">
        <v>49</v>
      </c>
      <c r="F181" s="8"/>
      <c r="G181" s="8"/>
      <c r="H181" s="7" t="s">
        <v>49</v>
      </c>
      <c r="I181" s="7"/>
      <c r="J181" s="6" t="s">
        <v>49</v>
      </c>
      <c r="K181" s="9" t="s">
        <v>49</v>
      </c>
      <c r="L181" s="9" t="s">
        <v>49</v>
      </c>
      <c r="M181" s="8"/>
      <c r="N181" s="10">
        <v>43251</v>
      </c>
      <c r="O181" s="10">
        <v>43831</v>
      </c>
      <c r="P181" s="9" t="s">
        <v>49</v>
      </c>
      <c r="Q181" s="9" t="s">
        <v>49</v>
      </c>
      <c r="R181" s="8"/>
      <c r="S181" s="8"/>
      <c r="T181" s="8"/>
      <c r="U181" s="8"/>
      <c r="V181" s="9" t="s">
        <v>49</v>
      </c>
      <c r="W181" s="9" t="s">
        <v>49</v>
      </c>
      <c r="X181" s="8"/>
      <c r="Y181" s="8"/>
      <c r="Z181" s="8"/>
      <c r="AA181" s="8"/>
      <c r="AB181" s="8"/>
      <c r="AC181" s="8"/>
      <c r="AD181" s="8"/>
      <c r="AE181" s="8"/>
      <c r="AF181" s="8"/>
      <c r="AG181" s="8"/>
      <c r="AH181" s="7" t="s">
        <v>51</v>
      </c>
      <c r="AI181" s="6" t="s">
        <v>71</v>
      </c>
      <c r="AJ181" s="6" t="s">
        <v>49</v>
      </c>
      <c r="AK181" s="6" t="s">
        <v>49</v>
      </c>
      <c r="AL181" s="9" t="s">
        <v>200</v>
      </c>
      <c r="AM181" s="9" t="s">
        <v>49</v>
      </c>
      <c r="AN181" s="6" t="s">
        <v>85</v>
      </c>
      <c r="AO181" s="9" t="s">
        <v>49</v>
      </c>
      <c r="AP181" s="11">
        <v>7248.8885899999996</v>
      </c>
      <c r="AQ181" s="11">
        <v>0</v>
      </c>
      <c r="AR181" s="11">
        <v>0</v>
      </c>
      <c r="AS181" s="11">
        <v>41681.266040000002</v>
      </c>
      <c r="AT181" s="11">
        <v>0</v>
      </c>
      <c r="AU181" s="11">
        <v>0</v>
      </c>
      <c r="AV181" s="11">
        <v>0</v>
      </c>
    </row>
    <row r="182" spans="1:48" ht="14.5" hidden="1">
      <c r="A182" s="6">
        <v>181</v>
      </c>
      <c r="B182" s="7" t="s">
        <v>444</v>
      </c>
      <c r="C182" s="7" t="s">
        <v>49</v>
      </c>
      <c r="D182" s="6">
        <v>15523</v>
      </c>
      <c r="E182" s="6" t="s">
        <v>445</v>
      </c>
      <c r="F182" s="8"/>
      <c r="G182" s="8"/>
      <c r="H182" s="7" t="s">
        <v>49</v>
      </c>
      <c r="I182" s="7"/>
      <c r="J182" s="6" t="s">
        <v>49</v>
      </c>
      <c r="K182" s="9" t="s">
        <v>49</v>
      </c>
      <c r="L182" s="9" t="s">
        <v>49</v>
      </c>
      <c r="M182" s="12"/>
      <c r="N182" s="10">
        <v>43251</v>
      </c>
      <c r="O182" s="10">
        <v>43831</v>
      </c>
      <c r="P182" s="9" t="s">
        <v>49</v>
      </c>
      <c r="Q182" s="9" t="s">
        <v>49</v>
      </c>
      <c r="R182" s="8"/>
      <c r="S182" s="8"/>
      <c r="T182" s="8"/>
      <c r="U182" s="8"/>
      <c r="V182" s="9" t="s">
        <v>49</v>
      </c>
      <c r="W182" s="9" t="s">
        <v>49</v>
      </c>
      <c r="X182" s="8"/>
      <c r="Y182" s="8"/>
      <c r="Z182" s="8"/>
      <c r="AA182" s="8"/>
      <c r="AB182" s="8"/>
      <c r="AC182" s="8"/>
      <c r="AD182" s="8"/>
      <c r="AE182" s="8"/>
      <c r="AF182" s="8"/>
      <c r="AG182" s="8"/>
      <c r="AH182" s="7" t="s">
        <v>51</v>
      </c>
      <c r="AI182" s="6" t="s">
        <v>49</v>
      </c>
      <c r="AJ182" s="6" t="s">
        <v>49</v>
      </c>
      <c r="AK182" s="6" t="s">
        <v>49</v>
      </c>
      <c r="AL182" s="9" t="s">
        <v>49</v>
      </c>
      <c r="AM182" s="9" t="s">
        <v>200</v>
      </c>
      <c r="AN182" s="6" t="s">
        <v>49</v>
      </c>
      <c r="AO182" s="9" t="s">
        <v>200</v>
      </c>
      <c r="AP182" s="11">
        <v>0</v>
      </c>
      <c r="AQ182" s="11">
        <v>0</v>
      </c>
      <c r="AR182" s="11">
        <v>0</v>
      </c>
      <c r="AS182" s="11">
        <v>0</v>
      </c>
      <c r="AT182" s="11">
        <v>0</v>
      </c>
      <c r="AU182" s="11">
        <v>0</v>
      </c>
      <c r="AV182" s="11" t="s">
        <v>51</v>
      </c>
    </row>
    <row r="183" spans="1:48" ht="14.5" hidden="1">
      <c r="A183" s="6">
        <v>182</v>
      </c>
      <c r="B183" s="7" t="s">
        <v>446</v>
      </c>
      <c r="C183" s="7" t="s">
        <v>49</v>
      </c>
      <c r="D183" s="6">
        <v>15067</v>
      </c>
      <c r="E183" s="6" t="s">
        <v>447</v>
      </c>
      <c r="F183" s="8"/>
      <c r="G183" s="8"/>
      <c r="H183" s="7" t="s">
        <v>49</v>
      </c>
      <c r="I183" s="7"/>
      <c r="J183" s="6" t="s">
        <v>49</v>
      </c>
      <c r="K183" s="9" t="s">
        <v>49</v>
      </c>
      <c r="L183" s="9" t="s">
        <v>49</v>
      </c>
      <c r="M183" s="8"/>
      <c r="N183" s="10">
        <v>42947</v>
      </c>
      <c r="O183" s="10">
        <v>43524</v>
      </c>
      <c r="P183" s="9" t="s">
        <v>49</v>
      </c>
      <c r="Q183" s="9" t="s">
        <v>49</v>
      </c>
      <c r="R183" s="8"/>
      <c r="S183" s="8"/>
      <c r="T183" s="8"/>
      <c r="U183" s="8"/>
      <c r="V183" s="9" t="s">
        <v>49</v>
      </c>
      <c r="W183" s="9" t="s">
        <v>49</v>
      </c>
      <c r="X183" s="8"/>
      <c r="Y183" s="8"/>
      <c r="Z183" s="8"/>
      <c r="AA183" s="8"/>
      <c r="AB183" s="8"/>
      <c r="AC183" s="8"/>
      <c r="AD183" s="8"/>
      <c r="AE183" s="8"/>
      <c r="AF183" s="8"/>
      <c r="AG183" s="8"/>
      <c r="AH183" s="7" t="s">
        <v>51</v>
      </c>
      <c r="AI183" s="6" t="s">
        <v>49</v>
      </c>
      <c r="AJ183" s="6" t="s">
        <v>49</v>
      </c>
      <c r="AK183" s="6" t="s">
        <v>49</v>
      </c>
      <c r="AL183" s="9" t="s">
        <v>49</v>
      </c>
      <c r="AM183" s="9" t="s">
        <v>221</v>
      </c>
      <c r="AN183" s="6" t="s">
        <v>49</v>
      </c>
      <c r="AO183" s="9" t="s">
        <v>222</v>
      </c>
      <c r="AP183" s="11">
        <v>0</v>
      </c>
      <c r="AQ183" s="11">
        <v>0</v>
      </c>
      <c r="AR183" s="11">
        <v>0</v>
      </c>
      <c r="AS183" s="11">
        <v>0</v>
      </c>
      <c r="AT183" s="11">
        <v>0</v>
      </c>
      <c r="AU183" s="11">
        <v>0</v>
      </c>
      <c r="AV183" s="11" t="s">
        <v>51</v>
      </c>
    </row>
    <row r="184" spans="1:48" ht="14.5" hidden="1">
      <c r="A184" s="6">
        <v>183</v>
      </c>
      <c r="B184" s="7" t="s">
        <v>448</v>
      </c>
      <c r="C184" s="7" t="s">
        <v>49</v>
      </c>
      <c r="D184" s="6">
        <v>15495</v>
      </c>
      <c r="E184" s="6" t="s">
        <v>49</v>
      </c>
      <c r="F184" s="8"/>
      <c r="G184" s="8"/>
      <c r="H184" s="7" t="s">
        <v>49</v>
      </c>
      <c r="I184" s="7"/>
      <c r="J184" s="6" t="s">
        <v>49</v>
      </c>
      <c r="K184" s="9" t="s">
        <v>49</v>
      </c>
      <c r="L184" s="9" t="s">
        <v>49</v>
      </c>
      <c r="M184" s="8"/>
      <c r="N184" s="8"/>
      <c r="O184" s="10">
        <v>43525</v>
      </c>
      <c r="P184" s="9" t="s">
        <v>49</v>
      </c>
      <c r="Q184" s="9" t="s">
        <v>49</v>
      </c>
      <c r="R184" s="8"/>
      <c r="S184" s="8"/>
      <c r="T184" s="8"/>
      <c r="U184" s="8"/>
      <c r="V184" s="9" t="s">
        <v>49</v>
      </c>
      <c r="W184" s="9" t="s">
        <v>49</v>
      </c>
      <c r="X184" s="8"/>
      <c r="Y184" s="8"/>
      <c r="Z184" s="8"/>
      <c r="AA184" s="8"/>
      <c r="AB184" s="8"/>
      <c r="AC184" s="8"/>
      <c r="AD184" s="8"/>
      <c r="AE184" s="8"/>
      <c r="AF184" s="8"/>
      <c r="AG184" s="8"/>
      <c r="AH184" s="7" t="s">
        <v>57</v>
      </c>
      <c r="AI184" s="6" t="s">
        <v>71</v>
      </c>
      <c r="AJ184" s="6" t="s">
        <v>49</v>
      </c>
      <c r="AK184" s="6" t="s">
        <v>49</v>
      </c>
      <c r="AL184" s="9" t="s">
        <v>67</v>
      </c>
      <c r="AM184" s="9" t="s">
        <v>49</v>
      </c>
      <c r="AN184" s="6" t="s">
        <v>85</v>
      </c>
      <c r="AO184" s="9" t="s">
        <v>49</v>
      </c>
      <c r="AP184" s="11">
        <v>7248.8885899999996</v>
      </c>
      <c r="AQ184" s="11">
        <v>0</v>
      </c>
      <c r="AR184" s="11">
        <v>0</v>
      </c>
      <c r="AS184" s="11">
        <v>41681.266040000002</v>
      </c>
      <c r="AT184" s="11">
        <v>0</v>
      </c>
      <c r="AU184" s="11">
        <v>0</v>
      </c>
      <c r="AV184" s="11">
        <v>0</v>
      </c>
    </row>
    <row r="185" spans="1:48" ht="14.5" hidden="1">
      <c r="A185" s="6">
        <v>184</v>
      </c>
      <c r="B185" s="7" t="s">
        <v>449</v>
      </c>
      <c r="C185" s="7" t="s">
        <v>49</v>
      </c>
      <c r="D185" s="6">
        <v>15495</v>
      </c>
      <c r="E185" s="6" t="s">
        <v>450</v>
      </c>
      <c r="F185" s="8"/>
      <c r="G185" s="8"/>
      <c r="H185" s="7" t="s">
        <v>49</v>
      </c>
      <c r="I185" s="7"/>
      <c r="J185" s="6" t="s">
        <v>49</v>
      </c>
      <c r="K185" s="9" t="s">
        <v>49</v>
      </c>
      <c r="L185" s="9" t="s">
        <v>49</v>
      </c>
      <c r="M185" s="8"/>
      <c r="N185" s="8"/>
      <c r="O185" s="10">
        <v>43525</v>
      </c>
      <c r="P185" s="9" t="s">
        <v>49</v>
      </c>
      <c r="Q185" s="9" t="s">
        <v>49</v>
      </c>
      <c r="R185" s="8"/>
      <c r="S185" s="8"/>
      <c r="T185" s="8"/>
      <c r="U185" s="8"/>
      <c r="V185" s="9" t="s">
        <v>49</v>
      </c>
      <c r="W185" s="9" t="s">
        <v>49</v>
      </c>
      <c r="X185" s="8"/>
      <c r="Y185" s="8"/>
      <c r="Z185" s="8"/>
      <c r="AA185" s="8"/>
      <c r="AB185" s="8"/>
      <c r="AC185" s="8"/>
      <c r="AD185" s="8"/>
      <c r="AE185" s="8"/>
      <c r="AF185" s="8"/>
      <c r="AG185" s="8"/>
      <c r="AH185" s="7" t="s">
        <v>57</v>
      </c>
      <c r="AI185" s="6" t="s">
        <v>49</v>
      </c>
      <c r="AJ185" s="6" t="s">
        <v>49</v>
      </c>
      <c r="AK185" s="6" t="s">
        <v>49</v>
      </c>
      <c r="AL185" s="9" t="s">
        <v>49</v>
      </c>
      <c r="AM185" s="9" t="s">
        <v>67</v>
      </c>
      <c r="AN185" s="6" t="s">
        <v>49</v>
      </c>
      <c r="AO185" s="9" t="s">
        <v>67</v>
      </c>
      <c r="AP185" s="11">
        <v>0</v>
      </c>
      <c r="AQ185" s="11">
        <v>0</v>
      </c>
      <c r="AR185" s="11">
        <v>0</v>
      </c>
      <c r="AS185" s="11">
        <v>0</v>
      </c>
      <c r="AT185" s="11">
        <v>0</v>
      </c>
      <c r="AU185" s="11">
        <v>0</v>
      </c>
      <c r="AV185" s="11" t="s">
        <v>57</v>
      </c>
    </row>
    <row r="186" spans="1:48" ht="14.5" hidden="1">
      <c r="A186" s="6">
        <v>185</v>
      </c>
      <c r="B186" s="7" t="s">
        <v>451</v>
      </c>
      <c r="C186" s="7" t="s">
        <v>337</v>
      </c>
      <c r="D186" s="6">
        <v>15374</v>
      </c>
      <c r="E186" s="6" t="s">
        <v>452</v>
      </c>
      <c r="F186" s="8"/>
      <c r="G186" s="8"/>
      <c r="H186" s="7" t="s">
        <v>49</v>
      </c>
      <c r="I186" s="7"/>
      <c r="J186" s="6" t="s">
        <v>49</v>
      </c>
      <c r="K186" s="9" t="s">
        <v>49</v>
      </c>
      <c r="L186" s="9" t="s">
        <v>49</v>
      </c>
      <c r="M186" s="24">
        <v>1495</v>
      </c>
      <c r="N186" s="12"/>
      <c r="O186" s="10">
        <v>44561</v>
      </c>
      <c r="P186" s="9" t="s">
        <v>49</v>
      </c>
      <c r="Q186" s="9" t="s">
        <v>49</v>
      </c>
      <c r="R186" s="8"/>
      <c r="S186" s="8"/>
      <c r="T186" s="8"/>
      <c r="U186" s="8"/>
      <c r="V186" s="9" t="s">
        <v>49</v>
      </c>
      <c r="W186" s="9" t="s">
        <v>49</v>
      </c>
      <c r="X186" s="8"/>
      <c r="Y186" s="8"/>
      <c r="Z186" s="8"/>
      <c r="AA186" s="8"/>
      <c r="AB186" s="8"/>
      <c r="AC186" s="8"/>
      <c r="AD186" s="8"/>
      <c r="AE186" s="8"/>
      <c r="AF186" s="8"/>
      <c r="AG186" s="8"/>
      <c r="AH186" s="7" t="s">
        <v>51</v>
      </c>
      <c r="AI186" s="6" t="s">
        <v>49</v>
      </c>
      <c r="AJ186" s="6" t="s">
        <v>49</v>
      </c>
      <c r="AK186" s="6" t="s">
        <v>49</v>
      </c>
      <c r="AL186" s="9" t="s">
        <v>49</v>
      </c>
      <c r="AM186" s="9" t="s">
        <v>453</v>
      </c>
      <c r="AN186" s="6" t="s">
        <v>49</v>
      </c>
      <c r="AO186" s="9" t="s">
        <v>453</v>
      </c>
      <c r="AP186" s="11">
        <v>216.15241</v>
      </c>
      <c r="AQ186" s="11">
        <v>383761.49</v>
      </c>
      <c r="AR186" s="11">
        <v>383761.49500000005</v>
      </c>
      <c r="AS186" s="11">
        <v>216.15241</v>
      </c>
      <c r="AT186" s="11">
        <v>1499.7614900000001</v>
      </c>
      <c r="AU186" s="11">
        <v>0</v>
      </c>
      <c r="AV186" s="11" t="s">
        <v>51</v>
      </c>
    </row>
    <row r="187" spans="1:48" ht="14.5" hidden="1">
      <c r="A187" s="6">
        <v>186</v>
      </c>
      <c r="B187" s="7" t="s">
        <v>454</v>
      </c>
      <c r="C187" s="7" t="s">
        <v>49</v>
      </c>
      <c r="D187" s="6">
        <v>12559</v>
      </c>
      <c r="E187" s="6" t="s">
        <v>49</v>
      </c>
      <c r="F187" s="8"/>
      <c r="G187" s="8"/>
      <c r="H187" s="7" t="s">
        <v>49</v>
      </c>
      <c r="I187" s="7"/>
      <c r="J187" s="6" t="s">
        <v>49</v>
      </c>
      <c r="K187" s="9" t="s">
        <v>49</v>
      </c>
      <c r="L187" s="9" t="s">
        <v>49</v>
      </c>
      <c r="M187" s="8"/>
      <c r="N187" s="10">
        <v>42917</v>
      </c>
      <c r="O187" s="10">
        <v>43858</v>
      </c>
      <c r="P187" s="9" t="s">
        <v>49</v>
      </c>
      <c r="Q187" s="9" t="s">
        <v>49</v>
      </c>
      <c r="R187" s="8"/>
      <c r="S187" s="8"/>
      <c r="T187" s="8"/>
      <c r="U187" s="8"/>
      <c r="V187" s="9" t="s">
        <v>49</v>
      </c>
      <c r="W187" s="9" t="s">
        <v>49</v>
      </c>
      <c r="X187" s="8"/>
      <c r="Y187" s="8"/>
      <c r="Z187" s="8"/>
      <c r="AA187" s="8"/>
      <c r="AB187" s="8"/>
      <c r="AC187" s="8"/>
      <c r="AD187" s="8"/>
      <c r="AE187" s="8"/>
      <c r="AF187" s="8"/>
      <c r="AG187" s="8"/>
      <c r="AH187" s="7" t="s">
        <v>51</v>
      </c>
      <c r="AI187" s="6" t="s">
        <v>71</v>
      </c>
      <c r="AJ187" s="6" t="s">
        <v>49</v>
      </c>
      <c r="AK187" s="6" t="s">
        <v>118</v>
      </c>
      <c r="AL187" s="9" t="s">
        <v>455</v>
      </c>
      <c r="AM187" s="9" t="s">
        <v>49</v>
      </c>
      <c r="AN187" s="6" t="s">
        <v>96</v>
      </c>
      <c r="AO187" s="9" t="s">
        <v>49</v>
      </c>
      <c r="AP187" s="11">
        <v>7248.8885899999996</v>
      </c>
      <c r="AQ187" s="11">
        <v>0</v>
      </c>
      <c r="AR187" s="11">
        <v>0</v>
      </c>
      <c r="AS187" s="11">
        <v>41681.266040000002</v>
      </c>
      <c r="AT187" s="11">
        <v>0</v>
      </c>
      <c r="AU187" s="11">
        <v>0</v>
      </c>
      <c r="AV187" s="11">
        <v>0</v>
      </c>
    </row>
    <row r="188" spans="1:48" ht="14.5" hidden="1">
      <c r="A188" s="6">
        <v>187</v>
      </c>
      <c r="B188" s="7" t="s">
        <v>456</v>
      </c>
      <c r="C188" s="7" t="s">
        <v>49</v>
      </c>
      <c r="D188" s="6">
        <v>12559</v>
      </c>
      <c r="E188" s="6" t="s">
        <v>457</v>
      </c>
      <c r="F188" s="8"/>
      <c r="G188" s="8"/>
      <c r="H188" s="7" t="s">
        <v>49</v>
      </c>
      <c r="I188" s="7"/>
      <c r="J188" s="6" t="s">
        <v>49</v>
      </c>
      <c r="K188" s="9" t="s">
        <v>49</v>
      </c>
      <c r="L188" s="9" t="s">
        <v>49</v>
      </c>
      <c r="M188" s="8"/>
      <c r="N188" s="10">
        <v>42917</v>
      </c>
      <c r="O188" s="10">
        <v>43858</v>
      </c>
      <c r="P188" s="9" t="s">
        <v>49</v>
      </c>
      <c r="Q188" s="9" t="s">
        <v>49</v>
      </c>
      <c r="R188" s="8"/>
      <c r="S188" s="8"/>
      <c r="T188" s="8"/>
      <c r="U188" s="8"/>
      <c r="V188" s="9" t="s">
        <v>49</v>
      </c>
      <c r="W188" s="9" t="s">
        <v>49</v>
      </c>
      <c r="X188" s="8"/>
      <c r="Y188" s="8"/>
      <c r="Z188" s="8"/>
      <c r="AA188" s="8"/>
      <c r="AB188" s="8"/>
      <c r="AC188" s="8"/>
      <c r="AD188" s="8"/>
      <c r="AE188" s="8"/>
      <c r="AF188" s="8"/>
      <c r="AG188" s="8"/>
      <c r="AH188" s="7" t="s">
        <v>51</v>
      </c>
      <c r="AI188" s="6" t="s">
        <v>49</v>
      </c>
      <c r="AJ188" s="6" t="s">
        <v>49</v>
      </c>
      <c r="AK188" s="6" t="s">
        <v>49</v>
      </c>
      <c r="AL188" s="9" t="s">
        <v>49</v>
      </c>
      <c r="AM188" s="9" t="s">
        <v>455</v>
      </c>
      <c r="AN188" s="6" t="s">
        <v>49</v>
      </c>
      <c r="AO188" s="9" t="s">
        <v>222</v>
      </c>
      <c r="AP188" s="11">
        <v>0</v>
      </c>
      <c r="AQ188" s="11">
        <v>0</v>
      </c>
      <c r="AR188" s="11">
        <v>0</v>
      </c>
      <c r="AS188" s="11">
        <v>0</v>
      </c>
      <c r="AT188" s="11">
        <v>0</v>
      </c>
      <c r="AU188" s="11">
        <v>0</v>
      </c>
      <c r="AV188" s="11" t="s">
        <v>51</v>
      </c>
    </row>
    <row r="189" spans="1:48" ht="14.5" hidden="1">
      <c r="A189" s="6">
        <v>188</v>
      </c>
      <c r="B189" s="7" t="s">
        <v>458</v>
      </c>
      <c r="C189" s="7" t="s">
        <v>81</v>
      </c>
      <c r="D189" s="6">
        <v>15434</v>
      </c>
      <c r="E189" s="6" t="s">
        <v>49</v>
      </c>
      <c r="F189" s="8"/>
      <c r="G189" s="8"/>
      <c r="H189" s="7" t="s">
        <v>245</v>
      </c>
      <c r="I189" s="7"/>
      <c r="J189" s="6" t="s">
        <v>49</v>
      </c>
      <c r="K189" s="9" t="s">
        <v>49</v>
      </c>
      <c r="L189" s="9" t="s">
        <v>49</v>
      </c>
      <c r="M189" s="8"/>
      <c r="N189" s="8"/>
      <c r="O189" s="12"/>
      <c r="P189" s="9" t="s">
        <v>49</v>
      </c>
      <c r="Q189" s="9" t="s">
        <v>49</v>
      </c>
      <c r="R189" s="8"/>
      <c r="S189" s="8"/>
      <c r="T189" s="8"/>
      <c r="U189" s="8"/>
      <c r="V189" s="9" t="s">
        <v>49</v>
      </c>
      <c r="W189" s="9" t="s">
        <v>49</v>
      </c>
      <c r="X189" s="8"/>
      <c r="Y189" s="8"/>
      <c r="Z189" s="8"/>
      <c r="AA189" s="8"/>
      <c r="AB189" s="8"/>
      <c r="AC189" s="8"/>
      <c r="AD189" s="8"/>
      <c r="AE189" s="8"/>
      <c r="AF189" s="8"/>
      <c r="AG189" s="8"/>
      <c r="AH189" s="7" t="s">
        <v>57</v>
      </c>
      <c r="AI189" s="6" t="s">
        <v>71</v>
      </c>
      <c r="AJ189" s="6" t="s">
        <v>49</v>
      </c>
      <c r="AK189" s="6" t="s">
        <v>49</v>
      </c>
      <c r="AL189" s="9" t="s">
        <v>213</v>
      </c>
      <c r="AM189" s="9" t="s">
        <v>49</v>
      </c>
      <c r="AN189" s="6" t="s">
        <v>218</v>
      </c>
      <c r="AO189" s="9" t="s">
        <v>49</v>
      </c>
      <c r="AP189" s="11">
        <v>7248.8885899999996</v>
      </c>
      <c r="AQ189" s="11">
        <v>0</v>
      </c>
      <c r="AR189" s="11">
        <v>0</v>
      </c>
      <c r="AS189" s="11">
        <v>41681.266040000002</v>
      </c>
      <c r="AT189" s="11">
        <v>0</v>
      </c>
      <c r="AU189" s="11">
        <v>488</v>
      </c>
      <c r="AV189" s="11">
        <v>0</v>
      </c>
    </row>
    <row r="190" spans="1:48" ht="14.5">
      <c r="A190" s="6">
        <v>189</v>
      </c>
      <c r="B190" s="7" t="s">
        <v>459</v>
      </c>
      <c r="C190" s="7" t="s">
        <v>81</v>
      </c>
      <c r="D190" s="6">
        <v>15434</v>
      </c>
      <c r="E190" s="6" t="s">
        <v>460</v>
      </c>
      <c r="F190" s="6">
        <v>87255</v>
      </c>
      <c r="G190" s="8"/>
      <c r="H190" s="7" t="s">
        <v>245</v>
      </c>
      <c r="I190" s="7"/>
      <c r="J190" s="6" t="s">
        <v>75</v>
      </c>
      <c r="K190" s="9" t="s">
        <v>89</v>
      </c>
      <c r="L190" s="9" t="s">
        <v>218</v>
      </c>
      <c r="M190" s="8"/>
      <c r="N190" s="8"/>
      <c r="O190" s="8"/>
      <c r="P190" s="9" t="s">
        <v>459</v>
      </c>
      <c r="Q190" s="9" t="s">
        <v>461</v>
      </c>
      <c r="R190" s="8"/>
      <c r="S190" s="8"/>
      <c r="T190" s="8"/>
      <c r="U190" s="8"/>
      <c r="V190" s="9" t="s">
        <v>49</v>
      </c>
      <c r="W190" s="9" t="s">
        <v>49</v>
      </c>
      <c r="X190" s="8"/>
      <c r="Y190" s="8"/>
      <c r="Z190" s="8"/>
      <c r="AA190" s="6">
        <v>0.4</v>
      </c>
      <c r="AB190" s="6">
        <v>0.4</v>
      </c>
      <c r="AC190" s="8"/>
      <c r="AD190" s="6">
        <v>0.4</v>
      </c>
      <c r="AE190" s="8"/>
      <c r="AF190" s="6">
        <v>0.2</v>
      </c>
      <c r="AG190" s="6">
        <v>0.2</v>
      </c>
      <c r="AH190" s="7" t="s">
        <v>57</v>
      </c>
      <c r="AI190" s="6" t="s">
        <v>49</v>
      </c>
      <c r="AJ190" s="6" t="s">
        <v>49</v>
      </c>
      <c r="AK190" s="6" t="s">
        <v>49</v>
      </c>
      <c r="AL190" s="9" t="s">
        <v>49</v>
      </c>
      <c r="AM190" s="9" t="s">
        <v>462</v>
      </c>
      <c r="AN190" s="6" t="s">
        <v>218</v>
      </c>
      <c r="AO190" s="9" t="s">
        <v>201</v>
      </c>
      <c r="AP190" s="11">
        <v>-0.18875999999999998</v>
      </c>
      <c r="AQ190" s="11">
        <v>-188.76</v>
      </c>
      <c r="AR190" s="11">
        <v>-188.76041666666669</v>
      </c>
      <c r="AS190" s="11">
        <v>343.83828000000005</v>
      </c>
      <c r="AT190" s="11">
        <v>399.81124</v>
      </c>
      <c r="AU190" s="11">
        <v>0</v>
      </c>
      <c r="AV190" s="11" t="s">
        <v>57</v>
      </c>
    </row>
    <row r="191" spans="1:48" ht="14.5" hidden="1">
      <c r="A191" s="6">
        <v>190</v>
      </c>
      <c r="B191" s="7" t="s">
        <v>463</v>
      </c>
      <c r="C191" s="7" t="s">
        <v>49</v>
      </c>
      <c r="D191" s="6">
        <v>12528</v>
      </c>
      <c r="E191" s="6" t="s">
        <v>464</v>
      </c>
      <c r="F191" s="8"/>
      <c r="G191" s="8"/>
      <c r="H191" s="7" t="s">
        <v>49</v>
      </c>
      <c r="I191" s="7"/>
      <c r="J191" s="6" t="s">
        <v>49</v>
      </c>
      <c r="K191" s="9" t="s">
        <v>49</v>
      </c>
      <c r="L191" s="9" t="s">
        <v>49</v>
      </c>
      <c r="M191" s="8"/>
      <c r="N191" s="10">
        <v>41639</v>
      </c>
      <c r="O191" s="10">
        <v>43098</v>
      </c>
      <c r="P191" s="9" t="s">
        <v>49</v>
      </c>
      <c r="Q191" s="9" t="s">
        <v>49</v>
      </c>
      <c r="R191" s="8"/>
      <c r="S191" s="8"/>
      <c r="T191" s="8"/>
      <c r="U191" s="8"/>
      <c r="V191" s="9" t="s">
        <v>49</v>
      </c>
      <c r="W191" s="9" t="s">
        <v>49</v>
      </c>
      <c r="X191" s="8"/>
      <c r="Y191" s="8"/>
      <c r="Z191" s="8"/>
      <c r="AA191" s="8"/>
      <c r="AB191" s="8"/>
      <c r="AC191" s="8"/>
      <c r="AD191" s="8"/>
      <c r="AE191" s="8"/>
      <c r="AF191" s="8"/>
      <c r="AG191" s="8"/>
      <c r="AH191" s="7" t="s">
        <v>57</v>
      </c>
      <c r="AI191" s="6" t="s">
        <v>49</v>
      </c>
      <c r="AJ191" s="6" t="s">
        <v>49</v>
      </c>
      <c r="AK191" s="6" t="s">
        <v>49</v>
      </c>
      <c r="AL191" s="9" t="s">
        <v>49</v>
      </c>
      <c r="AM191" s="9" t="s">
        <v>49</v>
      </c>
      <c r="AN191" s="6" t="s">
        <v>49</v>
      </c>
      <c r="AO191" s="9" t="s">
        <v>49</v>
      </c>
      <c r="AP191" s="11">
        <v>0</v>
      </c>
      <c r="AQ191" s="11">
        <v>0</v>
      </c>
      <c r="AR191" s="11">
        <v>0</v>
      </c>
      <c r="AS191" s="11">
        <v>0</v>
      </c>
      <c r="AT191" s="11">
        <v>0</v>
      </c>
      <c r="AU191" s="11">
        <v>0</v>
      </c>
      <c r="AV191" s="11" t="s">
        <v>57</v>
      </c>
    </row>
    <row r="192" spans="1:48" ht="14.5" hidden="1">
      <c r="A192" s="6">
        <v>191</v>
      </c>
      <c r="B192" s="7" t="s">
        <v>465</v>
      </c>
      <c r="C192" s="7" t="s">
        <v>49</v>
      </c>
      <c r="D192" s="6">
        <v>12528</v>
      </c>
      <c r="E192" s="6" t="s">
        <v>466</v>
      </c>
      <c r="F192" s="8"/>
      <c r="G192" s="8"/>
      <c r="H192" s="7" t="s">
        <v>49</v>
      </c>
      <c r="I192" s="7"/>
      <c r="J192" s="6" t="s">
        <v>49</v>
      </c>
      <c r="K192" s="9" t="s">
        <v>49</v>
      </c>
      <c r="L192" s="9" t="s">
        <v>49</v>
      </c>
      <c r="M192" s="8"/>
      <c r="N192" s="10">
        <v>42940</v>
      </c>
      <c r="O192" s="10">
        <v>44099</v>
      </c>
      <c r="P192" s="9" t="s">
        <v>49</v>
      </c>
      <c r="Q192" s="9" t="s">
        <v>49</v>
      </c>
      <c r="R192" s="8"/>
      <c r="S192" s="8"/>
      <c r="T192" s="8"/>
      <c r="U192" s="8"/>
      <c r="V192" s="9" t="s">
        <v>49</v>
      </c>
      <c r="W192" s="9" t="s">
        <v>49</v>
      </c>
      <c r="X192" s="8"/>
      <c r="Y192" s="8"/>
      <c r="Z192" s="8"/>
      <c r="AA192" s="8"/>
      <c r="AB192" s="8"/>
      <c r="AC192" s="8"/>
      <c r="AD192" s="8"/>
      <c r="AE192" s="8"/>
      <c r="AF192" s="8"/>
      <c r="AG192" s="8"/>
      <c r="AH192" s="7" t="s">
        <v>51</v>
      </c>
      <c r="AI192" s="6" t="s">
        <v>49</v>
      </c>
      <c r="AJ192" s="6" t="s">
        <v>49</v>
      </c>
      <c r="AK192" s="6" t="s">
        <v>49</v>
      </c>
      <c r="AL192" s="9" t="s">
        <v>49</v>
      </c>
      <c r="AM192" s="9" t="s">
        <v>134</v>
      </c>
      <c r="AN192" s="6" t="s">
        <v>49</v>
      </c>
      <c r="AO192" s="9" t="s">
        <v>134</v>
      </c>
      <c r="AP192" s="11">
        <v>0</v>
      </c>
      <c r="AQ192" s="11">
        <v>0</v>
      </c>
      <c r="AR192" s="11">
        <v>0</v>
      </c>
      <c r="AS192" s="11">
        <v>0</v>
      </c>
      <c r="AT192" s="11">
        <v>0</v>
      </c>
      <c r="AU192" s="11">
        <v>0</v>
      </c>
      <c r="AV192" s="11" t="s">
        <v>51</v>
      </c>
    </row>
    <row r="193" spans="1:49" ht="14.5" hidden="1">
      <c r="A193" s="6">
        <v>192</v>
      </c>
      <c r="B193" s="7" t="s">
        <v>467</v>
      </c>
      <c r="C193" s="7" t="s">
        <v>49</v>
      </c>
      <c r="D193" s="6">
        <v>12528</v>
      </c>
      <c r="E193" s="6" t="s">
        <v>468</v>
      </c>
      <c r="F193" s="8"/>
      <c r="G193" s="8"/>
      <c r="H193" s="7" t="s">
        <v>49</v>
      </c>
      <c r="I193" s="7"/>
      <c r="J193" s="6" t="s">
        <v>49</v>
      </c>
      <c r="K193" s="9" t="s">
        <v>49</v>
      </c>
      <c r="L193" s="9" t="s">
        <v>49</v>
      </c>
      <c r="M193" s="8"/>
      <c r="N193" s="10">
        <v>41639</v>
      </c>
      <c r="O193" s="10">
        <v>43399</v>
      </c>
      <c r="P193" s="9" t="s">
        <v>49</v>
      </c>
      <c r="Q193" s="9" t="s">
        <v>49</v>
      </c>
      <c r="R193" s="8"/>
      <c r="S193" s="8"/>
      <c r="T193" s="8"/>
      <c r="U193" s="8"/>
      <c r="V193" s="9" t="s">
        <v>49</v>
      </c>
      <c r="W193" s="9" t="s">
        <v>49</v>
      </c>
      <c r="X193" s="8"/>
      <c r="Y193" s="8"/>
      <c r="Z193" s="8"/>
      <c r="AA193" s="8"/>
      <c r="AB193" s="8"/>
      <c r="AC193" s="8"/>
      <c r="AD193" s="8"/>
      <c r="AE193" s="8"/>
      <c r="AF193" s="8"/>
      <c r="AG193" s="8"/>
      <c r="AH193" s="7" t="s">
        <v>51</v>
      </c>
      <c r="AI193" s="6" t="s">
        <v>49</v>
      </c>
      <c r="AJ193" s="6" t="s">
        <v>49</v>
      </c>
      <c r="AK193" s="6" t="s">
        <v>49</v>
      </c>
      <c r="AL193" s="9" t="s">
        <v>49</v>
      </c>
      <c r="AM193" s="9" t="s">
        <v>469</v>
      </c>
      <c r="AN193" s="6" t="s">
        <v>49</v>
      </c>
      <c r="AO193" s="9" t="s">
        <v>222</v>
      </c>
      <c r="AP193" s="11">
        <v>0</v>
      </c>
      <c r="AQ193" s="11">
        <v>0</v>
      </c>
      <c r="AR193" s="11">
        <v>0</v>
      </c>
      <c r="AS193" s="11">
        <v>0</v>
      </c>
      <c r="AT193" s="11">
        <v>0</v>
      </c>
      <c r="AU193" s="11">
        <v>0</v>
      </c>
      <c r="AV193" s="11" t="s">
        <v>51</v>
      </c>
    </row>
    <row r="194" spans="1:49" ht="14.5" hidden="1">
      <c r="A194" s="6">
        <v>193</v>
      </c>
      <c r="B194" s="7" t="s">
        <v>470</v>
      </c>
      <c r="C194" s="7" t="s">
        <v>131</v>
      </c>
      <c r="D194" s="6">
        <v>12528</v>
      </c>
      <c r="E194" s="6" t="s">
        <v>471</v>
      </c>
      <c r="F194" s="6">
        <v>0</v>
      </c>
      <c r="G194" s="8"/>
      <c r="H194" s="7" t="s">
        <v>49</v>
      </c>
      <c r="I194" s="7"/>
      <c r="J194" s="6" t="s">
        <v>49</v>
      </c>
      <c r="K194" s="9" t="s">
        <v>49</v>
      </c>
      <c r="L194" s="9" t="s">
        <v>73</v>
      </c>
      <c r="M194" s="8"/>
      <c r="N194" s="10">
        <v>41639</v>
      </c>
      <c r="O194" s="10">
        <v>44196</v>
      </c>
      <c r="P194" s="9" t="s">
        <v>472</v>
      </c>
      <c r="Q194" s="9" t="s">
        <v>473</v>
      </c>
      <c r="R194" s="8"/>
      <c r="S194" s="8"/>
      <c r="T194" s="8"/>
      <c r="U194" s="6">
        <v>6</v>
      </c>
      <c r="V194" s="9" t="s">
        <v>49</v>
      </c>
      <c r="W194" s="9" t="s">
        <v>132</v>
      </c>
      <c r="X194" s="8"/>
      <c r="Y194" s="8"/>
      <c r="Z194" s="8"/>
      <c r="AA194" s="8"/>
      <c r="AB194" s="8"/>
      <c r="AC194" s="8"/>
      <c r="AD194" s="8"/>
      <c r="AE194" s="8"/>
      <c r="AF194" s="8"/>
      <c r="AG194" s="8"/>
      <c r="AH194" s="7" t="s">
        <v>51</v>
      </c>
      <c r="AI194" s="6" t="s">
        <v>49</v>
      </c>
      <c r="AJ194" s="6" t="s">
        <v>49</v>
      </c>
      <c r="AK194" s="6" t="s">
        <v>49</v>
      </c>
      <c r="AL194" s="9" t="s">
        <v>49</v>
      </c>
      <c r="AM194" s="9" t="s">
        <v>134</v>
      </c>
      <c r="AN194" s="6" t="s">
        <v>73</v>
      </c>
      <c r="AO194" s="9" t="s">
        <v>134</v>
      </c>
      <c r="AP194" s="11">
        <v>281.52954</v>
      </c>
      <c r="AQ194" s="11">
        <v>473669.02</v>
      </c>
      <c r="AR194" s="11">
        <v>473669.01458333334</v>
      </c>
      <c r="AS194" s="11">
        <v>3048.8570299999997</v>
      </c>
      <c r="AT194" s="11">
        <v>3465.6690199999998</v>
      </c>
      <c r="AU194" s="11">
        <v>0</v>
      </c>
      <c r="AV194" s="11" t="s">
        <v>51</v>
      </c>
    </row>
    <row r="195" spans="1:49" ht="14.5" hidden="1">
      <c r="A195" s="6">
        <v>194</v>
      </c>
      <c r="B195" s="7" t="s">
        <v>474</v>
      </c>
      <c r="C195" s="7" t="s">
        <v>131</v>
      </c>
      <c r="D195" s="6">
        <v>12528</v>
      </c>
      <c r="E195" s="6" t="s">
        <v>475</v>
      </c>
      <c r="F195" s="6">
        <v>84645</v>
      </c>
      <c r="G195" s="8"/>
      <c r="H195" s="7" t="s">
        <v>88</v>
      </c>
      <c r="I195" s="7" t="s">
        <v>217</v>
      </c>
      <c r="J195" s="6" t="s">
        <v>75</v>
      </c>
      <c r="K195" s="9" t="s">
        <v>89</v>
      </c>
      <c r="L195" s="9" t="s">
        <v>73</v>
      </c>
      <c r="M195" s="6"/>
      <c r="N195" s="10">
        <v>43497</v>
      </c>
      <c r="O195" s="10">
        <v>43843</v>
      </c>
      <c r="P195" s="9" t="s">
        <v>472</v>
      </c>
      <c r="Q195" s="9" t="s">
        <v>476</v>
      </c>
      <c r="R195" s="6">
        <v>2.08</v>
      </c>
      <c r="S195" s="6">
        <v>5.2</v>
      </c>
      <c r="T195" s="6">
        <v>27.9</v>
      </c>
      <c r="U195" s="6">
        <v>6</v>
      </c>
      <c r="V195" s="9" t="s">
        <v>477</v>
      </c>
      <c r="W195" s="9" t="s">
        <v>132</v>
      </c>
      <c r="X195" s="8"/>
      <c r="Y195" s="8"/>
      <c r="Z195" s="6">
        <v>1.9359999999999999</v>
      </c>
      <c r="AA195" s="8"/>
      <c r="AB195" s="6">
        <v>1.9359999999999999</v>
      </c>
      <c r="AC195" s="6">
        <v>2.7</v>
      </c>
      <c r="AD195" s="6">
        <v>4.6360000000000001</v>
      </c>
      <c r="AE195" s="6">
        <v>1.839</v>
      </c>
      <c r="AF195" s="8"/>
      <c r="AG195" s="6">
        <v>1.839</v>
      </c>
      <c r="AH195" s="7" t="s">
        <v>57</v>
      </c>
      <c r="AI195" s="6" t="s">
        <v>49</v>
      </c>
      <c r="AJ195" s="6" t="s">
        <v>49</v>
      </c>
      <c r="AK195" s="6" t="s">
        <v>49</v>
      </c>
      <c r="AL195" s="9" t="s">
        <v>49</v>
      </c>
      <c r="AM195" s="9" t="s">
        <v>134</v>
      </c>
      <c r="AN195" s="6" t="s">
        <v>49</v>
      </c>
      <c r="AO195" s="9" t="s">
        <v>134</v>
      </c>
      <c r="AP195" s="11">
        <v>0</v>
      </c>
      <c r="AQ195" s="11">
        <v>0</v>
      </c>
      <c r="AR195" s="11">
        <v>0</v>
      </c>
      <c r="AS195" s="11">
        <v>0</v>
      </c>
      <c r="AT195" s="11">
        <v>0</v>
      </c>
      <c r="AU195" s="11">
        <v>0</v>
      </c>
      <c r="AV195" s="11" t="s">
        <v>57</v>
      </c>
    </row>
    <row r="196" spans="1:49" ht="14.5" hidden="1">
      <c r="A196" s="6">
        <v>195</v>
      </c>
      <c r="B196" s="7" t="s">
        <v>478</v>
      </c>
      <c r="C196" s="7" t="s">
        <v>49</v>
      </c>
      <c r="D196" s="6">
        <v>12528</v>
      </c>
      <c r="E196" s="6" t="s">
        <v>479</v>
      </c>
      <c r="F196" s="8"/>
      <c r="G196" s="8"/>
      <c r="H196" s="7" t="s">
        <v>49</v>
      </c>
      <c r="I196" s="7"/>
      <c r="J196" s="6" t="s">
        <v>49</v>
      </c>
      <c r="K196" s="9" t="s">
        <v>49</v>
      </c>
      <c r="L196" s="9" t="s">
        <v>49</v>
      </c>
      <c r="M196" s="8"/>
      <c r="N196" s="10">
        <v>43507</v>
      </c>
      <c r="O196" s="10">
        <v>43831</v>
      </c>
      <c r="P196" s="9" t="s">
        <v>49</v>
      </c>
      <c r="Q196" s="9" t="s">
        <v>49</v>
      </c>
      <c r="R196" s="8"/>
      <c r="S196" s="8"/>
      <c r="T196" s="8"/>
      <c r="U196" s="8"/>
      <c r="V196" s="9" t="s">
        <v>49</v>
      </c>
      <c r="W196" s="9" t="s">
        <v>49</v>
      </c>
      <c r="X196" s="8"/>
      <c r="Y196" s="8"/>
      <c r="Z196" s="8"/>
      <c r="AA196" s="8"/>
      <c r="AB196" s="8"/>
      <c r="AC196" s="8"/>
      <c r="AD196" s="8"/>
      <c r="AE196" s="8"/>
      <c r="AF196" s="8"/>
      <c r="AG196" s="8"/>
      <c r="AH196" s="7" t="s">
        <v>57</v>
      </c>
      <c r="AI196" s="6" t="s">
        <v>49</v>
      </c>
      <c r="AJ196" s="6" t="s">
        <v>49</v>
      </c>
      <c r="AK196" s="6" t="s">
        <v>49</v>
      </c>
      <c r="AL196" s="9" t="s">
        <v>49</v>
      </c>
      <c r="AM196" s="9" t="s">
        <v>134</v>
      </c>
      <c r="AN196" s="6" t="s">
        <v>49</v>
      </c>
      <c r="AO196" s="9" t="s">
        <v>134</v>
      </c>
      <c r="AP196" s="11">
        <v>0</v>
      </c>
      <c r="AQ196" s="11">
        <v>0</v>
      </c>
      <c r="AR196" s="11">
        <v>0</v>
      </c>
      <c r="AS196" s="11">
        <v>0</v>
      </c>
      <c r="AT196" s="11">
        <v>0</v>
      </c>
      <c r="AU196" s="11">
        <v>0</v>
      </c>
      <c r="AV196" s="11" t="s">
        <v>57</v>
      </c>
    </row>
    <row r="197" spans="1:49" ht="14.5" hidden="1">
      <c r="A197" s="6">
        <v>196</v>
      </c>
      <c r="B197" s="7" t="s">
        <v>480</v>
      </c>
      <c r="C197" s="7" t="s">
        <v>131</v>
      </c>
      <c r="D197" s="12"/>
      <c r="E197" s="6" t="s">
        <v>481</v>
      </c>
      <c r="F197" s="8"/>
      <c r="G197" s="8"/>
      <c r="H197" s="7" t="s">
        <v>49</v>
      </c>
      <c r="I197" s="7"/>
      <c r="J197" s="6" t="s">
        <v>49</v>
      </c>
      <c r="K197" s="9" t="s">
        <v>49</v>
      </c>
      <c r="L197" s="9" t="s">
        <v>49</v>
      </c>
      <c r="M197" s="20">
        <v>814</v>
      </c>
      <c r="N197" s="12"/>
      <c r="O197" s="12"/>
      <c r="P197" s="9" t="s">
        <v>49</v>
      </c>
      <c r="Q197" s="9" t="s">
        <v>49</v>
      </c>
      <c r="R197" s="8"/>
      <c r="S197" s="8"/>
      <c r="T197" s="8"/>
      <c r="U197" s="8"/>
      <c r="V197" s="9" t="s">
        <v>49</v>
      </c>
      <c r="W197" s="9" t="s">
        <v>49</v>
      </c>
      <c r="X197" s="8"/>
      <c r="Y197" s="8"/>
      <c r="Z197" s="8"/>
      <c r="AA197" s="8"/>
      <c r="AB197" s="8"/>
      <c r="AC197" s="8"/>
      <c r="AD197" s="8"/>
      <c r="AE197" s="8"/>
      <c r="AF197" s="8"/>
      <c r="AG197" s="8"/>
      <c r="AH197" s="7" t="s">
        <v>49</v>
      </c>
      <c r="AI197" s="6" t="s">
        <v>49</v>
      </c>
      <c r="AJ197" s="6" t="s">
        <v>49</v>
      </c>
      <c r="AK197" s="6" t="s">
        <v>49</v>
      </c>
      <c r="AL197" s="9" t="s">
        <v>49</v>
      </c>
      <c r="AM197" s="9" t="s">
        <v>49</v>
      </c>
      <c r="AN197" s="6" t="s">
        <v>49</v>
      </c>
      <c r="AO197" s="9" t="s">
        <v>49</v>
      </c>
      <c r="AP197" s="11">
        <v>0</v>
      </c>
      <c r="AQ197" s="11">
        <v>0</v>
      </c>
      <c r="AR197" s="11">
        <v>0</v>
      </c>
      <c r="AS197" s="11">
        <v>0</v>
      </c>
      <c r="AT197" s="11">
        <v>0</v>
      </c>
      <c r="AU197" s="11">
        <v>950</v>
      </c>
      <c r="AV197" s="11">
        <v>0</v>
      </c>
      <c r="AW197" t="s">
        <v>482</v>
      </c>
    </row>
    <row r="198" spans="1:49" ht="15.5" hidden="1">
      <c r="A198" s="6">
        <v>197</v>
      </c>
      <c r="B198" s="7" t="s">
        <v>483</v>
      </c>
      <c r="C198" s="7" t="s">
        <v>131</v>
      </c>
      <c r="D198" s="12"/>
      <c r="E198" s="25" t="s">
        <v>484</v>
      </c>
      <c r="F198" s="8"/>
      <c r="G198" s="8"/>
      <c r="H198" s="7" t="s">
        <v>49</v>
      </c>
      <c r="I198" s="7"/>
      <c r="J198" s="6" t="s">
        <v>49</v>
      </c>
      <c r="K198" s="9" t="s">
        <v>49</v>
      </c>
      <c r="L198" s="9" t="s">
        <v>49</v>
      </c>
      <c r="M198" s="20">
        <v>313</v>
      </c>
      <c r="N198" s="12"/>
      <c r="O198" s="12"/>
      <c r="P198" s="9" t="s">
        <v>49</v>
      </c>
      <c r="Q198" s="9" t="s">
        <v>49</v>
      </c>
      <c r="R198" s="8"/>
      <c r="S198" s="8"/>
      <c r="T198" s="8"/>
      <c r="U198" s="8"/>
      <c r="V198" s="9" t="s">
        <v>49</v>
      </c>
      <c r="W198" s="9" t="s">
        <v>49</v>
      </c>
      <c r="X198" s="8"/>
      <c r="Y198" s="8"/>
      <c r="Z198" s="8"/>
      <c r="AA198" s="8"/>
      <c r="AB198" s="8"/>
      <c r="AC198" s="8"/>
      <c r="AD198" s="8"/>
      <c r="AE198" s="8"/>
      <c r="AF198" s="8"/>
      <c r="AG198" s="8"/>
      <c r="AH198" s="7" t="s">
        <v>49</v>
      </c>
      <c r="AI198" s="6" t="s">
        <v>49</v>
      </c>
      <c r="AJ198" s="6" t="s">
        <v>49</v>
      </c>
      <c r="AK198" s="6" t="s">
        <v>49</v>
      </c>
      <c r="AL198" s="9" t="s">
        <v>49</v>
      </c>
      <c r="AM198" s="9" t="s">
        <v>49</v>
      </c>
      <c r="AN198" s="6" t="s">
        <v>49</v>
      </c>
      <c r="AO198" s="9" t="s">
        <v>49</v>
      </c>
      <c r="AP198" s="11">
        <v>0</v>
      </c>
      <c r="AQ198" s="11">
        <v>0</v>
      </c>
      <c r="AR198" s="11">
        <v>78573.029999999984</v>
      </c>
      <c r="AS198" s="11">
        <v>0</v>
      </c>
      <c r="AT198" s="11">
        <v>0</v>
      </c>
      <c r="AU198" s="11">
        <v>350</v>
      </c>
      <c r="AV198" s="11">
        <v>0</v>
      </c>
      <c r="AW198" t="s">
        <v>93</v>
      </c>
    </row>
    <row r="199" spans="1:49" ht="14.5" hidden="1">
      <c r="A199" s="6">
        <v>198</v>
      </c>
      <c r="B199" s="7" t="s">
        <v>485</v>
      </c>
      <c r="C199" s="7" t="s">
        <v>131</v>
      </c>
      <c r="D199" s="12"/>
      <c r="E199" s="6" t="s">
        <v>104</v>
      </c>
      <c r="F199" s="12"/>
      <c r="G199" s="8"/>
      <c r="H199" s="7" t="s">
        <v>49</v>
      </c>
      <c r="I199" s="7"/>
      <c r="J199" s="6" t="s">
        <v>49</v>
      </c>
      <c r="K199" s="9" t="s">
        <v>49</v>
      </c>
      <c r="L199" s="9" t="s">
        <v>49</v>
      </c>
      <c r="M199" s="20">
        <v>910</v>
      </c>
      <c r="N199" s="12"/>
      <c r="O199" s="12"/>
      <c r="P199" s="9" t="s">
        <v>49</v>
      </c>
      <c r="Q199" s="9" t="s">
        <v>49</v>
      </c>
      <c r="R199" s="8"/>
      <c r="S199" s="8"/>
      <c r="T199" s="8"/>
      <c r="U199" s="8"/>
      <c r="V199" s="9" t="s">
        <v>49</v>
      </c>
      <c r="W199" s="9" t="s">
        <v>49</v>
      </c>
      <c r="X199" s="8"/>
      <c r="Y199" s="8"/>
      <c r="Z199" s="8"/>
      <c r="AA199" s="8"/>
      <c r="AB199" s="8"/>
      <c r="AC199" s="8"/>
      <c r="AD199" s="8"/>
      <c r="AE199" s="8"/>
      <c r="AF199" s="8"/>
      <c r="AG199" s="8"/>
      <c r="AH199" s="7" t="s">
        <v>49</v>
      </c>
      <c r="AI199" s="6" t="s">
        <v>49</v>
      </c>
      <c r="AJ199" s="6" t="s">
        <v>49</v>
      </c>
      <c r="AK199" s="6" t="s">
        <v>49</v>
      </c>
      <c r="AL199" s="9" t="s">
        <v>49</v>
      </c>
      <c r="AM199" s="9" t="s">
        <v>49</v>
      </c>
      <c r="AN199" s="6" t="s">
        <v>49</v>
      </c>
      <c r="AO199" s="9" t="s">
        <v>49</v>
      </c>
      <c r="AP199" s="11">
        <v>0</v>
      </c>
      <c r="AQ199" s="11">
        <v>0</v>
      </c>
      <c r="AR199" s="11">
        <v>0</v>
      </c>
      <c r="AS199" s="11">
        <v>0</v>
      </c>
      <c r="AT199" s="11">
        <v>0</v>
      </c>
      <c r="AU199" s="11">
        <v>0</v>
      </c>
      <c r="AV199" s="11">
        <v>0</v>
      </c>
    </row>
    <row r="200" spans="1:49" ht="14.5" hidden="1">
      <c r="A200" s="6">
        <v>199</v>
      </c>
      <c r="B200" s="7" t="s">
        <v>486</v>
      </c>
      <c r="C200" s="7" t="s">
        <v>49</v>
      </c>
      <c r="D200" s="6">
        <v>15067</v>
      </c>
      <c r="E200" s="6" t="s">
        <v>487</v>
      </c>
      <c r="F200" s="8"/>
      <c r="G200" s="8"/>
      <c r="H200" s="7" t="s">
        <v>49</v>
      </c>
      <c r="I200" s="7"/>
      <c r="J200" s="6" t="s">
        <v>49</v>
      </c>
      <c r="K200" s="9" t="s">
        <v>49</v>
      </c>
      <c r="L200" s="9" t="s">
        <v>49</v>
      </c>
      <c r="M200" s="8"/>
      <c r="N200" s="10">
        <v>43192</v>
      </c>
      <c r="O200" s="10">
        <v>43371</v>
      </c>
      <c r="P200" s="9" t="s">
        <v>49</v>
      </c>
      <c r="Q200" s="9" t="s">
        <v>49</v>
      </c>
      <c r="R200" s="8"/>
      <c r="S200" s="8"/>
      <c r="T200" s="8"/>
      <c r="U200" s="8"/>
      <c r="V200" s="9" t="s">
        <v>49</v>
      </c>
      <c r="W200" s="9" t="s">
        <v>49</v>
      </c>
      <c r="X200" s="8"/>
      <c r="Y200" s="8"/>
      <c r="Z200" s="8"/>
      <c r="AA200" s="8"/>
      <c r="AB200" s="8"/>
      <c r="AC200" s="8"/>
      <c r="AD200" s="8"/>
      <c r="AE200" s="8"/>
      <c r="AF200" s="8"/>
      <c r="AG200" s="8"/>
      <c r="AH200" s="7" t="s">
        <v>51</v>
      </c>
      <c r="AI200" s="6" t="s">
        <v>49</v>
      </c>
      <c r="AJ200" s="6" t="s">
        <v>49</v>
      </c>
      <c r="AK200" s="6" t="s">
        <v>49</v>
      </c>
      <c r="AL200" s="9" t="s">
        <v>49</v>
      </c>
      <c r="AM200" s="9" t="s">
        <v>221</v>
      </c>
      <c r="AN200" s="6" t="s">
        <v>49</v>
      </c>
      <c r="AO200" s="9" t="s">
        <v>221</v>
      </c>
      <c r="AP200" s="11">
        <v>0</v>
      </c>
      <c r="AQ200" s="11">
        <v>0</v>
      </c>
      <c r="AR200" s="11">
        <v>0</v>
      </c>
      <c r="AS200" s="11">
        <v>0</v>
      </c>
      <c r="AT200" s="11">
        <v>0</v>
      </c>
      <c r="AU200" s="11">
        <v>0</v>
      </c>
      <c r="AV200" s="11" t="s">
        <v>51</v>
      </c>
    </row>
    <row r="201" spans="1:49" ht="14.5" hidden="1">
      <c r="A201" s="6">
        <v>200</v>
      </c>
      <c r="B201" s="7" t="s">
        <v>488</v>
      </c>
      <c r="C201" s="7" t="s">
        <v>49</v>
      </c>
      <c r="D201" s="6">
        <v>15481</v>
      </c>
      <c r="E201" s="6" t="s">
        <v>489</v>
      </c>
      <c r="F201" s="12"/>
      <c r="G201" s="8"/>
      <c r="H201" s="7" t="s">
        <v>49</v>
      </c>
      <c r="I201" s="7"/>
      <c r="J201" s="6" t="s">
        <v>49</v>
      </c>
      <c r="K201" s="9" t="s">
        <v>49</v>
      </c>
      <c r="L201" s="9" t="s">
        <v>49</v>
      </c>
      <c r="M201" s="12"/>
      <c r="N201" s="8"/>
      <c r="O201" s="10">
        <v>43525</v>
      </c>
      <c r="P201" s="9" t="s">
        <v>49</v>
      </c>
      <c r="Q201" s="9" t="s">
        <v>49</v>
      </c>
      <c r="R201" s="8"/>
      <c r="S201" s="8"/>
      <c r="T201" s="8"/>
      <c r="U201" s="8"/>
      <c r="V201" s="9" t="s">
        <v>49</v>
      </c>
      <c r="W201" s="9" t="s">
        <v>49</v>
      </c>
      <c r="X201" s="8"/>
      <c r="Y201" s="8"/>
      <c r="Z201" s="12"/>
      <c r="AA201" s="8"/>
      <c r="AB201" s="12"/>
      <c r="AC201" s="8"/>
      <c r="AD201" s="12"/>
      <c r="AE201" s="12"/>
      <c r="AF201" s="8"/>
      <c r="AG201" s="12"/>
      <c r="AH201" s="7" t="s">
        <v>57</v>
      </c>
      <c r="AI201" s="6" t="s">
        <v>49</v>
      </c>
      <c r="AJ201" s="6" t="s">
        <v>49</v>
      </c>
      <c r="AK201" s="6" t="s">
        <v>49</v>
      </c>
      <c r="AL201" s="9" t="s">
        <v>49</v>
      </c>
      <c r="AM201" s="9" t="s">
        <v>67</v>
      </c>
      <c r="AN201" s="6" t="s">
        <v>49</v>
      </c>
      <c r="AO201" s="9" t="s">
        <v>67</v>
      </c>
      <c r="AP201" s="11">
        <v>0</v>
      </c>
      <c r="AQ201" s="11">
        <v>0</v>
      </c>
      <c r="AR201" s="11">
        <v>0</v>
      </c>
      <c r="AS201" s="11">
        <v>0</v>
      </c>
      <c r="AT201" s="11">
        <v>0</v>
      </c>
      <c r="AU201" s="11">
        <v>0</v>
      </c>
      <c r="AV201" s="11" t="s">
        <v>57</v>
      </c>
    </row>
    <row r="202" spans="1:49" ht="14.5" hidden="1">
      <c r="A202" s="6">
        <v>201</v>
      </c>
      <c r="B202" s="7" t="s">
        <v>490</v>
      </c>
      <c r="C202" s="7" t="s">
        <v>86</v>
      </c>
      <c r="D202" s="6">
        <v>15659</v>
      </c>
      <c r="E202" s="6" t="s">
        <v>49</v>
      </c>
      <c r="F202" s="8"/>
      <c r="G202" s="8"/>
      <c r="H202" s="7" t="s">
        <v>49</v>
      </c>
      <c r="I202" s="7"/>
      <c r="J202" s="6" t="s">
        <v>49</v>
      </c>
      <c r="K202" s="9" t="s">
        <v>49</v>
      </c>
      <c r="L202" s="9" t="s">
        <v>49</v>
      </c>
      <c r="M202" s="8"/>
      <c r="N202" s="12"/>
      <c r="O202" s="10">
        <v>43861</v>
      </c>
      <c r="P202" s="9" t="s">
        <v>49</v>
      </c>
      <c r="Q202" s="9" t="s">
        <v>49</v>
      </c>
      <c r="R202" s="8"/>
      <c r="S202" s="8"/>
      <c r="T202" s="8"/>
      <c r="U202" s="8"/>
      <c r="V202" s="9" t="s">
        <v>49</v>
      </c>
      <c r="W202" s="9" t="s">
        <v>49</v>
      </c>
      <c r="X202" s="8"/>
      <c r="Y202" s="8"/>
      <c r="Z202" s="8"/>
      <c r="AA202" s="8"/>
      <c r="AB202" s="8"/>
      <c r="AC202" s="8"/>
      <c r="AD202" s="8"/>
      <c r="AE202" s="8"/>
      <c r="AF202" s="8"/>
      <c r="AG202" s="8"/>
      <c r="AH202" s="7" t="s">
        <v>57</v>
      </c>
      <c r="AI202" s="6" t="s">
        <v>71</v>
      </c>
      <c r="AJ202" s="6" t="s">
        <v>49</v>
      </c>
      <c r="AK202" s="6" t="s">
        <v>49</v>
      </c>
      <c r="AL202" s="9" t="s">
        <v>52</v>
      </c>
      <c r="AM202" s="9" t="s">
        <v>49</v>
      </c>
      <c r="AN202" s="6" t="s">
        <v>85</v>
      </c>
      <c r="AO202" s="9" t="s">
        <v>49</v>
      </c>
      <c r="AP202" s="11">
        <v>7248.8885899999996</v>
      </c>
      <c r="AQ202" s="11">
        <v>0</v>
      </c>
      <c r="AR202" s="11">
        <v>0</v>
      </c>
      <c r="AS202" s="11">
        <v>41681.266040000002</v>
      </c>
      <c r="AT202" s="11">
        <v>0</v>
      </c>
      <c r="AU202" s="11">
        <v>0</v>
      </c>
      <c r="AV202" s="11">
        <v>0</v>
      </c>
    </row>
    <row r="203" spans="1:49" ht="14.5">
      <c r="A203" s="6">
        <v>202</v>
      </c>
      <c r="B203" s="7" t="s">
        <v>490</v>
      </c>
      <c r="C203" s="7" t="s">
        <v>86</v>
      </c>
      <c r="D203" s="6">
        <v>15659</v>
      </c>
      <c r="E203" s="6" t="s">
        <v>491</v>
      </c>
      <c r="F203" s="8"/>
      <c r="G203" s="8"/>
      <c r="H203" s="7" t="s">
        <v>245</v>
      </c>
      <c r="I203" s="7"/>
      <c r="J203" s="6" t="s">
        <v>75</v>
      </c>
      <c r="K203" s="9" t="s">
        <v>89</v>
      </c>
      <c r="L203" s="9" t="s">
        <v>49</v>
      </c>
      <c r="M203" s="8"/>
      <c r="N203" s="12"/>
      <c r="O203" s="10">
        <v>43861</v>
      </c>
      <c r="P203" s="9" t="s">
        <v>49</v>
      </c>
      <c r="Q203" s="9" t="s">
        <v>49</v>
      </c>
      <c r="R203" s="8"/>
      <c r="S203" s="8"/>
      <c r="T203" s="8"/>
      <c r="U203" s="8"/>
      <c r="V203" s="9" t="s">
        <v>49</v>
      </c>
      <c r="W203" s="9" t="s">
        <v>49</v>
      </c>
      <c r="X203" s="8"/>
      <c r="Y203" s="8"/>
      <c r="Z203" s="8"/>
      <c r="AA203" s="6">
        <v>0.13600000000000001</v>
      </c>
      <c r="AB203" s="6">
        <v>0.13600000000000001</v>
      </c>
      <c r="AC203" s="8"/>
      <c r="AD203" s="6">
        <v>0.13600000000000001</v>
      </c>
      <c r="AE203" s="8"/>
      <c r="AF203" s="6">
        <v>6.8000000000000005E-2</v>
      </c>
      <c r="AG203" s="6">
        <v>6.8000000000000005E-2</v>
      </c>
      <c r="AH203" s="7" t="s">
        <v>57</v>
      </c>
      <c r="AI203" s="6" t="s">
        <v>49</v>
      </c>
      <c r="AJ203" s="6" t="s">
        <v>49</v>
      </c>
      <c r="AK203" s="6" t="s">
        <v>49</v>
      </c>
      <c r="AL203" s="9" t="s">
        <v>49</v>
      </c>
      <c r="AM203" s="9" t="s">
        <v>52</v>
      </c>
      <c r="AN203" s="6" t="s">
        <v>49</v>
      </c>
      <c r="AO203" s="9" t="s">
        <v>492</v>
      </c>
      <c r="AP203" s="11">
        <v>0</v>
      </c>
      <c r="AQ203" s="11">
        <v>0</v>
      </c>
      <c r="AR203" s="11">
        <v>0</v>
      </c>
      <c r="AS203" s="11">
        <v>0</v>
      </c>
      <c r="AT203" s="11">
        <v>0</v>
      </c>
      <c r="AU203" s="11">
        <v>35</v>
      </c>
      <c r="AV203" s="11" t="s">
        <v>57</v>
      </c>
      <c r="AW203" t="s">
        <v>93</v>
      </c>
    </row>
    <row r="204" spans="1:49" ht="14.5" hidden="1">
      <c r="A204" s="6">
        <v>203</v>
      </c>
      <c r="B204" s="7" t="s">
        <v>493</v>
      </c>
      <c r="C204" s="7" t="s">
        <v>49</v>
      </c>
      <c r="D204" s="6">
        <v>15644</v>
      </c>
      <c r="E204" s="6" t="s">
        <v>49</v>
      </c>
      <c r="F204" s="12"/>
      <c r="G204" s="8"/>
      <c r="H204" s="7" t="s">
        <v>49</v>
      </c>
      <c r="I204" s="7"/>
      <c r="J204" s="6" t="s">
        <v>49</v>
      </c>
      <c r="K204" s="9" t="s">
        <v>49</v>
      </c>
      <c r="L204" s="9" t="s">
        <v>49</v>
      </c>
      <c r="M204" s="8"/>
      <c r="N204" s="12"/>
      <c r="O204" s="12"/>
      <c r="P204" s="9" t="s">
        <v>49</v>
      </c>
      <c r="Q204" s="9" t="s">
        <v>49</v>
      </c>
      <c r="R204" s="8"/>
      <c r="S204" s="8"/>
      <c r="T204" s="8"/>
      <c r="U204" s="8"/>
      <c r="V204" s="9" t="s">
        <v>49</v>
      </c>
      <c r="W204" s="9" t="s">
        <v>49</v>
      </c>
      <c r="X204" s="8"/>
      <c r="Y204" s="8"/>
      <c r="Z204" s="8"/>
      <c r="AA204" s="8"/>
      <c r="AB204" s="8"/>
      <c r="AC204" s="8"/>
      <c r="AD204" s="8"/>
      <c r="AE204" s="8"/>
      <c r="AF204" s="8"/>
      <c r="AG204" s="8"/>
      <c r="AH204" s="7" t="s">
        <v>57</v>
      </c>
      <c r="AI204" s="6" t="s">
        <v>49</v>
      </c>
      <c r="AJ204" s="6" t="s">
        <v>49</v>
      </c>
      <c r="AK204" s="6" t="s">
        <v>118</v>
      </c>
      <c r="AL204" s="9" t="s">
        <v>49</v>
      </c>
      <c r="AM204" s="9" t="s">
        <v>49</v>
      </c>
      <c r="AN204" s="6" t="s">
        <v>49</v>
      </c>
      <c r="AO204" s="9" t="s">
        <v>49</v>
      </c>
      <c r="AP204" s="11">
        <v>7248.8885899999996</v>
      </c>
      <c r="AQ204" s="11">
        <v>0</v>
      </c>
      <c r="AR204" s="11">
        <v>0</v>
      </c>
      <c r="AS204" s="11">
        <v>41681.266040000002</v>
      </c>
      <c r="AT204" s="11">
        <v>0</v>
      </c>
      <c r="AU204" s="11">
        <v>0</v>
      </c>
      <c r="AV204" s="11">
        <v>0</v>
      </c>
    </row>
    <row r="205" spans="1:49" ht="14.5" hidden="1">
      <c r="A205" s="6">
        <v>204</v>
      </c>
      <c r="B205" s="7" t="s">
        <v>494</v>
      </c>
      <c r="C205" s="7" t="s">
        <v>49</v>
      </c>
      <c r="D205" s="6">
        <v>15435</v>
      </c>
      <c r="E205" s="6" t="s">
        <v>49</v>
      </c>
      <c r="F205" s="8"/>
      <c r="G205" s="8"/>
      <c r="H205" s="7" t="s">
        <v>49</v>
      </c>
      <c r="I205" s="7"/>
      <c r="J205" s="6" t="s">
        <v>49</v>
      </c>
      <c r="K205" s="9" t="s">
        <v>49</v>
      </c>
      <c r="L205" s="9" t="s">
        <v>49</v>
      </c>
      <c r="M205" s="8"/>
      <c r="N205" s="10">
        <v>43514</v>
      </c>
      <c r="O205" s="10">
        <v>43798</v>
      </c>
      <c r="P205" s="9" t="s">
        <v>49</v>
      </c>
      <c r="Q205" s="9" t="s">
        <v>49</v>
      </c>
      <c r="R205" s="8"/>
      <c r="S205" s="8"/>
      <c r="T205" s="8"/>
      <c r="U205" s="8"/>
      <c r="V205" s="9" t="s">
        <v>49</v>
      </c>
      <c r="W205" s="9" t="s">
        <v>49</v>
      </c>
      <c r="X205" s="8"/>
      <c r="Y205" s="8"/>
      <c r="Z205" s="8"/>
      <c r="AA205" s="8"/>
      <c r="AB205" s="8"/>
      <c r="AC205" s="8"/>
      <c r="AD205" s="8"/>
      <c r="AE205" s="8"/>
      <c r="AF205" s="8"/>
      <c r="AG205" s="8"/>
      <c r="AH205" s="7" t="s">
        <v>57</v>
      </c>
      <c r="AI205" s="6" t="s">
        <v>71</v>
      </c>
      <c r="AJ205" s="6" t="s">
        <v>49</v>
      </c>
      <c r="AK205" s="6" t="s">
        <v>49</v>
      </c>
      <c r="AL205" s="9" t="s">
        <v>213</v>
      </c>
      <c r="AM205" s="9" t="s">
        <v>49</v>
      </c>
      <c r="AN205" s="6" t="s">
        <v>85</v>
      </c>
      <c r="AO205" s="9" t="s">
        <v>49</v>
      </c>
      <c r="AP205" s="11">
        <v>7248.8885899999996</v>
      </c>
      <c r="AQ205" s="11">
        <v>0</v>
      </c>
      <c r="AR205" s="11">
        <v>0</v>
      </c>
      <c r="AS205" s="11">
        <v>41681.266040000002</v>
      </c>
      <c r="AT205" s="11">
        <v>0</v>
      </c>
      <c r="AU205" s="11">
        <v>0</v>
      </c>
      <c r="AV205" s="11">
        <v>0</v>
      </c>
    </row>
    <row r="206" spans="1:49" ht="14.5" hidden="1">
      <c r="A206" s="6">
        <v>205</v>
      </c>
      <c r="B206" s="7" t="s">
        <v>494</v>
      </c>
      <c r="C206" s="7" t="s">
        <v>81</v>
      </c>
      <c r="D206" s="6">
        <v>15435</v>
      </c>
      <c r="E206" s="6" t="s">
        <v>495</v>
      </c>
      <c r="F206" s="8"/>
      <c r="G206" s="8"/>
      <c r="H206" s="7" t="s">
        <v>49</v>
      </c>
      <c r="I206" s="7"/>
      <c r="J206" s="6" t="s">
        <v>49</v>
      </c>
      <c r="K206" s="9" t="s">
        <v>49</v>
      </c>
      <c r="L206" s="9" t="s">
        <v>49</v>
      </c>
      <c r="M206" s="8"/>
      <c r="N206" s="10">
        <v>43514</v>
      </c>
      <c r="O206" s="10">
        <v>43798</v>
      </c>
      <c r="P206" s="9" t="s">
        <v>49</v>
      </c>
      <c r="Q206" s="9" t="s">
        <v>49</v>
      </c>
      <c r="R206" s="8"/>
      <c r="S206" s="8"/>
      <c r="T206" s="8"/>
      <c r="U206" s="8"/>
      <c r="V206" s="9" t="s">
        <v>49</v>
      </c>
      <c r="W206" s="9" t="s">
        <v>49</v>
      </c>
      <c r="X206" s="8"/>
      <c r="Y206" s="8"/>
      <c r="Z206" s="8"/>
      <c r="AA206" s="8"/>
      <c r="AB206" s="8"/>
      <c r="AC206" s="8"/>
      <c r="AD206" s="8"/>
      <c r="AE206" s="8"/>
      <c r="AF206" s="8"/>
      <c r="AG206" s="8"/>
      <c r="AH206" s="7" t="s">
        <v>51</v>
      </c>
      <c r="AI206" s="6" t="s">
        <v>49</v>
      </c>
      <c r="AJ206" s="6" t="s">
        <v>49</v>
      </c>
      <c r="AK206" s="6" t="s">
        <v>49</v>
      </c>
      <c r="AL206" s="9" t="s">
        <v>49</v>
      </c>
      <c r="AM206" s="9" t="s">
        <v>496</v>
      </c>
      <c r="AN206" s="6" t="s">
        <v>49</v>
      </c>
      <c r="AO206" s="9" t="s">
        <v>496</v>
      </c>
      <c r="AP206" s="11">
        <v>-0.26571</v>
      </c>
      <c r="AQ206" s="11">
        <v>-265.70999999999998</v>
      </c>
      <c r="AR206" s="11">
        <v>-265.70833333333337</v>
      </c>
      <c r="AS206" s="11">
        <v>47.768169999999998</v>
      </c>
      <c r="AT206" s="11">
        <v>-0.26571</v>
      </c>
      <c r="AU206" s="11">
        <v>0</v>
      </c>
      <c r="AV206" s="11" t="s">
        <v>51</v>
      </c>
    </row>
    <row r="207" spans="1:49" ht="14.5" hidden="1">
      <c r="A207" s="6">
        <v>206</v>
      </c>
      <c r="B207" s="7" t="s">
        <v>497</v>
      </c>
      <c r="C207" s="7" t="s">
        <v>49</v>
      </c>
      <c r="D207" s="6">
        <v>15063</v>
      </c>
      <c r="E207" s="6" t="s">
        <v>498</v>
      </c>
      <c r="F207" s="12"/>
      <c r="G207" s="8"/>
      <c r="H207" s="7" t="s">
        <v>49</v>
      </c>
      <c r="I207" s="7"/>
      <c r="J207" s="6" t="s">
        <v>49</v>
      </c>
      <c r="K207" s="9" t="s">
        <v>49</v>
      </c>
      <c r="L207" s="9" t="s">
        <v>49</v>
      </c>
      <c r="M207" s="8"/>
      <c r="N207" s="8"/>
      <c r="O207" s="10">
        <v>43098</v>
      </c>
      <c r="P207" s="9" t="s">
        <v>49</v>
      </c>
      <c r="Q207" s="9" t="s">
        <v>49</v>
      </c>
      <c r="R207" s="8"/>
      <c r="S207" s="8"/>
      <c r="T207" s="8"/>
      <c r="U207" s="8"/>
      <c r="V207" s="9" t="s">
        <v>49</v>
      </c>
      <c r="W207" s="9" t="s">
        <v>49</v>
      </c>
      <c r="X207" s="8"/>
      <c r="Y207" s="8"/>
      <c r="Z207" s="8"/>
      <c r="AA207" s="8"/>
      <c r="AB207" s="8"/>
      <c r="AC207" s="8"/>
      <c r="AD207" s="8"/>
      <c r="AE207" s="8"/>
      <c r="AF207" s="8"/>
      <c r="AG207" s="8"/>
      <c r="AH207" s="7" t="s">
        <v>51</v>
      </c>
      <c r="AI207" s="6" t="s">
        <v>49</v>
      </c>
      <c r="AJ207" s="6" t="s">
        <v>49</v>
      </c>
      <c r="AK207" s="6" t="s">
        <v>49</v>
      </c>
      <c r="AL207" s="9" t="s">
        <v>49</v>
      </c>
      <c r="AM207" s="9" t="s">
        <v>380</v>
      </c>
      <c r="AN207" s="6" t="s">
        <v>49</v>
      </c>
      <c r="AO207" s="9" t="s">
        <v>222</v>
      </c>
      <c r="AP207" s="11">
        <v>0</v>
      </c>
      <c r="AQ207" s="11">
        <v>0</v>
      </c>
      <c r="AR207" s="11">
        <v>0</v>
      </c>
      <c r="AS207" s="11">
        <v>0</v>
      </c>
      <c r="AT207" s="11">
        <v>0</v>
      </c>
      <c r="AU207" s="11">
        <v>0</v>
      </c>
      <c r="AV207" s="11" t="s">
        <v>51</v>
      </c>
    </row>
    <row r="208" spans="1:49" ht="14.5" hidden="1">
      <c r="A208" s="6">
        <v>207</v>
      </c>
      <c r="B208" s="7" t="s">
        <v>499</v>
      </c>
      <c r="C208" s="7" t="s">
        <v>49</v>
      </c>
      <c r="D208" s="6">
        <v>16014</v>
      </c>
      <c r="E208" s="6" t="s">
        <v>500</v>
      </c>
      <c r="F208" s="8"/>
      <c r="G208" s="8"/>
      <c r="H208" s="7" t="s">
        <v>49</v>
      </c>
      <c r="I208" s="7"/>
      <c r="J208" s="6" t="s">
        <v>49</v>
      </c>
      <c r="K208" s="9" t="s">
        <v>49</v>
      </c>
      <c r="L208" s="9" t="s">
        <v>49</v>
      </c>
      <c r="M208" s="8"/>
      <c r="N208" s="12"/>
      <c r="O208" s="10">
        <v>43525</v>
      </c>
      <c r="P208" s="9" t="s">
        <v>49</v>
      </c>
      <c r="Q208" s="9" t="s">
        <v>49</v>
      </c>
      <c r="R208" s="8"/>
      <c r="S208" s="8"/>
      <c r="T208" s="8"/>
      <c r="U208" s="8"/>
      <c r="V208" s="9" t="s">
        <v>49</v>
      </c>
      <c r="W208" s="9" t="s">
        <v>49</v>
      </c>
      <c r="X208" s="8"/>
      <c r="Y208" s="8"/>
      <c r="Z208" s="8"/>
      <c r="AA208" s="8"/>
      <c r="AB208" s="8"/>
      <c r="AC208" s="8"/>
      <c r="AD208" s="8"/>
      <c r="AE208" s="8"/>
      <c r="AF208" s="8"/>
      <c r="AG208" s="8"/>
      <c r="AH208" s="7" t="s">
        <v>57</v>
      </c>
      <c r="AI208" s="6" t="s">
        <v>49</v>
      </c>
      <c r="AJ208" s="6" t="s">
        <v>49</v>
      </c>
      <c r="AK208" s="6" t="s">
        <v>49</v>
      </c>
      <c r="AL208" s="9" t="s">
        <v>49</v>
      </c>
      <c r="AM208" s="9" t="s">
        <v>122</v>
      </c>
      <c r="AN208" s="6" t="s">
        <v>49</v>
      </c>
      <c r="AO208" s="9" t="s">
        <v>122</v>
      </c>
      <c r="AP208" s="11">
        <v>0</v>
      </c>
      <c r="AQ208" s="11">
        <v>0</v>
      </c>
      <c r="AR208" s="11">
        <v>0</v>
      </c>
      <c r="AS208" s="11">
        <v>0</v>
      </c>
      <c r="AT208" s="11">
        <v>0</v>
      </c>
      <c r="AU208" s="11">
        <v>0</v>
      </c>
      <c r="AV208" s="11" t="s">
        <v>57</v>
      </c>
    </row>
    <row r="209" spans="1:48" ht="14.5" hidden="1">
      <c r="A209" s="6">
        <v>208</v>
      </c>
      <c r="B209" s="7" t="s">
        <v>501</v>
      </c>
      <c r="C209" s="7" t="s">
        <v>49</v>
      </c>
      <c r="D209" s="6">
        <v>16014</v>
      </c>
      <c r="E209" s="6" t="s">
        <v>502</v>
      </c>
      <c r="F209" s="8"/>
      <c r="G209" s="8"/>
      <c r="H209" s="7" t="s">
        <v>49</v>
      </c>
      <c r="I209" s="7"/>
      <c r="J209" s="6" t="s">
        <v>49</v>
      </c>
      <c r="K209" s="9" t="s">
        <v>49</v>
      </c>
      <c r="L209" s="9" t="s">
        <v>49</v>
      </c>
      <c r="M209" s="8"/>
      <c r="N209" s="10">
        <v>43437</v>
      </c>
      <c r="O209" s="10">
        <v>44561</v>
      </c>
      <c r="P209" s="9" t="s">
        <v>49</v>
      </c>
      <c r="Q209" s="9" t="s">
        <v>49</v>
      </c>
      <c r="R209" s="8"/>
      <c r="S209" s="8"/>
      <c r="T209" s="8"/>
      <c r="U209" s="8"/>
      <c r="V209" s="9" t="s">
        <v>49</v>
      </c>
      <c r="W209" s="9" t="s">
        <v>49</v>
      </c>
      <c r="X209" s="8"/>
      <c r="Y209" s="8"/>
      <c r="Z209" s="8"/>
      <c r="AA209" s="8"/>
      <c r="AB209" s="8"/>
      <c r="AC209" s="8"/>
      <c r="AD209" s="8"/>
      <c r="AE209" s="8"/>
      <c r="AF209" s="8"/>
      <c r="AG209" s="8"/>
      <c r="AH209" s="7" t="s">
        <v>57</v>
      </c>
      <c r="AI209" s="6" t="s">
        <v>49</v>
      </c>
      <c r="AJ209" s="6" t="s">
        <v>49</v>
      </c>
      <c r="AK209" s="6" t="s">
        <v>49</v>
      </c>
      <c r="AL209" s="9" t="s">
        <v>49</v>
      </c>
      <c r="AM209" s="9" t="s">
        <v>122</v>
      </c>
      <c r="AN209" s="6" t="s">
        <v>49</v>
      </c>
      <c r="AO209" s="9" t="s">
        <v>122</v>
      </c>
      <c r="AP209" s="11">
        <v>167.30304999999998</v>
      </c>
      <c r="AQ209" s="11">
        <v>150330.04</v>
      </c>
      <c r="AR209" s="11">
        <v>150330.04</v>
      </c>
      <c r="AS209" s="11">
        <v>489.62342999999998</v>
      </c>
      <c r="AT209" s="11">
        <v>150.33004</v>
      </c>
      <c r="AU209" s="11">
        <v>0</v>
      </c>
      <c r="AV209" s="11" t="s">
        <v>57</v>
      </c>
    </row>
    <row r="210" spans="1:48" ht="14.5" hidden="1">
      <c r="A210" s="6">
        <v>209</v>
      </c>
      <c r="B210" s="7" t="s">
        <v>503</v>
      </c>
      <c r="C210" s="7" t="s">
        <v>49</v>
      </c>
      <c r="D210" s="6">
        <v>15437</v>
      </c>
      <c r="E210" s="6" t="s">
        <v>49</v>
      </c>
      <c r="F210" s="8"/>
      <c r="G210" s="8"/>
      <c r="H210" s="7" t="s">
        <v>49</v>
      </c>
      <c r="I210" s="7"/>
      <c r="J210" s="6" t="s">
        <v>49</v>
      </c>
      <c r="K210" s="9" t="s">
        <v>49</v>
      </c>
      <c r="L210" s="9" t="s">
        <v>49</v>
      </c>
      <c r="M210" s="8"/>
      <c r="N210" s="10">
        <v>43468</v>
      </c>
      <c r="O210" s="12"/>
      <c r="P210" s="9" t="s">
        <v>49</v>
      </c>
      <c r="Q210" s="9" t="s">
        <v>49</v>
      </c>
      <c r="R210" s="8"/>
      <c r="S210" s="8"/>
      <c r="T210" s="8"/>
      <c r="U210" s="8"/>
      <c r="V210" s="9" t="s">
        <v>49</v>
      </c>
      <c r="W210" s="9" t="s">
        <v>49</v>
      </c>
      <c r="X210" s="8"/>
      <c r="Y210" s="8"/>
      <c r="Z210" s="8"/>
      <c r="AA210" s="8"/>
      <c r="AB210" s="8"/>
      <c r="AC210" s="8"/>
      <c r="AD210" s="8"/>
      <c r="AE210" s="8"/>
      <c r="AF210" s="8"/>
      <c r="AG210" s="8"/>
      <c r="AH210" s="7" t="s">
        <v>57</v>
      </c>
      <c r="AI210" s="6" t="s">
        <v>71</v>
      </c>
      <c r="AJ210" s="6" t="s">
        <v>49</v>
      </c>
      <c r="AK210" s="6" t="s">
        <v>49</v>
      </c>
      <c r="AL210" s="9" t="s">
        <v>213</v>
      </c>
      <c r="AM210" s="9" t="s">
        <v>49</v>
      </c>
      <c r="AN210" s="6" t="s">
        <v>85</v>
      </c>
      <c r="AO210" s="9" t="s">
        <v>49</v>
      </c>
      <c r="AP210" s="11">
        <v>7248.8885899999996</v>
      </c>
      <c r="AQ210" s="11">
        <v>0</v>
      </c>
      <c r="AR210" s="11">
        <v>0</v>
      </c>
      <c r="AS210" s="11">
        <v>41681.266040000002</v>
      </c>
      <c r="AT210" s="11">
        <v>0</v>
      </c>
      <c r="AU210" s="11">
        <v>0</v>
      </c>
      <c r="AV210" s="11">
        <v>0</v>
      </c>
    </row>
    <row r="211" spans="1:48" ht="14.5" hidden="1">
      <c r="A211" s="6">
        <v>210</v>
      </c>
      <c r="B211" s="7" t="s">
        <v>503</v>
      </c>
      <c r="C211" s="7" t="s">
        <v>49</v>
      </c>
      <c r="D211" s="6">
        <v>15437</v>
      </c>
      <c r="E211" s="6" t="s">
        <v>504</v>
      </c>
      <c r="F211" s="8"/>
      <c r="G211" s="8"/>
      <c r="H211" s="7" t="s">
        <v>49</v>
      </c>
      <c r="I211" s="7"/>
      <c r="J211" s="6" t="s">
        <v>49</v>
      </c>
      <c r="K211" s="9" t="s">
        <v>49</v>
      </c>
      <c r="L211" s="9" t="s">
        <v>49</v>
      </c>
      <c r="M211" s="8"/>
      <c r="N211" s="10">
        <v>43468</v>
      </c>
      <c r="O211" s="8"/>
      <c r="P211" s="9" t="s">
        <v>49</v>
      </c>
      <c r="Q211" s="9" t="s">
        <v>49</v>
      </c>
      <c r="R211" s="8"/>
      <c r="S211" s="8"/>
      <c r="T211" s="8"/>
      <c r="U211" s="8"/>
      <c r="V211" s="9" t="s">
        <v>49</v>
      </c>
      <c r="W211" s="9" t="s">
        <v>49</v>
      </c>
      <c r="X211" s="8"/>
      <c r="Y211" s="8"/>
      <c r="Z211" s="8"/>
      <c r="AA211" s="8"/>
      <c r="AB211" s="8"/>
      <c r="AC211" s="8"/>
      <c r="AD211" s="8"/>
      <c r="AE211" s="8"/>
      <c r="AF211" s="8"/>
      <c r="AG211" s="8"/>
      <c r="AH211" s="7" t="s">
        <v>57</v>
      </c>
      <c r="AI211" s="6" t="s">
        <v>49</v>
      </c>
      <c r="AJ211" s="6" t="s">
        <v>49</v>
      </c>
      <c r="AK211" s="6" t="s">
        <v>49</v>
      </c>
      <c r="AL211" s="9" t="s">
        <v>49</v>
      </c>
      <c r="AM211" s="9" t="s">
        <v>213</v>
      </c>
      <c r="AN211" s="6" t="s">
        <v>49</v>
      </c>
      <c r="AO211" s="9" t="s">
        <v>213</v>
      </c>
      <c r="AP211" s="11">
        <v>0</v>
      </c>
      <c r="AQ211" s="11">
        <v>0</v>
      </c>
      <c r="AR211" s="11">
        <v>0</v>
      </c>
      <c r="AS211" s="11">
        <v>0</v>
      </c>
      <c r="AT211" s="11">
        <v>0</v>
      </c>
      <c r="AU211" s="11">
        <v>0</v>
      </c>
      <c r="AV211" s="11" t="s">
        <v>57</v>
      </c>
    </row>
    <row r="212" spans="1:48" ht="14.5" hidden="1">
      <c r="A212" s="6">
        <v>211</v>
      </c>
      <c r="B212" s="7" t="s">
        <v>505</v>
      </c>
      <c r="C212" s="7" t="s">
        <v>49</v>
      </c>
      <c r="D212" s="6">
        <v>12521</v>
      </c>
      <c r="E212" s="6" t="s">
        <v>506</v>
      </c>
      <c r="F212" s="8"/>
      <c r="G212" s="8"/>
      <c r="H212" s="7" t="s">
        <v>49</v>
      </c>
      <c r="I212" s="7"/>
      <c r="J212" s="6" t="s">
        <v>49</v>
      </c>
      <c r="K212" s="9" t="s">
        <v>49</v>
      </c>
      <c r="L212" s="9" t="s">
        <v>49</v>
      </c>
      <c r="M212" s="8"/>
      <c r="N212" s="10">
        <v>42795</v>
      </c>
      <c r="O212" s="10">
        <v>44651</v>
      </c>
      <c r="P212" s="9" t="s">
        <v>49</v>
      </c>
      <c r="Q212" s="9" t="s">
        <v>49</v>
      </c>
      <c r="R212" s="8"/>
      <c r="S212" s="8"/>
      <c r="T212" s="8"/>
      <c r="U212" s="8"/>
      <c r="V212" s="9" t="s">
        <v>49</v>
      </c>
      <c r="W212" s="9" t="s">
        <v>49</v>
      </c>
      <c r="X212" s="8"/>
      <c r="Y212" s="8"/>
      <c r="Z212" s="8"/>
      <c r="AA212" s="8"/>
      <c r="AB212" s="8"/>
      <c r="AC212" s="8"/>
      <c r="AD212" s="8"/>
      <c r="AE212" s="8"/>
      <c r="AF212" s="8"/>
      <c r="AG212" s="8"/>
      <c r="AH212" s="7" t="s">
        <v>51</v>
      </c>
      <c r="AI212" s="6" t="s">
        <v>49</v>
      </c>
      <c r="AJ212" s="6" t="s">
        <v>49</v>
      </c>
      <c r="AK212" s="6" t="s">
        <v>49</v>
      </c>
      <c r="AL212" s="9" t="s">
        <v>49</v>
      </c>
      <c r="AM212" s="9" t="s">
        <v>122</v>
      </c>
      <c r="AN212" s="6" t="s">
        <v>49</v>
      </c>
      <c r="AO212" s="9" t="s">
        <v>320</v>
      </c>
      <c r="AP212" s="11">
        <v>0</v>
      </c>
      <c r="AQ212" s="11">
        <v>0</v>
      </c>
      <c r="AR212" s="11">
        <v>0</v>
      </c>
      <c r="AS212" s="11">
        <v>0</v>
      </c>
      <c r="AT212" s="11">
        <v>0</v>
      </c>
      <c r="AU212" s="11">
        <v>0</v>
      </c>
      <c r="AV212" s="11" t="s">
        <v>51</v>
      </c>
    </row>
    <row r="213" spans="1:48" ht="14.5" hidden="1">
      <c r="A213" s="6">
        <v>212</v>
      </c>
      <c r="B213" s="7" t="s">
        <v>507</v>
      </c>
      <c r="C213" s="7" t="s">
        <v>49</v>
      </c>
      <c r="D213" s="6">
        <v>15067</v>
      </c>
      <c r="E213" s="6" t="s">
        <v>49</v>
      </c>
      <c r="F213" s="8"/>
      <c r="G213" s="8"/>
      <c r="H213" s="7" t="s">
        <v>49</v>
      </c>
      <c r="I213" s="7"/>
      <c r="J213" s="6" t="s">
        <v>49</v>
      </c>
      <c r="K213" s="9" t="s">
        <v>49</v>
      </c>
      <c r="L213" s="9" t="s">
        <v>49</v>
      </c>
      <c r="M213" s="8"/>
      <c r="N213" s="10">
        <v>42947</v>
      </c>
      <c r="O213" s="10">
        <v>44196</v>
      </c>
      <c r="P213" s="9" t="s">
        <v>49</v>
      </c>
      <c r="Q213" s="9" t="s">
        <v>49</v>
      </c>
      <c r="R213" s="8"/>
      <c r="S213" s="8"/>
      <c r="T213" s="8"/>
      <c r="U213" s="8"/>
      <c r="V213" s="9" t="s">
        <v>49</v>
      </c>
      <c r="W213" s="9" t="s">
        <v>49</v>
      </c>
      <c r="X213" s="8"/>
      <c r="Y213" s="8"/>
      <c r="Z213" s="8"/>
      <c r="AA213" s="8"/>
      <c r="AB213" s="8"/>
      <c r="AC213" s="8"/>
      <c r="AD213" s="8"/>
      <c r="AE213" s="8"/>
      <c r="AF213" s="8"/>
      <c r="AG213" s="8"/>
      <c r="AH213" s="7" t="s">
        <v>51</v>
      </c>
      <c r="AI213" s="6" t="s">
        <v>71</v>
      </c>
      <c r="AJ213" s="6" t="s">
        <v>49</v>
      </c>
      <c r="AK213" s="6" t="s">
        <v>49</v>
      </c>
      <c r="AL213" s="9" t="s">
        <v>221</v>
      </c>
      <c r="AM213" s="9" t="s">
        <v>49</v>
      </c>
      <c r="AN213" s="6" t="s">
        <v>96</v>
      </c>
      <c r="AO213" s="9" t="s">
        <v>49</v>
      </c>
      <c r="AP213" s="11">
        <v>7248.8885899999996</v>
      </c>
      <c r="AQ213" s="11">
        <v>0</v>
      </c>
      <c r="AR213" s="11">
        <v>0</v>
      </c>
      <c r="AS213" s="11">
        <v>41681.266040000002</v>
      </c>
      <c r="AT213" s="11">
        <v>0</v>
      </c>
      <c r="AU213" s="11">
        <v>0</v>
      </c>
      <c r="AV213" s="11">
        <v>0</v>
      </c>
    </row>
    <row r="214" spans="1:48" ht="14.5" hidden="1">
      <c r="A214" s="6">
        <v>213</v>
      </c>
      <c r="B214" s="7" t="s">
        <v>507</v>
      </c>
      <c r="C214" s="7" t="s">
        <v>49</v>
      </c>
      <c r="D214" s="6">
        <v>15067</v>
      </c>
      <c r="E214" s="6" t="s">
        <v>508</v>
      </c>
      <c r="F214" s="8"/>
      <c r="G214" s="8"/>
      <c r="H214" s="7" t="s">
        <v>49</v>
      </c>
      <c r="I214" s="7"/>
      <c r="J214" s="6" t="s">
        <v>49</v>
      </c>
      <c r="K214" s="9" t="s">
        <v>49</v>
      </c>
      <c r="L214" s="9" t="s">
        <v>49</v>
      </c>
      <c r="M214" s="12"/>
      <c r="N214" s="10">
        <v>43283</v>
      </c>
      <c r="O214" s="10">
        <v>43831</v>
      </c>
      <c r="P214" s="9" t="s">
        <v>49</v>
      </c>
      <c r="Q214" s="9" t="s">
        <v>49</v>
      </c>
      <c r="R214" s="8"/>
      <c r="S214" s="8"/>
      <c r="T214" s="8"/>
      <c r="U214" s="8"/>
      <c r="V214" s="9" t="s">
        <v>49</v>
      </c>
      <c r="W214" s="9" t="s">
        <v>49</v>
      </c>
      <c r="X214" s="8"/>
      <c r="Y214" s="8"/>
      <c r="Z214" s="8"/>
      <c r="AA214" s="8"/>
      <c r="AB214" s="8"/>
      <c r="AC214" s="8"/>
      <c r="AD214" s="8"/>
      <c r="AE214" s="8"/>
      <c r="AF214" s="8"/>
      <c r="AG214" s="8"/>
      <c r="AH214" s="7" t="s">
        <v>51</v>
      </c>
      <c r="AI214" s="6" t="s">
        <v>49</v>
      </c>
      <c r="AJ214" s="6" t="s">
        <v>49</v>
      </c>
      <c r="AK214" s="6" t="s">
        <v>49</v>
      </c>
      <c r="AL214" s="9" t="s">
        <v>49</v>
      </c>
      <c r="AM214" s="9" t="s">
        <v>221</v>
      </c>
      <c r="AN214" s="6" t="s">
        <v>49</v>
      </c>
      <c r="AO214" s="9" t="s">
        <v>221</v>
      </c>
      <c r="AP214" s="11">
        <v>0</v>
      </c>
      <c r="AQ214" s="11">
        <v>0</v>
      </c>
      <c r="AR214" s="11">
        <v>0</v>
      </c>
      <c r="AS214" s="11">
        <v>0</v>
      </c>
      <c r="AT214" s="11">
        <v>0</v>
      </c>
      <c r="AU214" s="11">
        <v>0</v>
      </c>
      <c r="AV214" s="11" t="s">
        <v>51</v>
      </c>
    </row>
    <row r="215" spans="1:48" ht="14.5" hidden="1">
      <c r="A215" s="6">
        <v>214</v>
      </c>
      <c r="B215" s="7" t="s">
        <v>509</v>
      </c>
      <c r="C215" s="7" t="s">
        <v>49</v>
      </c>
      <c r="D215" s="6">
        <v>15067</v>
      </c>
      <c r="E215" s="6" t="s">
        <v>510</v>
      </c>
      <c r="F215" s="8"/>
      <c r="G215" s="8"/>
      <c r="H215" s="7" t="s">
        <v>49</v>
      </c>
      <c r="I215" s="7"/>
      <c r="J215" s="6" t="s">
        <v>49</v>
      </c>
      <c r="K215" s="9" t="s">
        <v>49</v>
      </c>
      <c r="L215" s="9" t="s">
        <v>49</v>
      </c>
      <c r="M215" s="12"/>
      <c r="N215" s="10">
        <v>42999</v>
      </c>
      <c r="O215" s="10">
        <v>43858</v>
      </c>
      <c r="P215" s="9" t="s">
        <v>49</v>
      </c>
      <c r="Q215" s="9" t="s">
        <v>49</v>
      </c>
      <c r="R215" s="8"/>
      <c r="S215" s="8"/>
      <c r="T215" s="8"/>
      <c r="U215" s="8"/>
      <c r="V215" s="9" t="s">
        <v>49</v>
      </c>
      <c r="W215" s="9" t="s">
        <v>49</v>
      </c>
      <c r="X215" s="8"/>
      <c r="Y215" s="8"/>
      <c r="Z215" s="8"/>
      <c r="AA215" s="8"/>
      <c r="AB215" s="8"/>
      <c r="AC215" s="8"/>
      <c r="AD215" s="8"/>
      <c r="AE215" s="8"/>
      <c r="AF215" s="8"/>
      <c r="AG215" s="8"/>
      <c r="AH215" s="7" t="s">
        <v>51</v>
      </c>
      <c r="AI215" s="6" t="s">
        <v>49</v>
      </c>
      <c r="AJ215" s="6" t="s">
        <v>49</v>
      </c>
      <c r="AK215" s="6" t="s">
        <v>49</v>
      </c>
      <c r="AL215" s="9" t="s">
        <v>49</v>
      </c>
      <c r="AM215" s="9" t="s">
        <v>221</v>
      </c>
      <c r="AN215" s="6" t="s">
        <v>49</v>
      </c>
      <c r="AO215" s="9" t="s">
        <v>159</v>
      </c>
      <c r="AP215" s="11">
        <v>0</v>
      </c>
      <c r="AQ215" s="11">
        <v>0</v>
      </c>
      <c r="AR215" s="11">
        <v>0</v>
      </c>
      <c r="AS215" s="11">
        <v>0</v>
      </c>
      <c r="AT215" s="11">
        <v>0</v>
      </c>
      <c r="AU215" s="11">
        <v>0</v>
      </c>
      <c r="AV215" s="11" t="s">
        <v>51</v>
      </c>
    </row>
    <row r="216" spans="1:48" ht="14.5" hidden="1">
      <c r="A216" s="6">
        <v>215</v>
      </c>
      <c r="B216" s="7" t="s">
        <v>511</v>
      </c>
      <c r="C216" s="7" t="s">
        <v>512</v>
      </c>
      <c r="D216" s="8"/>
      <c r="E216" s="6" t="s">
        <v>104</v>
      </c>
      <c r="F216" s="8"/>
      <c r="G216" s="8"/>
      <c r="H216" s="7" t="s">
        <v>49</v>
      </c>
      <c r="I216" s="7"/>
      <c r="J216" s="6" t="s">
        <v>49</v>
      </c>
      <c r="K216" s="9" t="s">
        <v>49</v>
      </c>
      <c r="L216" s="9" t="s">
        <v>49</v>
      </c>
      <c r="M216" s="26">
        <v>150</v>
      </c>
      <c r="N216" s="8"/>
      <c r="O216" s="8"/>
      <c r="P216" s="9" t="s">
        <v>49</v>
      </c>
      <c r="Q216" s="9" t="s">
        <v>49</v>
      </c>
      <c r="R216" s="8"/>
      <c r="S216" s="8"/>
      <c r="T216" s="8"/>
      <c r="U216" s="8"/>
      <c r="V216" s="9" t="s">
        <v>49</v>
      </c>
      <c r="W216" s="9" t="s">
        <v>49</v>
      </c>
      <c r="X216" s="8"/>
      <c r="Y216" s="8"/>
      <c r="Z216" s="8"/>
      <c r="AA216" s="8"/>
      <c r="AB216" s="8"/>
      <c r="AC216" s="8"/>
      <c r="AD216" s="8"/>
      <c r="AE216" s="8"/>
      <c r="AF216" s="8"/>
      <c r="AG216" s="8"/>
      <c r="AH216" s="7" t="s">
        <v>49</v>
      </c>
      <c r="AI216" s="6" t="s">
        <v>49</v>
      </c>
      <c r="AJ216" s="6" t="s">
        <v>49</v>
      </c>
      <c r="AK216" s="6" t="s">
        <v>49</v>
      </c>
      <c r="AL216" s="9" t="s">
        <v>49</v>
      </c>
      <c r="AM216" s="9" t="s">
        <v>49</v>
      </c>
      <c r="AN216" s="6" t="s">
        <v>49</v>
      </c>
      <c r="AO216" s="9" t="s">
        <v>49</v>
      </c>
      <c r="AP216" s="11">
        <v>0</v>
      </c>
      <c r="AQ216" s="11">
        <v>0</v>
      </c>
      <c r="AR216" s="11">
        <v>0</v>
      </c>
      <c r="AS216" s="11">
        <v>0</v>
      </c>
      <c r="AT216" s="11">
        <v>0</v>
      </c>
      <c r="AU216" s="11">
        <v>0</v>
      </c>
      <c r="AV216" s="11">
        <v>0</v>
      </c>
    </row>
    <row r="217" spans="1:48" ht="14.5" hidden="1">
      <c r="A217" s="6">
        <v>216</v>
      </c>
      <c r="B217" s="7" t="s">
        <v>513</v>
      </c>
      <c r="C217" s="7" t="s">
        <v>49</v>
      </c>
      <c r="D217" s="6">
        <v>15644</v>
      </c>
      <c r="E217" s="6" t="s">
        <v>49</v>
      </c>
      <c r="F217" s="12"/>
      <c r="G217" s="8"/>
      <c r="H217" s="7" t="s">
        <v>49</v>
      </c>
      <c r="I217" s="7"/>
      <c r="J217" s="6" t="s">
        <v>49</v>
      </c>
      <c r="K217" s="9" t="s">
        <v>49</v>
      </c>
      <c r="L217" s="9" t="s">
        <v>49</v>
      </c>
      <c r="M217" s="12"/>
      <c r="N217" s="12"/>
      <c r="O217" s="12"/>
      <c r="P217" s="9" t="s">
        <v>49</v>
      </c>
      <c r="Q217" s="9" t="s">
        <v>49</v>
      </c>
      <c r="R217" s="12"/>
      <c r="S217" s="12"/>
      <c r="T217" s="12"/>
      <c r="U217" s="12"/>
      <c r="V217" s="9" t="s">
        <v>49</v>
      </c>
      <c r="W217" s="9" t="s">
        <v>49</v>
      </c>
      <c r="X217" s="8"/>
      <c r="Y217" s="12"/>
      <c r="Z217" s="8"/>
      <c r="AA217" s="8"/>
      <c r="AB217" s="12"/>
      <c r="AC217" s="8"/>
      <c r="AD217" s="12"/>
      <c r="AE217" s="12"/>
      <c r="AF217" s="8"/>
      <c r="AG217" s="12"/>
      <c r="AH217" s="7" t="s">
        <v>79</v>
      </c>
      <c r="AI217" s="6" t="s">
        <v>110</v>
      </c>
      <c r="AJ217" s="6" t="s">
        <v>49</v>
      </c>
      <c r="AK217" s="6" t="s">
        <v>49</v>
      </c>
      <c r="AL217" s="9" t="s">
        <v>111</v>
      </c>
      <c r="AM217" s="9" t="s">
        <v>49</v>
      </c>
      <c r="AN217" s="6" t="s">
        <v>82</v>
      </c>
      <c r="AO217" s="9" t="s">
        <v>49</v>
      </c>
      <c r="AP217" s="11">
        <v>7248.8885899999996</v>
      </c>
      <c r="AQ217" s="11">
        <v>0</v>
      </c>
      <c r="AR217" s="11">
        <v>0</v>
      </c>
      <c r="AS217" s="11">
        <v>41681.266040000002</v>
      </c>
      <c r="AT217" s="11">
        <v>0</v>
      </c>
      <c r="AU217" s="11">
        <v>0</v>
      </c>
      <c r="AV217" s="11">
        <v>0</v>
      </c>
    </row>
    <row r="218" spans="1:48" ht="14.5" hidden="1">
      <c r="A218" s="6">
        <v>217</v>
      </c>
      <c r="B218" s="7" t="s">
        <v>514</v>
      </c>
      <c r="C218" s="7" t="s">
        <v>49</v>
      </c>
      <c r="D218" s="6">
        <v>15599</v>
      </c>
      <c r="E218" s="6" t="s">
        <v>515</v>
      </c>
      <c r="F218" s="8"/>
      <c r="G218" s="8"/>
      <c r="H218" s="7" t="s">
        <v>49</v>
      </c>
      <c r="I218" s="7"/>
      <c r="J218" s="6" t="s">
        <v>49</v>
      </c>
      <c r="K218" s="9" t="s">
        <v>49</v>
      </c>
      <c r="L218" s="9" t="s">
        <v>49</v>
      </c>
      <c r="M218" s="8"/>
      <c r="N218" s="12"/>
      <c r="O218" s="10">
        <v>43525</v>
      </c>
      <c r="P218" s="9" t="s">
        <v>49</v>
      </c>
      <c r="Q218" s="9" t="s">
        <v>49</v>
      </c>
      <c r="R218" s="8"/>
      <c r="S218" s="8"/>
      <c r="T218" s="8"/>
      <c r="U218" s="8"/>
      <c r="V218" s="9" t="s">
        <v>49</v>
      </c>
      <c r="W218" s="9" t="s">
        <v>49</v>
      </c>
      <c r="X218" s="8"/>
      <c r="Y218" s="8"/>
      <c r="Z218" s="8"/>
      <c r="AA218" s="8"/>
      <c r="AB218" s="8"/>
      <c r="AC218" s="8"/>
      <c r="AD218" s="8"/>
      <c r="AE218" s="8"/>
      <c r="AF218" s="8"/>
      <c r="AG218" s="8"/>
      <c r="AH218" s="7" t="s">
        <v>57</v>
      </c>
      <c r="AI218" s="6" t="s">
        <v>49</v>
      </c>
      <c r="AJ218" s="6" t="s">
        <v>49</v>
      </c>
      <c r="AK218" s="6" t="s">
        <v>49</v>
      </c>
      <c r="AL218" s="9" t="s">
        <v>49</v>
      </c>
      <c r="AM218" s="9" t="s">
        <v>343</v>
      </c>
      <c r="AN218" s="6" t="s">
        <v>49</v>
      </c>
      <c r="AO218" s="9" t="s">
        <v>343</v>
      </c>
      <c r="AP218" s="11">
        <v>0</v>
      </c>
      <c r="AQ218" s="11">
        <v>0</v>
      </c>
      <c r="AR218" s="11">
        <v>0</v>
      </c>
      <c r="AS218" s="11">
        <v>0</v>
      </c>
      <c r="AT218" s="11">
        <v>0</v>
      </c>
      <c r="AU218" s="11">
        <v>0</v>
      </c>
      <c r="AV218" s="11" t="s">
        <v>57</v>
      </c>
    </row>
    <row r="219" spans="1:48" ht="14.5" hidden="1">
      <c r="A219" s="6">
        <v>218</v>
      </c>
      <c r="B219" s="7" t="s">
        <v>516</v>
      </c>
      <c r="C219" s="7" t="s">
        <v>49</v>
      </c>
      <c r="D219" s="6">
        <v>15441</v>
      </c>
      <c r="E219" s="6" t="s">
        <v>517</v>
      </c>
      <c r="F219" s="12"/>
      <c r="G219" s="8"/>
      <c r="H219" s="7" t="s">
        <v>49</v>
      </c>
      <c r="I219" s="7"/>
      <c r="J219" s="6" t="s">
        <v>49</v>
      </c>
      <c r="K219" s="9" t="s">
        <v>49</v>
      </c>
      <c r="L219" s="9" t="s">
        <v>49</v>
      </c>
      <c r="M219" s="8"/>
      <c r="N219" s="12"/>
      <c r="O219" s="12"/>
      <c r="P219" s="9" t="s">
        <v>49</v>
      </c>
      <c r="Q219" s="9" t="s">
        <v>49</v>
      </c>
      <c r="R219" s="8"/>
      <c r="S219" s="8"/>
      <c r="T219" s="8"/>
      <c r="U219" s="8"/>
      <c r="V219" s="9" t="s">
        <v>49</v>
      </c>
      <c r="W219" s="9" t="s">
        <v>49</v>
      </c>
      <c r="X219" s="8"/>
      <c r="Y219" s="8"/>
      <c r="Z219" s="8"/>
      <c r="AA219" s="12"/>
      <c r="AB219" s="12"/>
      <c r="AC219" s="12"/>
      <c r="AD219" s="12"/>
      <c r="AE219" s="8"/>
      <c r="AF219" s="12"/>
      <c r="AG219" s="12"/>
      <c r="AH219" s="7" t="s">
        <v>79</v>
      </c>
      <c r="AI219" s="6" t="s">
        <v>49</v>
      </c>
      <c r="AJ219" s="6" t="s">
        <v>49</v>
      </c>
      <c r="AK219" s="6" t="s">
        <v>49</v>
      </c>
      <c r="AL219" s="9" t="s">
        <v>49</v>
      </c>
      <c r="AM219" s="9" t="s">
        <v>518</v>
      </c>
      <c r="AN219" s="6" t="s">
        <v>49</v>
      </c>
      <c r="AO219" s="9" t="s">
        <v>518</v>
      </c>
      <c r="AP219" s="11">
        <v>0</v>
      </c>
      <c r="AQ219" s="11">
        <v>0</v>
      </c>
      <c r="AR219" s="11">
        <v>0</v>
      </c>
      <c r="AS219" s="11">
        <v>0</v>
      </c>
      <c r="AT219" s="11">
        <v>0</v>
      </c>
      <c r="AU219" s="11">
        <v>0</v>
      </c>
      <c r="AV219" s="11" t="s">
        <v>79</v>
      </c>
    </row>
    <row r="220" spans="1:48" ht="14.5" hidden="1">
      <c r="A220" s="6">
        <v>219</v>
      </c>
      <c r="B220" s="7" t="s">
        <v>519</v>
      </c>
      <c r="C220" s="7" t="s">
        <v>49</v>
      </c>
      <c r="D220" s="6">
        <v>12649</v>
      </c>
      <c r="E220" s="6" t="s">
        <v>49</v>
      </c>
      <c r="F220" s="8"/>
      <c r="G220" s="8"/>
      <c r="H220" s="7" t="s">
        <v>49</v>
      </c>
      <c r="I220" s="7"/>
      <c r="J220" s="6" t="s">
        <v>49</v>
      </c>
      <c r="K220" s="9" t="s">
        <v>49</v>
      </c>
      <c r="L220" s="9" t="s">
        <v>49</v>
      </c>
      <c r="M220" s="8"/>
      <c r="N220" s="10">
        <v>42982</v>
      </c>
      <c r="O220" s="10">
        <v>44561</v>
      </c>
      <c r="P220" s="9" t="s">
        <v>49</v>
      </c>
      <c r="Q220" s="9" t="s">
        <v>49</v>
      </c>
      <c r="R220" s="8"/>
      <c r="S220" s="8"/>
      <c r="T220" s="8"/>
      <c r="U220" s="8"/>
      <c r="V220" s="9" t="s">
        <v>49</v>
      </c>
      <c r="W220" s="9" t="s">
        <v>49</v>
      </c>
      <c r="X220" s="8"/>
      <c r="Y220" s="8"/>
      <c r="Z220" s="8"/>
      <c r="AA220" s="8"/>
      <c r="AB220" s="8"/>
      <c r="AC220" s="8"/>
      <c r="AD220" s="8"/>
      <c r="AE220" s="8"/>
      <c r="AF220" s="8"/>
      <c r="AG220" s="8"/>
      <c r="AH220" s="7" t="s">
        <v>51</v>
      </c>
      <c r="AI220" s="6" t="s">
        <v>71</v>
      </c>
      <c r="AJ220" s="6" t="s">
        <v>49</v>
      </c>
      <c r="AK220" s="6" t="s">
        <v>520</v>
      </c>
      <c r="AL220" s="9" t="s">
        <v>521</v>
      </c>
      <c r="AM220" s="9" t="s">
        <v>49</v>
      </c>
      <c r="AN220" s="6" t="s">
        <v>96</v>
      </c>
      <c r="AO220" s="9" t="s">
        <v>49</v>
      </c>
      <c r="AP220" s="11">
        <v>7248.8885899999996</v>
      </c>
      <c r="AQ220" s="11">
        <v>0</v>
      </c>
      <c r="AR220" s="11">
        <v>0</v>
      </c>
      <c r="AS220" s="11">
        <v>41681.266040000002</v>
      </c>
      <c r="AT220" s="11">
        <v>0</v>
      </c>
      <c r="AU220" s="11">
        <v>0</v>
      </c>
      <c r="AV220" s="11">
        <v>0</v>
      </c>
    </row>
    <row r="221" spans="1:48" ht="14.5" hidden="1">
      <c r="A221" s="6">
        <v>220</v>
      </c>
      <c r="B221" s="7" t="s">
        <v>522</v>
      </c>
      <c r="C221" s="7" t="s">
        <v>49</v>
      </c>
      <c r="D221" s="6">
        <v>12649</v>
      </c>
      <c r="E221" s="6" t="s">
        <v>523</v>
      </c>
      <c r="F221" s="8"/>
      <c r="G221" s="8"/>
      <c r="H221" s="7" t="s">
        <v>49</v>
      </c>
      <c r="I221" s="7"/>
      <c r="J221" s="6" t="s">
        <v>49</v>
      </c>
      <c r="K221" s="9" t="s">
        <v>49</v>
      </c>
      <c r="L221" s="9" t="s">
        <v>49</v>
      </c>
      <c r="M221" s="12"/>
      <c r="N221" s="10">
        <v>42982</v>
      </c>
      <c r="O221" s="10">
        <v>44561</v>
      </c>
      <c r="P221" s="9" t="s">
        <v>49</v>
      </c>
      <c r="Q221" s="9" t="s">
        <v>49</v>
      </c>
      <c r="R221" s="8"/>
      <c r="S221" s="8"/>
      <c r="T221" s="8"/>
      <c r="U221" s="8"/>
      <c r="V221" s="9" t="s">
        <v>49</v>
      </c>
      <c r="W221" s="9" t="s">
        <v>49</v>
      </c>
      <c r="X221" s="8"/>
      <c r="Y221" s="8"/>
      <c r="Z221" s="8"/>
      <c r="AA221" s="8"/>
      <c r="AB221" s="8"/>
      <c r="AC221" s="8"/>
      <c r="AD221" s="8"/>
      <c r="AE221" s="8"/>
      <c r="AF221" s="8"/>
      <c r="AG221" s="8"/>
      <c r="AH221" s="7" t="s">
        <v>57</v>
      </c>
      <c r="AI221" s="6" t="s">
        <v>49</v>
      </c>
      <c r="AJ221" s="6" t="s">
        <v>49</v>
      </c>
      <c r="AK221" s="6" t="s">
        <v>49</v>
      </c>
      <c r="AL221" s="9" t="s">
        <v>49</v>
      </c>
      <c r="AM221" s="9" t="s">
        <v>524</v>
      </c>
      <c r="AN221" s="6" t="s">
        <v>49</v>
      </c>
      <c r="AO221" s="9" t="s">
        <v>524</v>
      </c>
      <c r="AP221" s="11">
        <v>0</v>
      </c>
      <c r="AQ221" s="11">
        <v>0</v>
      </c>
      <c r="AR221" s="11">
        <v>0</v>
      </c>
      <c r="AS221" s="11">
        <v>0</v>
      </c>
      <c r="AT221" s="11">
        <v>0</v>
      </c>
      <c r="AU221" s="11">
        <v>0</v>
      </c>
      <c r="AV221" s="11" t="s">
        <v>57</v>
      </c>
    </row>
    <row r="222" spans="1:48" ht="14.5" hidden="1">
      <c r="A222" s="6">
        <v>221</v>
      </c>
      <c r="B222" s="7" t="s">
        <v>525</v>
      </c>
      <c r="C222" s="7" t="s">
        <v>49</v>
      </c>
      <c r="D222" s="6">
        <v>12649</v>
      </c>
      <c r="E222" s="6" t="s">
        <v>526</v>
      </c>
      <c r="F222" s="12"/>
      <c r="G222" s="8"/>
      <c r="H222" s="7" t="s">
        <v>49</v>
      </c>
      <c r="I222" s="7"/>
      <c r="J222" s="6" t="s">
        <v>49</v>
      </c>
      <c r="K222" s="9" t="s">
        <v>49</v>
      </c>
      <c r="L222" s="9" t="s">
        <v>49</v>
      </c>
      <c r="M222" s="8"/>
      <c r="N222" s="12"/>
      <c r="O222" s="10">
        <v>44561</v>
      </c>
      <c r="P222" s="9" t="s">
        <v>49</v>
      </c>
      <c r="Q222" s="9" t="s">
        <v>49</v>
      </c>
      <c r="R222" s="8"/>
      <c r="S222" s="8"/>
      <c r="T222" s="8"/>
      <c r="U222" s="8"/>
      <c r="V222" s="9" t="s">
        <v>49</v>
      </c>
      <c r="W222" s="9" t="s">
        <v>49</v>
      </c>
      <c r="X222" s="8"/>
      <c r="Y222" s="8"/>
      <c r="Z222" s="12"/>
      <c r="AA222" s="8"/>
      <c r="AB222" s="12"/>
      <c r="AC222" s="8"/>
      <c r="AD222" s="12"/>
      <c r="AE222" s="12"/>
      <c r="AF222" s="8"/>
      <c r="AG222" s="12"/>
      <c r="AH222" s="7" t="s">
        <v>57</v>
      </c>
      <c r="AI222" s="6" t="s">
        <v>49</v>
      </c>
      <c r="AJ222" s="6" t="s">
        <v>49</v>
      </c>
      <c r="AK222" s="6" t="s">
        <v>49</v>
      </c>
      <c r="AL222" s="9" t="s">
        <v>49</v>
      </c>
      <c r="AM222" s="9" t="s">
        <v>524</v>
      </c>
      <c r="AN222" s="6" t="s">
        <v>49</v>
      </c>
      <c r="AO222" s="9" t="s">
        <v>524</v>
      </c>
      <c r="AP222" s="11">
        <v>0</v>
      </c>
      <c r="AQ222" s="11">
        <v>0</v>
      </c>
      <c r="AR222" s="11">
        <v>0</v>
      </c>
      <c r="AS222" s="11">
        <v>0</v>
      </c>
      <c r="AT222" s="11">
        <v>0</v>
      </c>
      <c r="AU222" s="11">
        <v>0</v>
      </c>
      <c r="AV222" s="11" t="s">
        <v>57</v>
      </c>
    </row>
    <row r="223" spans="1:48" ht="14.5" hidden="1">
      <c r="A223" s="6">
        <v>222</v>
      </c>
      <c r="B223" s="7" t="s">
        <v>527</v>
      </c>
      <c r="C223" s="7" t="s">
        <v>49</v>
      </c>
      <c r="D223" s="6">
        <v>12649</v>
      </c>
      <c r="E223" s="6" t="s">
        <v>528</v>
      </c>
      <c r="F223" s="8"/>
      <c r="G223" s="8"/>
      <c r="H223" s="7" t="s">
        <v>49</v>
      </c>
      <c r="I223" s="7"/>
      <c r="J223" s="6" t="s">
        <v>49</v>
      </c>
      <c r="K223" s="9" t="s">
        <v>49</v>
      </c>
      <c r="L223" s="9" t="s">
        <v>49</v>
      </c>
      <c r="M223" s="8"/>
      <c r="N223" s="12"/>
      <c r="O223" s="10">
        <v>44561</v>
      </c>
      <c r="P223" s="9" t="s">
        <v>49</v>
      </c>
      <c r="Q223" s="9" t="s">
        <v>49</v>
      </c>
      <c r="R223" s="8"/>
      <c r="S223" s="8"/>
      <c r="T223" s="8"/>
      <c r="U223" s="8"/>
      <c r="V223" s="9" t="s">
        <v>49</v>
      </c>
      <c r="W223" s="9" t="s">
        <v>49</v>
      </c>
      <c r="X223" s="8"/>
      <c r="Y223" s="8"/>
      <c r="Z223" s="8"/>
      <c r="AA223" s="12"/>
      <c r="AB223" s="12"/>
      <c r="AC223" s="8"/>
      <c r="AD223" s="12"/>
      <c r="AE223" s="8"/>
      <c r="AF223" s="12"/>
      <c r="AG223" s="12"/>
      <c r="AH223" s="7" t="s">
        <v>57</v>
      </c>
      <c r="AI223" s="6" t="s">
        <v>49</v>
      </c>
      <c r="AJ223" s="6" t="s">
        <v>49</v>
      </c>
      <c r="AK223" s="6" t="s">
        <v>49</v>
      </c>
      <c r="AL223" s="9" t="s">
        <v>49</v>
      </c>
      <c r="AM223" s="9" t="s">
        <v>524</v>
      </c>
      <c r="AN223" s="6" t="s">
        <v>49</v>
      </c>
      <c r="AO223" s="9" t="s">
        <v>524</v>
      </c>
      <c r="AP223" s="11">
        <v>0</v>
      </c>
      <c r="AQ223" s="11">
        <v>0</v>
      </c>
      <c r="AR223" s="11">
        <v>0</v>
      </c>
      <c r="AS223" s="11">
        <v>0</v>
      </c>
      <c r="AT223" s="11">
        <v>0</v>
      </c>
      <c r="AU223" s="11">
        <v>0</v>
      </c>
      <c r="AV223" s="11" t="s">
        <v>57</v>
      </c>
    </row>
    <row r="224" spans="1:48" ht="14.5" hidden="1">
      <c r="A224" s="6">
        <v>223</v>
      </c>
      <c r="B224" s="7" t="s">
        <v>529</v>
      </c>
      <c r="C224" s="7" t="s">
        <v>49</v>
      </c>
      <c r="D224" s="6">
        <v>12649</v>
      </c>
      <c r="E224" s="6" t="s">
        <v>530</v>
      </c>
      <c r="F224" s="8"/>
      <c r="G224" s="8"/>
      <c r="H224" s="7" t="s">
        <v>49</v>
      </c>
      <c r="I224" s="7"/>
      <c r="J224" s="6" t="s">
        <v>49</v>
      </c>
      <c r="K224" s="9" t="s">
        <v>49</v>
      </c>
      <c r="L224" s="9" t="s">
        <v>49</v>
      </c>
      <c r="M224" s="8"/>
      <c r="N224" s="10">
        <v>43591</v>
      </c>
      <c r="O224" s="10">
        <v>44561</v>
      </c>
      <c r="P224" s="9" t="s">
        <v>49</v>
      </c>
      <c r="Q224" s="9" t="s">
        <v>49</v>
      </c>
      <c r="R224" s="8"/>
      <c r="S224" s="8"/>
      <c r="T224" s="8"/>
      <c r="U224" s="8"/>
      <c r="V224" s="9" t="s">
        <v>49</v>
      </c>
      <c r="W224" s="9" t="s">
        <v>49</v>
      </c>
      <c r="X224" s="8"/>
      <c r="Y224" s="8"/>
      <c r="Z224" s="8"/>
      <c r="AA224" s="8"/>
      <c r="AB224" s="8"/>
      <c r="AC224" s="8"/>
      <c r="AD224" s="8"/>
      <c r="AE224" s="8"/>
      <c r="AF224" s="8"/>
      <c r="AG224" s="8"/>
      <c r="AH224" s="7" t="s">
        <v>57</v>
      </c>
      <c r="AI224" s="6" t="s">
        <v>49</v>
      </c>
      <c r="AJ224" s="6" t="s">
        <v>49</v>
      </c>
      <c r="AK224" s="6" t="s">
        <v>49</v>
      </c>
      <c r="AL224" s="9" t="s">
        <v>49</v>
      </c>
      <c r="AM224" s="9" t="s">
        <v>524</v>
      </c>
      <c r="AN224" s="6" t="s">
        <v>49</v>
      </c>
      <c r="AO224" s="9" t="s">
        <v>524</v>
      </c>
      <c r="AP224" s="11">
        <v>0</v>
      </c>
      <c r="AQ224" s="11">
        <v>0</v>
      </c>
      <c r="AR224" s="11">
        <v>0</v>
      </c>
      <c r="AS224" s="11">
        <v>0</v>
      </c>
      <c r="AT224" s="11">
        <v>0</v>
      </c>
      <c r="AU224" s="11">
        <v>0</v>
      </c>
      <c r="AV224" s="11" t="s">
        <v>57</v>
      </c>
    </row>
    <row r="225" spans="1:49" ht="14.5" hidden="1">
      <c r="A225" s="6">
        <v>224</v>
      </c>
      <c r="B225" s="7" t="s">
        <v>531</v>
      </c>
      <c r="C225" s="7" t="s">
        <v>49</v>
      </c>
      <c r="D225" s="6">
        <v>12649</v>
      </c>
      <c r="E225" s="6" t="s">
        <v>532</v>
      </c>
      <c r="F225" s="8"/>
      <c r="G225" s="8"/>
      <c r="H225" s="7" t="s">
        <v>49</v>
      </c>
      <c r="I225" s="7"/>
      <c r="J225" s="6" t="s">
        <v>49</v>
      </c>
      <c r="K225" s="9" t="s">
        <v>49</v>
      </c>
      <c r="L225" s="9" t="s">
        <v>49</v>
      </c>
      <c r="M225" s="8"/>
      <c r="N225" s="12"/>
      <c r="O225" s="10">
        <v>44561</v>
      </c>
      <c r="P225" s="9" t="s">
        <v>49</v>
      </c>
      <c r="Q225" s="9" t="s">
        <v>49</v>
      </c>
      <c r="R225" s="8"/>
      <c r="S225" s="8"/>
      <c r="T225" s="8"/>
      <c r="U225" s="8"/>
      <c r="V225" s="9" t="s">
        <v>49</v>
      </c>
      <c r="W225" s="9" t="s">
        <v>49</v>
      </c>
      <c r="X225" s="8"/>
      <c r="Y225" s="8"/>
      <c r="Z225" s="8"/>
      <c r="AA225" s="8"/>
      <c r="AB225" s="8"/>
      <c r="AC225" s="8"/>
      <c r="AD225" s="8"/>
      <c r="AE225" s="8"/>
      <c r="AF225" s="8"/>
      <c r="AG225" s="8"/>
      <c r="AH225" s="7" t="s">
        <v>57</v>
      </c>
      <c r="AI225" s="6" t="s">
        <v>49</v>
      </c>
      <c r="AJ225" s="6" t="s">
        <v>49</v>
      </c>
      <c r="AK225" s="6" t="s">
        <v>49</v>
      </c>
      <c r="AL225" s="9" t="s">
        <v>49</v>
      </c>
      <c r="AM225" s="9" t="s">
        <v>524</v>
      </c>
      <c r="AN225" s="6" t="s">
        <v>49</v>
      </c>
      <c r="AO225" s="9" t="s">
        <v>524</v>
      </c>
      <c r="AP225" s="11">
        <v>0</v>
      </c>
      <c r="AQ225" s="11">
        <v>0</v>
      </c>
      <c r="AR225" s="11">
        <v>0</v>
      </c>
      <c r="AS225" s="11">
        <v>0</v>
      </c>
      <c r="AT225" s="11">
        <v>0</v>
      </c>
      <c r="AU225" s="11">
        <v>0</v>
      </c>
      <c r="AV225" s="11" t="s">
        <v>57</v>
      </c>
    </row>
    <row r="226" spans="1:49" ht="14.5" hidden="1">
      <c r="A226" s="6">
        <v>225</v>
      </c>
      <c r="B226" s="7" t="s">
        <v>533</v>
      </c>
      <c r="C226" s="7" t="s">
        <v>49</v>
      </c>
      <c r="D226" s="6">
        <v>12649</v>
      </c>
      <c r="E226" s="6" t="s">
        <v>534</v>
      </c>
      <c r="F226" s="8"/>
      <c r="G226" s="8"/>
      <c r="H226" s="7" t="s">
        <v>49</v>
      </c>
      <c r="I226" s="7"/>
      <c r="J226" s="6" t="s">
        <v>49</v>
      </c>
      <c r="K226" s="9" t="s">
        <v>49</v>
      </c>
      <c r="L226" s="9" t="s">
        <v>49</v>
      </c>
      <c r="M226" s="8"/>
      <c r="N226" s="10">
        <v>43598</v>
      </c>
      <c r="O226" s="10">
        <v>44344</v>
      </c>
      <c r="P226" s="9" t="s">
        <v>49</v>
      </c>
      <c r="Q226" s="9" t="s">
        <v>49</v>
      </c>
      <c r="R226" s="8"/>
      <c r="S226" s="8"/>
      <c r="T226" s="8"/>
      <c r="U226" s="8"/>
      <c r="V226" s="9" t="s">
        <v>49</v>
      </c>
      <c r="W226" s="9" t="s">
        <v>49</v>
      </c>
      <c r="X226" s="8"/>
      <c r="Y226" s="8"/>
      <c r="Z226" s="8"/>
      <c r="AA226" s="8"/>
      <c r="AB226" s="8"/>
      <c r="AC226" s="8"/>
      <c r="AD226" s="8"/>
      <c r="AE226" s="8"/>
      <c r="AF226" s="8"/>
      <c r="AG226" s="8"/>
      <c r="AH226" s="7" t="s">
        <v>57</v>
      </c>
      <c r="AI226" s="6" t="s">
        <v>49</v>
      </c>
      <c r="AJ226" s="6" t="s">
        <v>49</v>
      </c>
      <c r="AK226" s="6" t="s">
        <v>49</v>
      </c>
      <c r="AL226" s="9" t="s">
        <v>49</v>
      </c>
      <c r="AM226" s="9" t="s">
        <v>535</v>
      </c>
      <c r="AN226" s="6" t="s">
        <v>49</v>
      </c>
      <c r="AO226" s="9" t="s">
        <v>536</v>
      </c>
      <c r="AP226" s="11">
        <v>0</v>
      </c>
      <c r="AQ226" s="11">
        <v>0</v>
      </c>
      <c r="AR226" s="11">
        <v>0</v>
      </c>
      <c r="AS226" s="11">
        <v>0</v>
      </c>
      <c r="AT226" s="11">
        <v>0</v>
      </c>
      <c r="AU226" s="11">
        <v>0</v>
      </c>
      <c r="AV226" s="11" t="s">
        <v>57</v>
      </c>
    </row>
    <row r="227" spans="1:49" ht="14.5" hidden="1">
      <c r="A227" s="6">
        <v>226</v>
      </c>
      <c r="B227" s="7" t="s">
        <v>537</v>
      </c>
      <c r="C227" s="7" t="s">
        <v>49</v>
      </c>
      <c r="D227" s="6">
        <v>12649</v>
      </c>
      <c r="E227" s="6" t="s">
        <v>538</v>
      </c>
      <c r="F227" s="8"/>
      <c r="G227" s="8"/>
      <c r="H227" s="7" t="s">
        <v>49</v>
      </c>
      <c r="I227" s="7"/>
      <c r="J227" s="6" t="s">
        <v>49</v>
      </c>
      <c r="K227" s="9" t="s">
        <v>49</v>
      </c>
      <c r="L227" s="9" t="s">
        <v>49</v>
      </c>
      <c r="M227" s="8"/>
      <c r="N227" s="12"/>
      <c r="O227" s="10">
        <v>44561</v>
      </c>
      <c r="P227" s="9" t="s">
        <v>49</v>
      </c>
      <c r="Q227" s="9" t="s">
        <v>49</v>
      </c>
      <c r="R227" s="8"/>
      <c r="S227" s="8"/>
      <c r="T227" s="8"/>
      <c r="U227" s="8"/>
      <c r="V227" s="9" t="s">
        <v>49</v>
      </c>
      <c r="W227" s="9" t="s">
        <v>49</v>
      </c>
      <c r="X227" s="8"/>
      <c r="Y227" s="8"/>
      <c r="Z227" s="8"/>
      <c r="AA227" s="8"/>
      <c r="AB227" s="8"/>
      <c r="AC227" s="8"/>
      <c r="AD227" s="8"/>
      <c r="AE227" s="8"/>
      <c r="AF227" s="8"/>
      <c r="AG227" s="8"/>
      <c r="AH227" s="7" t="s">
        <v>57</v>
      </c>
      <c r="AI227" s="6" t="s">
        <v>49</v>
      </c>
      <c r="AJ227" s="6" t="s">
        <v>49</v>
      </c>
      <c r="AK227" s="6" t="s">
        <v>49</v>
      </c>
      <c r="AL227" s="9" t="s">
        <v>49</v>
      </c>
      <c r="AM227" s="9" t="s">
        <v>524</v>
      </c>
      <c r="AN227" s="6" t="s">
        <v>49</v>
      </c>
      <c r="AO227" s="9" t="s">
        <v>524</v>
      </c>
      <c r="AP227" s="11">
        <v>0</v>
      </c>
      <c r="AQ227" s="11">
        <v>0</v>
      </c>
      <c r="AR227" s="11">
        <v>0</v>
      </c>
      <c r="AS227" s="11">
        <v>0</v>
      </c>
      <c r="AT227" s="11">
        <v>0</v>
      </c>
      <c r="AU227" s="11">
        <v>0</v>
      </c>
      <c r="AV227" s="11" t="s">
        <v>57</v>
      </c>
    </row>
    <row r="228" spans="1:49" ht="14.5" hidden="1">
      <c r="A228" s="6">
        <v>227</v>
      </c>
      <c r="B228" s="7" t="s">
        <v>539</v>
      </c>
      <c r="C228" s="7" t="s">
        <v>49</v>
      </c>
      <c r="D228" s="6">
        <v>15062</v>
      </c>
      <c r="E228" s="6" t="s">
        <v>540</v>
      </c>
      <c r="F228" s="8"/>
      <c r="G228" s="8"/>
      <c r="H228" s="7" t="s">
        <v>49</v>
      </c>
      <c r="I228" s="7"/>
      <c r="J228" s="6" t="s">
        <v>49</v>
      </c>
      <c r="K228" s="9" t="s">
        <v>49</v>
      </c>
      <c r="L228" s="9" t="s">
        <v>49</v>
      </c>
      <c r="M228" s="8"/>
      <c r="N228" s="10">
        <v>43129</v>
      </c>
      <c r="O228" s="10">
        <v>43921</v>
      </c>
      <c r="P228" s="9" t="s">
        <v>49</v>
      </c>
      <c r="Q228" s="9" t="s">
        <v>49</v>
      </c>
      <c r="R228" s="8"/>
      <c r="S228" s="8"/>
      <c r="T228" s="8"/>
      <c r="U228" s="8"/>
      <c r="V228" s="9" t="s">
        <v>49</v>
      </c>
      <c r="W228" s="9" t="s">
        <v>49</v>
      </c>
      <c r="X228" s="8"/>
      <c r="Y228" s="8"/>
      <c r="Z228" s="8"/>
      <c r="AA228" s="8"/>
      <c r="AB228" s="8"/>
      <c r="AC228" s="8"/>
      <c r="AD228" s="8"/>
      <c r="AE228" s="8"/>
      <c r="AF228" s="8"/>
      <c r="AG228" s="8"/>
      <c r="AH228" s="7" t="s">
        <v>51</v>
      </c>
      <c r="AI228" s="6" t="s">
        <v>49</v>
      </c>
      <c r="AJ228" s="6" t="s">
        <v>49</v>
      </c>
      <c r="AK228" s="6" t="s">
        <v>49</v>
      </c>
      <c r="AL228" s="9" t="s">
        <v>49</v>
      </c>
      <c r="AM228" s="9" t="s">
        <v>435</v>
      </c>
      <c r="AN228" s="6" t="s">
        <v>49</v>
      </c>
      <c r="AO228" s="9" t="s">
        <v>435</v>
      </c>
      <c r="AP228" s="11">
        <v>0</v>
      </c>
      <c r="AQ228" s="11">
        <v>0</v>
      </c>
      <c r="AR228" s="11">
        <v>0</v>
      </c>
      <c r="AS228" s="11">
        <v>0</v>
      </c>
      <c r="AT228" s="11">
        <v>128</v>
      </c>
      <c r="AU228" s="11">
        <v>0</v>
      </c>
      <c r="AV228" s="11" t="s">
        <v>51</v>
      </c>
    </row>
    <row r="229" spans="1:49" ht="14.5" hidden="1">
      <c r="A229" s="6">
        <v>228</v>
      </c>
      <c r="B229" s="7" t="s">
        <v>541</v>
      </c>
      <c r="C229" s="7" t="s">
        <v>81</v>
      </c>
      <c r="D229" s="6">
        <v>15062</v>
      </c>
      <c r="E229" s="6" t="s">
        <v>49</v>
      </c>
      <c r="F229" s="8"/>
      <c r="G229" s="8"/>
      <c r="H229" s="7" t="s">
        <v>49</v>
      </c>
      <c r="I229" s="7"/>
      <c r="J229" s="6" t="s">
        <v>49</v>
      </c>
      <c r="K229" s="9" t="s">
        <v>49</v>
      </c>
      <c r="L229" s="9" t="s">
        <v>49</v>
      </c>
      <c r="M229" s="8"/>
      <c r="N229" s="10">
        <v>43010</v>
      </c>
      <c r="O229" s="10">
        <v>44196</v>
      </c>
      <c r="P229" s="9" t="s">
        <v>49</v>
      </c>
      <c r="Q229" s="9" t="s">
        <v>49</v>
      </c>
      <c r="R229" s="8"/>
      <c r="S229" s="8"/>
      <c r="T229" s="8"/>
      <c r="U229" s="8"/>
      <c r="V229" s="9" t="s">
        <v>49</v>
      </c>
      <c r="W229" s="9" t="s">
        <v>49</v>
      </c>
      <c r="X229" s="8"/>
      <c r="Y229" s="8"/>
      <c r="Z229" s="8"/>
      <c r="AA229" s="8"/>
      <c r="AB229" s="8"/>
      <c r="AC229" s="8"/>
      <c r="AD229" s="8"/>
      <c r="AE229" s="8"/>
      <c r="AF229" s="8"/>
      <c r="AG229" s="8"/>
      <c r="AH229" s="7" t="s">
        <v>51</v>
      </c>
      <c r="AI229" s="6" t="s">
        <v>71</v>
      </c>
      <c r="AJ229" s="6" t="s">
        <v>49</v>
      </c>
      <c r="AK229" s="6" t="s">
        <v>49</v>
      </c>
      <c r="AL229" s="9" t="s">
        <v>542</v>
      </c>
      <c r="AM229" s="9" t="s">
        <v>49</v>
      </c>
      <c r="AN229" s="6" t="s">
        <v>82</v>
      </c>
      <c r="AO229" s="9" t="s">
        <v>49</v>
      </c>
      <c r="AP229" s="11">
        <v>7248.8885899999996</v>
      </c>
      <c r="AQ229" s="11">
        <v>0</v>
      </c>
      <c r="AR229" s="11">
        <v>0</v>
      </c>
      <c r="AS229" s="11">
        <v>41681.266040000002</v>
      </c>
      <c r="AT229" s="11">
        <v>0</v>
      </c>
      <c r="AU229" s="11">
        <v>0</v>
      </c>
      <c r="AV229" s="11">
        <v>0</v>
      </c>
    </row>
    <row r="230" spans="1:49" ht="14.5" hidden="1">
      <c r="A230" s="6">
        <v>229</v>
      </c>
      <c r="B230" s="7" t="s">
        <v>543</v>
      </c>
      <c r="C230" s="7" t="s">
        <v>81</v>
      </c>
      <c r="D230" s="6">
        <v>15062</v>
      </c>
      <c r="E230" s="6" t="s">
        <v>544</v>
      </c>
      <c r="F230" s="6">
        <v>78471</v>
      </c>
      <c r="G230" s="8"/>
      <c r="H230" s="7" t="s">
        <v>49</v>
      </c>
      <c r="I230" s="7"/>
      <c r="J230" s="6" t="s">
        <v>49</v>
      </c>
      <c r="K230" s="9" t="s">
        <v>49</v>
      </c>
      <c r="L230" s="9" t="s">
        <v>49</v>
      </c>
      <c r="M230" s="8"/>
      <c r="N230" s="10">
        <v>43103</v>
      </c>
      <c r="O230" s="10">
        <v>44196</v>
      </c>
      <c r="P230" s="9" t="s">
        <v>49</v>
      </c>
      <c r="Q230" s="9" t="s">
        <v>49</v>
      </c>
      <c r="R230" s="8"/>
      <c r="S230" s="8"/>
      <c r="T230" s="8"/>
      <c r="U230" s="8"/>
      <c r="V230" s="9" t="s">
        <v>49</v>
      </c>
      <c r="W230" s="9" t="s">
        <v>49</v>
      </c>
      <c r="X230" s="8"/>
      <c r="Y230" s="8"/>
      <c r="Z230" s="8"/>
      <c r="AA230" s="8"/>
      <c r="AB230" s="8"/>
      <c r="AC230" s="8"/>
      <c r="AD230" s="8"/>
      <c r="AE230" s="8"/>
      <c r="AF230" s="8"/>
      <c r="AG230" s="8"/>
      <c r="AH230" s="7" t="s">
        <v>51</v>
      </c>
      <c r="AI230" s="6" t="s">
        <v>49</v>
      </c>
      <c r="AJ230" s="6" t="s">
        <v>49</v>
      </c>
      <c r="AK230" s="6" t="s">
        <v>49</v>
      </c>
      <c r="AL230" s="9" t="s">
        <v>49</v>
      </c>
      <c r="AM230" s="9" t="s">
        <v>545</v>
      </c>
      <c r="AN230" s="6" t="s">
        <v>49</v>
      </c>
      <c r="AO230" s="9" t="s">
        <v>545</v>
      </c>
      <c r="AP230" s="11">
        <v>7.2925200000000006</v>
      </c>
      <c r="AQ230" s="11">
        <v>9752.07</v>
      </c>
      <c r="AR230" s="11">
        <v>9752.0729166666661</v>
      </c>
      <c r="AS230" s="11">
        <v>2943.3748700000001</v>
      </c>
      <c r="AT230" s="11">
        <v>9.7520699999999998</v>
      </c>
      <c r="AU230" s="11">
        <v>0</v>
      </c>
      <c r="AV230" s="11" t="s">
        <v>51</v>
      </c>
    </row>
    <row r="231" spans="1:49" ht="14.5" hidden="1">
      <c r="A231" s="6">
        <v>230</v>
      </c>
      <c r="B231" s="7" t="s">
        <v>546</v>
      </c>
      <c r="C231" s="7" t="s">
        <v>49</v>
      </c>
      <c r="D231" s="6">
        <v>15660</v>
      </c>
      <c r="E231" s="6" t="s">
        <v>49</v>
      </c>
      <c r="F231" s="8"/>
      <c r="G231" s="8"/>
      <c r="H231" s="7" t="s">
        <v>49</v>
      </c>
      <c r="I231" s="7"/>
      <c r="J231" s="6" t="s">
        <v>49</v>
      </c>
      <c r="K231" s="9" t="s">
        <v>49</v>
      </c>
      <c r="L231" s="9" t="s">
        <v>49</v>
      </c>
      <c r="M231" s="8"/>
      <c r="N231" s="12"/>
      <c r="O231" s="10">
        <v>43921</v>
      </c>
      <c r="P231" s="9" t="s">
        <v>49</v>
      </c>
      <c r="Q231" s="9" t="s">
        <v>49</v>
      </c>
      <c r="R231" s="8"/>
      <c r="S231" s="8"/>
      <c r="T231" s="8"/>
      <c r="U231" s="8"/>
      <c r="V231" s="9" t="s">
        <v>49</v>
      </c>
      <c r="W231" s="9" t="s">
        <v>49</v>
      </c>
      <c r="X231" s="8"/>
      <c r="Y231" s="8"/>
      <c r="Z231" s="8"/>
      <c r="AA231" s="8"/>
      <c r="AB231" s="8"/>
      <c r="AC231" s="8"/>
      <c r="AD231" s="8"/>
      <c r="AE231" s="8"/>
      <c r="AF231" s="8"/>
      <c r="AG231" s="8"/>
      <c r="AH231" s="7" t="s">
        <v>57</v>
      </c>
      <c r="AI231" s="6" t="s">
        <v>71</v>
      </c>
      <c r="AJ231" s="6" t="s">
        <v>49</v>
      </c>
      <c r="AK231" s="6" t="s">
        <v>49</v>
      </c>
      <c r="AL231" s="9" t="s">
        <v>52</v>
      </c>
      <c r="AM231" s="9" t="s">
        <v>49</v>
      </c>
      <c r="AN231" s="6" t="s">
        <v>85</v>
      </c>
      <c r="AO231" s="9" t="s">
        <v>49</v>
      </c>
      <c r="AP231" s="11">
        <v>7248.8885899999996</v>
      </c>
      <c r="AQ231" s="11">
        <v>0</v>
      </c>
      <c r="AR231" s="11">
        <v>0</v>
      </c>
      <c r="AS231" s="11">
        <v>41681.266040000002</v>
      </c>
      <c r="AT231" s="11">
        <v>0</v>
      </c>
      <c r="AU231" s="11">
        <v>0</v>
      </c>
      <c r="AV231" s="11">
        <v>0</v>
      </c>
    </row>
    <row r="232" spans="1:49" ht="14.5">
      <c r="A232" s="6">
        <v>231</v>
      </c>
      <c r="B232" s="7" t="s">
        <v>546</v>
      </c>
      <c r="C232" s="7" t="s">
        <v>86</v>
      </c>
      <c r="D232" s="6">
        <v>15660</v>
      </c>
      <c r="E232" s="6" t="s">
        <v>547</v>
      </c>
      <c r="F232" s="6">
        <v>85909</v>
      </c>
      <c r="G232" s="8"/>
      <c r="H232" s="7" t="s">
        <v>49</v>
      </c>
      <c r="I232" s="7"/>
      <c r="J232" s="6" t="s">
        <v>75</v>
      </c>
      <c r="K232" s="9" t="s">
        <v>76</v>
      </c>
      <c r="L232" s="9" t="s">
        <v>73</v>
      </c>
      <c r="M232" s="14">
        <v>35</v>
      </c>
      <c r="N232" s="8"/>
      <c r="O232" s="10">
        <v>43921</v>
      </c>
      <c r="P232" s="9" t="s">
        <v>137</v>
      </c>
      <c r="Q232" s="9" t="s">
        <v>548</v>
      </c>
      <c r="R232" s="8"/>
      <c r="S232" s="8"/>
      <c r="T232" s="8"/>
      <c r="U232" s="8"/>
      <c r="V232" s="9" t="s">
        <v>49</v>
      </c>
      <c r="W232" s="9" t="s">
        <v>49</v>
      </c>
      <c r="X232" s="8"/>
      <c r="Y232" s="8"/>
      <c r="Z232" s="6">
        <v>3.5000000000000003E-2</v>
      </c>
      <c r="AA232" s="8"/>
      <c r="AB232" s="6">
        <v>3.5000000000000003E-2</v>
      </c>
      <c r="AC232" s="8"/>
      <c r="AD232" s="6">
        <v>3.5000000000000003E-2</v>
      </c>
      <c r="AE232" s="6">
        <v>2.8000000000000001E-2</v>
      </c>
      <c r="AF232" s="8"/>
      <c r="AG232" s="6">
        <v>2.8000000000000001E-2</v>
      </c>
      <c r="AH232" s="7" t="s">
        <v>57</v>
      </c>
      <c r="AI232" s="6" t="s">
        <v>49</v>
      </c>
      <c r="AJ232" s="6" t="s">
        <v>49</v>
      </c>
      <c r="AK232" s="6" t="s">
        <v>49</v>
      </c>
      <c r="AL232" s="9" t="s">
        <v>49</v>
      </c>
      <c r="AM232" s="9" t="s">
        <v>52</v>
      </c>
      <c r="AN232" s="6" t="s">
        <v>49</v>
      </c>
      <c r="AO232" s="9" t="s">
        <v>492</v>
      </c>
      <c r="AP232" s="11">
        <v>0</v>
      </c>
      <c r="AQ232" s="11">
        <v>0</v>
      </c>
      <c r="AR232" s="11">
        <v>0</v>
      </c>
      <c r="AS232" s="11">
        <v>0</v>
      </c>
      <c r="AT232" s="11">
        <v>0</v>
      </c>
      <c r="AU232" s="11">
        <v>42</v>
      </c>
      <c r="AV232" s="11" t="s">
        <v>57</v>
      </c>
      <c r="AW232" t="s">
        <v>93</v>
      </c>
    </row>
    <row r="233" spans="1:49" ht="14.5" hidden="1">
      <c r="A233" s="6">
        <v>232</v>
      </c>
      <c r="B233" s="7" t="s">
        <v>549</v>
      </c>
      <c r="C233" s="7" t="s">
        <v>81</v>
      </c>
      <c r="D233" s="6">
        <v>15446</v>
      </c>
      <c r="E233" s="6" t="s">
        <v>49</v>
      </c>
      <c r="F233" s="8"/>
      <c r="G233" s="8"/>
      <c r="H233" s="7" t="s">
        <v>49</v>
      </c>
      <c r="I233" s="7"/>
      <c r="J233" s="6" t="s">
        <v>49</v>
      </c>
      <c r="K233" s="9" t="s">
        <v>49</v>
      </c>
      <c r="L233" s="9" t="s">
        <v>49</v>
      </c>
      <c r="M233" s="8"/>
      <c r="N233" s="10">
        <v>43409</v>
      </c>
      <c r="O233" s="8"/>
      <c r="P233" s="9" t="s">
        <v>49</v>
      </c>
      <c r="Q233" s="9" t="s">
        <v>49</v>
      </c>
      <c r="R233" s="8"/>
      <c r="S233" s="8"/>
      <c r="T233" s="8"/>
      <c r="U233" s="8"/>
      <c r="V233" s="9" t="s">
        <v>49</v>
      </c>
      <c r="W233" s="9" t="s">
        <v>49</v>
      </c>
      <c r="X233" s="8"/>
      <c r="Y233" s="8"/>
      <c r="Z233" s="8"/>
      <c r="AA233" s="8"/>
      <c r="AB233" s="8"/>
      <c r="AC233" s="8"/>
      <c r="AD233" s="8"/>
      <c r="AE233" s="8"/>
      <c r="AF233" s="8"/>
      <c r="AG233" s="8"/>
      <c r="AH233" s="7" t="s">
        <v>57</v>
      </c>
      <c r="AI233" s="6" t="s">
        <v>71</v>
      </c>
      <c r="AJ233" s="6" t="s">
        <v>49</v>
      </c>
      <c r="AK233" s="6" t="s">
        <v>49</v>
      </c>
      <c r="AL233" s="9" t="s">
        <v>213</v>
      </c>
      <c r="AM233" s="9" t="s">
        <v>49</v>
      </c>
      <c r="AN233" s="6" t="s">
        <v>85</v>
      </c>
      <c r="AO233" s="9" t="s">
        <v>49</v>
      </c>
      <c r="AP233" s="11">
        <v>7248.8885899999996</v>
      </c>
      <c r="AQ233" s="11">
        <v>0</v>
      </c>
      <c r="AR233" s="11">
        <v>0</v>
      </c>
      <c r="AS233" s="11">
        <v>41681.266040000002</v>
      </c>
      <c r="AT233" s="11">
        <v>0</v>
      </c>
      <c r="AU233" s="11">
        <v>0</v>
      </c>
      <c r="AV233" s="11">
        <v>0</v>
      </c>
    </row>
    <row r="234" spans="1:49" ht="14.5" hidden="1">
      <c r="A234" s="6">
        <v>233</v>
      </c>
      <c r="B234" s="7" t="s">
        <v>549</v>
      </c>
      <c r="C234" s="7" t="s">
        <v>81</v>
      </c>
      <c r="D234" s="6">
        <v>15446</v>
      </c>
      <c r="E234" s="6" t="s">
        <v>550</v>
      </c>
      <c r="F234" s="8"/>
      <c r="G234" s="8"/>
      <c r="H234" s="7" t="s">
        <v>49</v>
      </c>
      <c r="I234" s="7"/>
      <c r="J234" s="6" t="s">
        <v>49</v>
      </c>
      <c r="K234" s="9" t="s">
        <v>49</v>
      </c>
      <c r="L234" s="9" t="s">
        <v>49</v>
      </c>
      <c r="M234" s="8"/>
      <c r="N234" s="10">
        <v>43409</v>
      </c>
      <c r="O234" s="12"/>
      <c r="P234" s="9" t="s">
        <v>49</v>
      </c>
      <c r="Q234" s="9" t="s">
        <v>49</v>
      </c>
      <c r="R234" s="8"/>
      <c r="S234" s="8"/>
      <c r="T234" s="8"/>
      <c r="U234" s="8"/>
      <c r="V234" s="9" t="s">
        <v>49</v>
      </c>
      <c r="W234" s="9" t="s">
        <v>49</v>
      </c>
      <c r="X234" s="8"/>
      <c r="Y234" s="8"/>
      <c r="Z234" s="8"/>
      <c r="AA234" s="8"/>
      <c r="AB234" s="8"/>
      <c r="AC234" s="8"/>
      <c r="AD234" s="8"/>
      <c r="AE234" s="8"/>
      <c r="AF234" s="8"/>
      <c r="AG234" s="8"/>
      <c r="AH234" s="7" t="s">
        <v>57</v>
      </c>
      <c r="AI234" s="6" t="s">
        <v>49</v>
      </c>
      <c r="AJ234" s="6" t="s">
        <v>49</v>
      </c>
      <c r="AK234" s="6" t="s">
        <v>49</v>
      </c>
      <c r="AL234" s="9" t="s">
        <v>49</v>
      </c>
      <c r="AM234" s="9" t="s">
        <v>322</v>
      </c>
      <c r="AN234" s="6" t="s">
        <v>49</v>
      </c>
      <c r="AO234" s="9" t="s">
        <v>322</v>
      </c>
      <c r="AP234" s="11">
        <v>0</v>
      </c>
      <c r="AQ234" s="11">
        <v>0</v>
      </c>
      <c r="AR234" s="11">
        <v>0</v>
      </c>
      <c r="AS234" s="11">
        <v>0</v>
      </c>
      <c r="AT234" s="11">
        <v>0</v>
      </c>
      <c r="AU234" s="11">
        <v>0</v>
      </c>
      <c r="AV234" s="11" t="s">
        <v>57</v>
      </c>
    </row>
    <row r="235" spans="1:49" ht="14.5" hidden="1">
      <c r="A235" s="6">
        <v>234</v>
      </c>
      <c r="B235" s="7" t="s">
        <v>551</v>
      </c>
      <c r="C235" s="7" t="s">
        <v>292</v>
      </c>
      <c r="D235" s="6">
        <v>15063</v>
      </c>
      <c r="E235" s="6" t="s">
        <v>552</v>
      </c>
      <c r="F235" s="6">
        <v>78974</v>
      </c>
      <c r="G235" s="8"/>
      <c r="H235" s="7" t="s">
        <v>49</v>
      </c>
      <c r="I235" s="7"/>
      <c r="J235" s="6" t="s">
        <v>49</v>
      </c>
      <c r="K235" s="9" t="s">
        <v>49</v>
      </c>
      <c r="L235" s="9" t="s">
        <v>218</v>
      </c>
      <c r="M235" s="8"/>
      <c r="N235" s="10">
        <v>43041</v>
      </c>
      <c r="O235" s="10">
        <v>44012</v>
      </c>
      <c r="P235" s="9" t="s">
        <v>49</v>
      </c>
      <c r="Q235" s="9" t="s">
        <v>49</v>
      </c>
      <c r="R235" s="8"/>
      <c r="S235" s="8"/>
      <c r="T235" s="8"/>
      <c r="U235" s="8"/>
      <c r="V235" s="9" t="s">
        <v>49</v>
      </c>
      <c r="W235" s="9" t="s">
        <v>49</v>
      </c>
      <c r="X235" s="8"/>
      <c r="Y235" s="8"/>
      <c r="Z235" s="8"/>
      <c r="AA235" s="8"/>
      <c r="AB235" s="8"/>
      <c r="AC235" s="8"/>
      <c r="AD235" s="8"/>
      <c r="AE235" s="8"/>
      <c r="AF235" s="8"/>
      <c r="AG235" s="8"/>
      <c r="AH235" s="7" t="s">
        <v>51</v>
      </c>
      <c r="AI235" s="6" t="s">
        <v>71</v>
      </c>
      <c r="AJ235" s="6" t="s">
        <v>49</v>
      </c>
      <c r="AK235" s="6" t="s">
        <v>49</v>
      </c>
      <c r="AL235" s="9" t="s">
        <v>380</v>
      </c>
      <c r="AM235" s="9" t="s">
        <v>49</v>
      </c>
      <c r="AN235" s="6" t="s">
        <v>82</v>
      </c>
      <c r="AO235" s="9" t="s">
        <v>380</v>
      </c>
      <c r="AP235" s="11">
        <v>15.97691</v>
      </c>
      <c r="AQ235" s="11">
        <v>70666.75</v>
      </c>
      <c r="AR235" s="11">
        <v>70666.749166666676</v>
      </c>
      <c r="AS235" s="11">
        <v>1088.99647</v>
      </c>
      <c r="AT235" s="11">
        <v>70.666749999999993</v>
      </c>
      <c r="AU235" s="11">
        <v>0</v>
      </c>
      <c r="AV235" s="11" t="s">
        <v>51</v>
      </c>
    </row>
    <row r="236" spans="1:49" ht="14.5" hidden="1">
      <c r="A236" s="6">
        <v>235</v>
      </c>
      <c r="B236" s="7" t="s">
        <v>553</v>
      </c>
      <c r="C236" s="7" t="s">
        <v>292</v>
      </c>
      <c r="D236" s="6">
        <v>15063</v>
      </c>
      <c r="E236" s="6" t="s">
        <v>49</v>
      </c>
      <c r="F236" s="8"/>
      <c r="G236" s="8"/>
      <c r="H236" s="7" t="s">
        <v>49</v>
      </c>
      <c r="I236" s="7"/>
      <c r="J236" s="6" t="s">
        <v>49</v>
      </c>
      <c r="K236" s="9" t="s">
        <v>49</v>
      </c>
      <c r="L236" s="9" t="s">
        <v>49</v>
      </c>
      <c r="M236" s="8"/>
      <c r="N236" s="10">
        <v>43329</v>
      </c>
      <c r="O236" s="10">
        <v>43921</v>
      </c>
      <c r="P236" s="9" t="s">
        <v>49</v>
      </c>
      <c r="Q236" s="9" t="s">
        <v>49</v>
      </c>
      <c r="R236" s="8"/>
      <c r="S236" s="8"/>
      <c r="T236" s="8"/>
      <c r="U236" s="8"/>
      <c r="V236" s="9" t="s">
        <v>49</v>
      </c>
      <c r="W236" s="9" t="s">
        <v>49</v>
      </c>
      <c r="X236" s="8"/>
      <c r="Y236" s="8"/>
      <c r="Z236" s="8"/>
      <c r="AA236" s="8"/>
      <c r="AB236" s="8"/>
      <c r="AC236" s="8"/>
      <c r="AD236" s="8"/>
      <c r="AE236" s="8"/>
      <c r="AF236" s="8"/>
      <c r="AG236" s="8"/>
      <c r="AH236" s="7" t="s">
        <v>51</v>
      </c>
      <c r="AI236" s="6" t="s">
        <v>49</v>
      </c>
      <c r="AJ236" s="6" t="s">
        <v>49</v>
      </c>
      <c r="AK236" s="6" t="s">
        <v>49</v>
      </c>
      <c r="AL236" s="9" t="s">
        <v>49</v>
      </c>
      <c r="AM236" s="9" t="s">
        <v>380</v>
      </c>
      <c r="AN236" s="6" t="s">
        <v>49</v>
      </c>
      <c r="AO236" s="9" t="s">
        <v>49</v>
      </c>
      <c r="AP236" s="11">
        <v>7248.8885899999996</v>
      </c>
      <c r="AQ236" s="11">
        <v>0</v>
      </c>
      <c r="AR236" s="11">
        <v>0</v>
      </c>
      <c r="AS236" s="11">
        <v>41681.266040000002</v>
      </c>
      <c r="AT236" s="11">
        <v>0</v>
      </c>
      <c r="AU236" s="11">
        <v>0</v>
      </c>
      <c r="AV236" s="11">
        <v>0</v>
      </c>
    </row>
    <row r="237" spans="1:49" ht="29" hidden="1">
      <c r="A237" s="6">
        <v>236</v>
      </c>
      <c r="B237" s="7" t="s">
        <v>554</v>
      </c>
      <c r="C237" s="7" t="s">
        <v>292</v>
      </c>
      <c r="D237" s="12"/>
      <c r="E237" s="6" t="s">
        <v>555</v>
      </c>
      <c r="F237" s="6">
        <v>83320</v>
      </c>
      <c r="G237" s="8"/>
      <c r="H237" s="7" t="s">
        <v>88</v>
      </c>
      <c r="I237" s="7" t="s">
        <v>556</v>
      </c>
      <c r="J237" s="6" t="s">
        <v>49</v>
      </c>
      <c r="K237" s="9" t="s">
        <v>49</v>
      </c>
      <c r="L237" s="9" t="s">
        <v>73</v>
      </c>
      <c r="M237" s="22">
        <v>1804</v>
      </c>
      <c r="N237" s="8"/>
      <c r="O237" s="8"/>
      <c r="P237" s="9" t="s">
        <v>557</v>
      </c>
      <c r="Q237" s="9" t="s">
        <v>558</v>
      </c>
      <c r="R237" s="12">
        <v>11.43</v>
      </c>
      <c r="S237" s="12">
        <v>22</v>
      </c>
      <c r="T237" s="12">
        <v>24.3</v>
      </c>
      <c r="U237" s="12">
        <v>2.9</v>
      </c>
      <c r="V237" s="16">
        <v>0.36</v>
      </c>
      <c r="W237" s="9" t="s">
        <v>199</v>
      </c>
      <c r="X237" s="12"/>
      <c r="Y237" s="12"/>
      <c r="Z237" s="8"/>
      <c r="AA237" s="8"/>
      <c r="AB237" s="12"/>
      <c r="AC237" s="8"/>
      <c r="AD237" s="12"/>
      <c r="AE237" s="12"/>
      <c r="AF237" s="12"/>
      <c r="AG237" s="12"/>
      <c r="AH237" s="7" t="s">
        <v>49</v>
      </c>
      <c r="AI237" s="6" t="s">
        <v>49</v>
      </c>
      <c r="AJ237" s="6" t="s">
        <v>49</v>
      </c>
      <c r="AK237" s="6" t="s">
        <v>49</v>
      </c>
      <c r="AL237" s="9" t="s">
        <v>49</v>
      </c>
      <c r="AM237" s="9" t="s">
        <v>49</v>
      </c>
      <c r="AN237" s="6" t="s">
        <v>49</v>
      </c>
      <c r="AO237" s="9" t="s">
        <v>49</v>
      </c>
      <c r="AP237" s="11">
        <v>0</v>
      </c>
      <c r="AQ237" s="11">
        <v>0</v>
      </c>
      <c r="AR237" s="11">
        <v>721025.24041666661</v>
      </c>
      <c r="AS237" s="11">
        <v>0</v>
      </c>
      <c r="AT237" s="11">
        <v>0</v>
      </c>
      <c r="AU237" s="11">
        <v>0</v>
      </c>
      <c r="AV237" s="11">
        <v>0</v>
      </c>
    </row>
    <row r="238" spans="1:49" ht="14.5" hidden="1">
      <c r="A238" s="6">
        <v>237</v>
      </c>
      <c r="B238" s="7" t="s">
        <v>559</v>
      </c>
      <c r="C238" s="7" t="s">
        <v>49</v>
      </c>
      <c r="D238" s="6">
        <v>12526</v>
      </c>
      <c r="E238" s="6" t="s">
        <v>49</v>
      </c>
      <c r="F238" s="8"/>
      <c r="G238" s="8"/>
      <c r="H238" s="7" t="s">
        <v>49</v>
      </c>
      <c r="I238" s="7"/>
      <c r="J238" s="6" t="s">
        <v>49</v>
      </c>
      <c r="K238" s="9" t="s">
        <v>49</v>
      </c>
      <c r="L238" s="9" t="s">
        <v>49</v>
      </c>
      <c r="M238" s="8"/>
      <c r="N238" s="10">
        <v>43010</v>
      </c>
      <c r="O238" s="10">
        <v>44593</v>
      </c>
      <c r="P238" s="9" t="s">
        <v>49</v>
      </c>
      <c r="Q238" s="9" t="s">
        <v>49</v>
      </c>
      <c r="R238" s="8"/>
      <c r="S238" s="8"/>
      <c r="T238" s="8"/>
      <c r="U238" s="8"/>
      <c r="V238" s="9" t="s">
        <v>49</v>
      </c>
      <c r="W238" s="9" t="s">
        <v>49</v>
      </c>
      <c r="X238" s="8"/>
      <c r="Y238" s="8"/>
      <c r="Z238" s="8"/>
      <c r="AA238" s="8"/>
      <c r="AB238" s="8"/>
      <c r="AC238" s="8"/>
      <c r="AD238" s="8"/>
      <c r="AE238" s="8"/>
      <c r="AF238" s="8"/>
      <c r="AG238" s="8"/>
      <c r="AH238" s="7" t="s">
        <v>51</v>
      </c>
      <c r="AI238" s="6" t="s">
        <v>71</v>
      </c>
      <c r="AJ238" s="6" t="s">
        <v>49</v>
      </c>
      <c r="AK238" s="6" t="s">
        <v>118</v>
      </c>
      <c r="AL238" s="9" t="s">
        <v>119</v>
      </c>
      <c r="AM238" s="9" t="s">
        <v>49</v>
      </c>
      <c r="AN238" s="6" t="s">
        <v>96</v>
      </c>
      <c r="AO238" s="9" t="s">
        <v>49</v>
      </c>
      <c r="AP238" s="11">
        <v>7248.8885899999996</v>
      </c>
      <c r="AQ238" s="11">
        <v>0</v>
      </c>
      <c r="AR238" s="11">
        <v>0</v>
      </c>
      <c r="AS238" s="11">
        <v>41681.266040000002</v>
      </c>
      <c r="AT238" s="11">
        <v>0</v>
      </c>
      <c r="AU238" s="11">
        <v>0</v>
      </c>
      <c r="AV238" s="11">
        <v>0</v>
      </c>
    </row>
    <row r="239" spans="1:49" ht="14.5" hidden="1">
      <c r="A239" s="6">
        <v>238</v>
      </c>
      <c r="B239" s="7" t="s">
        <v>560</v>
      </c>
      <c r="C239" s="7" t="s">
        <v>49</v>
      </c>
      <c r="D239" s="6">
        <v>12526</v>
      </c>
      <c r="E239" s="6" t="s">
        <v>561</v>
      </c>
      <c r="F239" s="12"/>
      <c r="G239" s="8"/>
      <c r="H239" s="7" t="s">
        <v>49</v>
      </c>
      <c r="I239" s="7"/>
      <c r="J239" s="6" t="s">
        <v>49</v>
      </c>
      <c r="K239" s="9" t="s">
        <v>49</v>
      </c>
      <c r="L239" s="9" t="s">
        <v>49</v>
      </c>
      <c r="M239" s="12"/>
      <c r="N239" s="10">
        <v>43010</v>
      </c>
      <c r="O239" s="10">
        <v>44593</v>
      </c>
      <c r="P239" s="9" t="s">
        <v>49</v>
      </c>
      <c r="Q239" s="9" t="s">
        <v>49</v>
      </c>
      <c r="R239" s="12"/>
      <c r="S239" s="12"/>
      <c r="T239" s="12"/>
      <c r="U239" s="12"/>
      <c r="V239" s="9" t="s">
        <v>49</v>
      </c>
      <c r="W239" s="9" t="s">
        <v>49</v>
      </c>
      <c r="X239" s="8"/>
      <c r="Y239" s="8"/>
      <c r="Z239" s="8"/>
      <c r="AA239" s="8"/>
      <c r="AB239" s="8"/>
      <c r="AC239" s="8"/>
      <c r="AD239" s="8"/>
      <c r="AE239" s="8"/>
      <c r="AF239" s="8"/>
      <c r="AG239" s="8"/>
      <c r="AH239" s="7" t="s">
        <v>51</v>
      </c>
      <c r="AI239" s="6" t="s">
        <v>49</v>
      </c>
      <c r="AJ239" s="6" t="s">
        <v>49</v>
      </c>
      <c r="AK239" s="6" t="s">
        <v>49</v>
      </c>
      <c r="AL239" s="9" t="s">
        <v>49</v>
      </c>
      <c r="AM239" s="9" t="s">
        <v>122</v>
      </c>
      <c r="AN239" s="6" t="s">
        <v>49</v>
      </c>
      <c r="AO239" s="9" t="s">
        <v>300</v>
      </c>
      <c r="AP239" s="11">
        <v>0</v>
      </c>
      <c r="AQ239" s="11">
        <v>0</v>
      </c>
      <c r="AR239" s="11">
        <v>0</v>
      </c>
      <c r="AS239" s="11">
        <v>0</v>
      </c>
      <c r="AT239" s="11">
        <v>0</v>
      </c>
      <c r="AU239" s="11">
        <v>0</v>
      </c>
      <c r="AV239" s="11" t="s">
        <v>51</v>
      </c>
    </row>
    <row r="240" spans="1:49" ht="14.5" hidden="1">
      <c r="A240" s="6">
        <v>239</v>
      </c>
      <c r="B240" s="7" t="s">
        <v>562</v>
      </c>
      <c r="C240" s="7" t="s">
        <v>49</v>
      </c>
      <c r="D240" s="6">
        <v>15644</v>
      </c>
      <c r="E240" s="6" t="s">
        <v>49</v>
      </c>
      <c r="F240" s="8"/>
      <c r="G240" s="8"/>
      <c r="H240" s="7" t="s">
        <v>49</v>
      </c>
      <c r="I240" s="7"/>
      <c r="J240" s="6" t="s">
        <v>49</v>
      </c>
      <c r="K240" s="9" t="s">
        <v>49</v>
      </c>
      <c r="L240" s="9" t="s">
        <v>49</v>
      </c>
      <c r="M240" s="8"/>
      <c r="N240" s="12"/>
      <c r="O240" s="12"/>
      <c r="P240" s="9" t="s">
        <v>49</v>
      </c>
      <c r="Q240" s="9" t="s">
        <v>49</v>
      </c>
      <c r="R240" s="8"/>
      <c r="S240" s="8"/>
      <c r="T240" s="8"/>
      <c r="U240" s="8"/>
      <c r="V240" s="9" t="s">
        <v>49</v>
      </c>
      <c r="W240" s="9" t="s">
        <v>49</v>
      </c>
      <c r="X240" s="8"/>
      <c r="Y240" s="8"/>
      <c r="Z240" s="8"/>
      <c r="AA240" s="8"/>
      <c r="AB240" s="8"/>
      <c r="AC240" s="8"/>
      <c r="AD240" s="8"/>
      <c r="AE240" s="8"/>
      <c r="AF240" s="8"/>
      <c r="AG240" s="8"/>
      <c r="AH240" s="7" t="s">
        <v>79</v>
      </c>
      <c r="AI240" s="6" t="s">
        <v>110</v>
      </c>
      <c r="AJ240" s="6" t="s">
        <v>49</v>
      </c>
      <c r="AK240" s="6" t="s">
        <v>49</v>
      </c>
      <c r="AL240" s="9" t="s">
        <v>111</v>
      </c>
      <c r="AM240" s="9" t="s">
        <v>49</v>
      </c>
      <c r="AN240" s="6" t="s">
        <v>82</v>
      </c>
      <c r="AO240" s="9" t="s">
        <v>49</v>
      </c>
      <c r="AP240" s="11">
        <v>7248.8885899999996</v>
      </c>
      <c r="AQ240" s="11">
        <v>0</v>
      </c>
      <c r="AR240" s="11">
        <v>0</v>
      </c>
      <c r="AS240" s="11">
        <v>41681.266040000002</v>
      </c>
      <c r="AT240" s="11">
        <v>0</v>
      </c>
      <c r="AU240" s="11">
        <v>0</v>
      </c>
      <c r="AV240" s="11">
        <v>0</v>
      </c>
    </row>
    <row r="241" spans="1:49" ht="14.5" hidden="1">
      <c r="A241" s="6">
        <v>240</v>
      </c>
      <c r="B241" s="7" t="s">
        <v>563</v>
      </c>
      <c r="C241" s="7" t="s">
        <v>49</v>
      </c>
      <c r="D241" s="6">
        <v>15644</v>
      </c>
      <c r="E241" s="6" t="s">
        <v>49</v>
      </c>
      <c r="F241" s="8"/>
      <c r="G241" s="8"/>
      <c r="H241" s="7" t="s">
        <v>49</v>
      </c>
      <c r="I241" s="7"/>
      <c r="J241" s="6" t="s">
        <v>49</v>
      </c>
      <c r="K241" s="9" t="s">
        <v>49</v>
      </c>
      <c r="L241" s="9" t="s">
        <v>49</v>
      </c>
      <c r="M241" s="8"/>
      <c r="N241" s="8"/>
      <c r="O241" s="8"/>
      <c r="P241" s="9" t="s">
        <v>49</v>
      </c>
      <c r="Q241" s="9" t="s">
        <v>49</v>
      </c>
      <c r="R241" s="8"/>
      <c r="S241" s="8"/>
      <c r="T241" s="8"/>
      <c r="U241" s="8"/>
      <c r="V241" s="9" t="s">
        <v>49</v>
      </c>
      <c r="W241" s="9" t="s">
        <v>49</v>
      </c>
      <c r="X241" s="8"/>
      <c r="Y241" s="8"/>
      <c r="Z241" s="8"/>
      <c r="AA241" s="8"/>
      <c r="AB241" s="8"/>
      <c r="AC241" s="8"/>
      <c r="AD241" s="8"/>
      <c r="AE241" s="8"/>
      <c r="AF241" s="8"/>
      <c r="AG241" s="8"/>
      <c r="AH241" s="7" t="s">
        <v>79</v>
      </c>
      <c r="AI241" s="6" t="s">
        <v>110</v>
      </c>
      <c r="AJ241" s="6" t="s">
        <v>49</v>
      </c>
      <c r="AK241" s="6" t="s">
        <v>49</v>
      </c>
      <c r="AL241" s="9" t="s">
        <v>111</v>
      </c>
      <c r="AM241" s="9" t="s">
        <v>49</v>
      </c>
      <c r="AN241" s="6" t="s">
        <v>82</v>
      </c>
      <c r="AO241" s="9" t="s">
        <v>49</v>
      </c>
      <c r="AP241" s="11">
        <v>7248.8885899999996</v>
      </c>
      <c r="AQ241" s="11">
        <v>0</v>
      </c>
      <c r="AR241" s="11">
        <v>0</v>
      </c>
      <c r="AS241" s="11">
        <v>41681.266040000002</v>
      </c>
      <c r="AT241" s="11">
        <v>0</v>
      </c>
      <c r="AU241" s="11">
        <v>0</v>
      </c>
      <c r="AV241" s="11">
        <v>0</v>
      </c>
    </row>
    <row r="242" spans="1:49" ht="14.5" hidden="1">
      <c r="A242" s="6">
        <v>241</v>
      </c>
      <c r="B242" s="7" t="s">
        <v>564</v>
      </c>
      <c r="C242" s="7" t="s">
        <v>49</v>
      </c>
      <c r="D242" s="6">
        <v>12649</v>
      </c>
      <c r="E242" s="6" t="s">
        <v>565</v>
      </c>
      <c r="F242" s="8"/>
      <c r="G242" s="8"/>
      <c r="H242" s="7" t="s">
        <v>49</v>
      </c>
      <c r="I242" s="7"/>
      <c r="J242" s="6" t="s">
        <v>49</v>
      </c>
      <c r="K242" s="9" t="s">
        <v>49</v>
      </c>
      <c r="L242" s="9" t="s">
        <v>49</v>
      </c>
      <c r="M242" s="8"/>
      <c r="N242" s="12"/>
      <c r="O242" s="10">
        <v>44561</v>
      </c>
      <c r="P242" s="9" t="s">
        <v>49</v>
      </c>
      <c r="Q242" s="9" t="s">
        <v>49</v>
      </c>
      <c r="R242" s="8"/>
      <c r="S242" s="8"/>
      <c r="T242" s="8"/>
      <c r="U242" s="8"/>
      <c r="V242" s="9" t="s">
        <v>49</v>
      </c>
      <c r="W242" s="9" t="s">
        <v>49</v>
      </c>
      <c r="X242" s="8"/>
      <c r="Y242" s="8"/>
      <c r="Z242" s="8"/>
      <c r="AA242" s="8"/>
      <c r="AB242" s="8"/>
      <c r="AC242" s="8"/>
      <c r="AD242" s="8"/>
      <c r="AE242" s="8"/>
      <c r="AF242" s="8"/>
      <c r="AG242" s="8"/>
      <c r="AH242" s="7" t="s">
        <v>57</v>
      </c>
      <c r="AI242" s="6" t="s">
        <v>49</v>
      </c>
      <c r="AJ242" s="6" t="s">
        <v>49</v>
      </c>
      <c r="AK242" s="6" t="s">
        <v>49</v>
      </c>
      <c r="AL242" s="9" t="s">
        <v>49</v>
      </c>
      <c r="AM242" s="9" t="s">
        <v>524</v>
      </c>
      <c r="AN242" s="6" t="s">
        <v>49</v>
      </c>
      <c r="AO242" s="9" t="s">
        <v>524</v>
      </c>
      <c r="AP242" s="11">
        <v>0</v>
      </c>
      <c r="AQ242" s="11">
        <v>0</v>
      </c>
      <c r="AR242" s="11">
        <v>0</v>
      </c>
      <c r="AS242" s="11">
        <v>0</v>
      </c>
      <c r="AT242" s="11">
        <v>0</v>
      </c>
      <c r="AU242" s="11">
        <v>0</v>
      </c>
      <c r="AV242" s="11" t="s">
        <v>57</v>
      </c>
    </row>
    <row r="243" spans="1:49" ht="14.5" hidden="1">
      <c r="A243" s="6">
        <v>242</v>
      </c>
      <c r="B243" s="7" t="s">
        <v>566</v>
      </c>
      <c r="C243" s="7" t="s">
        <v>49</v>
      </c>
      <c r="D243" s="6">
        <v>12528</v>
      </c>
      <c r="E243" s="6" t="s">
        <v>567</v>
      </c>
      <c r="F243" s="8"/>
      <c r="G243" s="8"/>
      <c r="H243" s="7" t="s">
        <v>49</v>
      </c>
      <c r="I243" s="7"/>
      <c r="J243" s="6" t="s">
        <v>49</v>
      </c>
      <c r="K243" s="9" t="s">
        <v>49</v>
      </c>
      <c r="L243" s="9" t="s">
        <v>49</v>
      </c>
      <c r="M243" s="9" t="s">
        <v>49</v>
      </c>
      <c r="N243" s="12"/>
      <c r="O243" s="10">
        <v>43647</v>
      </c>
      <c r="P243" s="9" t="s">
        <v>49</v>
      </c>
      <c r="Q243" s="9" t="s">
        <v>49</v>
      </c>
      <c r="R243" s="8"/>
      <c r="S243" s="8"/>
      <c r="T243" s="8"/>
      <c r="U243" s="8"/>
      <c r="V243" s="9" t="s">
        <v>49</v>
      </c>
      <c r="W243" s="9" t="s">
        <v>49</v>
      </c>
      <c r="X243" s="8"/>
      <c r="Y243" s="8"/>
      <c r="Z243" s="8"/>
      <c r="AA243" s="8"/>
      <c r="AB243" s="8"/>
      <c r="AC243" s="8"/>
      <c r="AD243" s="8"/>
      <c r="AE243" s="8"/>
      <c r="AF243" s="8"/>
      <c r="AG243" s="8"/>
      <c r="AH243" s="7" t="s">
        <v>57</v>
      </c>
      <c r="AI243" s="6" t="s">
        <v>49</v>
      </c>
      <c r="AJ243" s="6" t="s">
        <v>49</v>
      </c>
      <c r="AK243" s="6" t="s">
        <v>49</v>
      </c>
      <c r="AL243" s="9" t="s">
        <v>49</v>
      </c>
      <c r="AM243" s="9" t="s">
        <v>134</v>
      </c>
      <c r="AN243" s="6" t="s">
        <v>49</v>
      </c>
      <c r="AO243" s="9" t="s">
        <v>134</v>
      </c>
      <c r="AP243" s="11">
        <v>0</v>
      </c>
      <c r="AQ243" s="11">
        <v>0</v>
      </c>
      <c r="AR243" s="11">
        <v>0</v>
      </c>
      <c r="AS243" s="11">
        <v>0</v>
      </c>
      <c r="AT243" s="11">
        <v>0</v>
      </c>
      <c r="AU243" s="11">
        <v>0</v>
      </c>
      <c r="AV243" s="11" t="s">
        <v>57</v>
      </c>
    </row>
    <row r="244" spans="1:49" ht="14.5" hidden="1">
      <c r="A244" s="6">
        <v>243</v>
      </c>
      <c r="B244" s="7" t="s">
        <v>568</v>
      </c>
      <c r="C244" s="7" t="s">
        <v>569</v>
      </c>
      <c r="D244" s="6">
        <v>16025</v>
      </c>
      <c r="E244" s="6" t="s">
        <v>49</v>
      </c>
      <c r="F244" s="8"/>
      <c r="G244" s="8"/>
      <c r="H244" s="7" t="s">
        <v>70</v>
      </c>
      <c r="I244" s="7"/>
      <c r="J244" s="6" t="s">
        <v>49</v>
      </c>
      <c r="K244" s="9" t="s">
        <v>49</v>
      </c>
      <c r="L244" s="9" t="s">
        <v>49</v>
      </c>
      <c r="M244" s="6"/>
      <c r="N244" s="10">
        <v>43472</v>
      </c>
      <c r="O244" s="10">
        <v>43860</v>
      </c>
      <c r="P244" s="9" t="s">
        <v>49</v>
      </c>
      <c r="Q244" s="9" t="s">
        <v>49</v>
      </c>
      <c r="R244" s="8"/>
      <c r="S244" s="8"/>
      <c r="T244" s="8"/>
      <c r="U244" s="8"/>
      <c r="V244" s="9" t="s">
        <v>49</v>
      </c>
      <c r="W244" s="9" t="s">
        <v>49</v>
      </c>
      <c r="X244" s="8"/>
      <c r="Y244" s="8"/>
      <c r="Z244" s="8"/>
      <c r="AA244" s="8"/>
      <c r="AB244" s="8"/>
      <c r="AC244" s="8"/>
      <c r="AD244" s="8"/>
      <c r="AE244" s="8"/>
      <c r="AF244" s="8"/>
      <c r="AG244" s="8"/>
      <c r="AH244" s="7" t="s">
        <v>57</v>
      </c>
      <c r="AI244" s="6" t="s">
        <v>71</v>
      </c>
      <c r="AJ244" s="6" t="s">
        <v>49</v>
      </c>
      <c r="AK244" s="6" t="s">
        <v>49</v>
      </c>
      <c r="AL244" s="9" t="s">
        <v>119</v>
      </c>
      <c r="AM244" s="9" t="s">
        <v>49</v>
      </c>
      <c r="AN244" s="6" t="s">
        <v>85</v>
      </c>
      <c r="AO244" s="9" t="s">
        <v>49</v>
      </c>
      <c r="AP244" s="11">
        <v>7248.8885899999996</v>
      </c>
      <c r="AQ244" s="11">
        <v>0</v>
      </c>
      <c r="AR244" s="11">
        <v>0</v>
      </c>
      <c r="AS244" s="11">
        <v>41681.266040000002</v>
      </c>
      <c r="AT244" s="11">
        <v>0</v>
      </c>
      <c r="AU244" s="11">
        <v>0</v>
      </c>
      <c r="AV244" s="11">
        <v>0</v>
      </c>
    </row>
    <row r="245" spans="1:49" ht="14.5" hidden="1">
      <c r="A245" s="6">
        <v>244</v>
      </c>
      <c r="B245" s="7" t="s">
        <v>570</v>
      </c>
      <c r="C245" s="7" t="s">
        <v>49</v>
      </c>
      <c r="D245" s="12"/>
      <c r="E245" s="6" t="s">
        <v>49</v>
      </c>
      <c r="F245" s="8"/>
      <c r="G245" s="8"/>
      <c r="H245" s="7" t="s">
        <v>49</v>
      </c>
      <c r="I245" s="7"/>
      <c r="J245" s="6" t="s">
        <v>49</v>
      </c>
      <c r="K245" s="9" t="s">
        <v>49</v>
      </c>
      <c r="L245" s="9" t="s">
        <v>49</v>
      </c>
      <c r="M245" s="8"/>
      <c r="N245" s="8"/>
      <c r="O245" s="12"/>
      <c r="P245" s="9" t="s">
        <v>49</v>
      </c>
      <c r="Q245" s="9" t="s">
        <v>49</v>
      </c>
      <c r="R245" s="8"/>
      <c r="S245" s="8"/>
      <c r="T245" s="8"/>
      <c r="U245" s="8"/>
      <c r="V245" s="9" t="s">
        <v>49</v>
      </c>
      <c r="W245" s="9" t="s">
        <v>49</v>
      </c>
      <c r="X245" s="8"/>
      <c r="Y245" s="8"/>
      <c r="Z245" s="8"/>
      <c r="AA245" s="12"/>
      <c r="AB245" s="12"/>
      <c r="AC245" s="8"/>
      <c r="AD245" s="12"/>
      <c r="AE245" s="8"/>
      <c r="AF245" s="12"/>
      <c r="AG245" s="12"/>
      <c r="AH245" s="7" t="s">
        <v>49</v>
      </c>
      <c r="AI245" s="6" t="s">
        <v>49</v>
      </c>
      <c r="AJ245" s="6" t="s">
        <v>49</v>
      </c>
      <c r="AK245" s="6" t="s">
        <v>49</v>
      </c>
      <c r="AL245" s="9" t="s">
        <v>49</v>
      </c>
      <c r="AM245" s="9" t="s">
        <v>49</v>
      </c>
      <c r="AN245" s="6" t="s">
        <v>49</v>
      </c>
      <c r="AO245" s="9" t="s">
        <v>49</v>
      </c>
      <c r="AP245" s="11">
        <v>7248.8885899999996</v>
      </c>
      <c r="AQ245" s="11">
        <v>0</v>
      </c>
      <c r="AR245" s="11">
        <v>0</v>
      </c>
      <c r="AS245" s="11">
        <v>41681.266040000002</v>
      </c>
      <c r="AT245" s="11">
        <v>0</v>
      </c>
      <c r="AU245" s="11">
        <v>0</v>
      </c>
      <c r="AV245" s="11">
        <v>0</v>
      </c>
    </row>
    <row r="246" spans="1:49" ht="14.5" hidden="1">
      <c r="A246" s="6">
        <v>245</v>
      </c>
      <c r="B246" s="7" t="s">
        <v>571</v>
      </c>
      <c r="C246" s="7" t="s">
        <v>292</v>
      </c>
      <c r="D246" s="6">
        <v>15376</v>
      </c>
      <c r="E246" s="6" t="s">
        <v>572</v>
      </c>
      <c r="F246" s="6">
        <v>0</v>
      </c>
      <c r="G246" s="8"/>
      <c r="H246" s="7" t="s">
        <v>88</v>
      </c>
      <c r="I246" s="7" t="s">
        <v>147</v>
      </c>
      <c r="J246" s="6" t="s">
        <v>196</v>
      </c>
      <c r="K246" s="9" t="s">
        <v>76</v>
      </c>
      <c r="L246" s="9" t="s">
        <v>573</v>
      </c>
      <c r="M246" s="17">
        <v>816</v>
      </c>
      <c r="N246" s="10">
        <v>43553</v>
      </c>
      <c r="O246" s="10">
        <v>44561</v>
      </c>
      <c r="P246" s="9" t="s">
        <v>574</v>
      </c>
      <c r="Q246" s="9" t="s">
        <v>107</v>
      </c>
      <c r="R246" s="6">
        <v>14.09</v>
      </c>
      <c r="S246" s="6">
        <v>239.5</v>
      </c>
      <c r="T246" s="6">
        <v>409.4</v>
      </c>
      <c r="U246" s="6">
        <v>17</v>
      </c>
      <c r="V246" s="9" t="s">
        <v>575</v>
      </c>
      <c r="W246" s="9" t="s">
        <v>49</v>
      </c>
      <c r="X246" s="8"/>
      <c r="Y246" s="6">
        <v>0.81599999999999995</v>
      </c>
      <c r="Z246" s="12"/>
      <c r="AA246" s="8"/>
      <c r="AB246" s="6">
        <v>0.81599999999999995</v>
      </c>
      <c r="AC246" s="8"/>
      <c r="AD246" s="6">
        <v>0.81599999999999995</v>
      </c>
      <c r="AE246" s="6">
        <v>0.65300000000000002</v>
      </c>
      <c r="AF246" s="8"/>
      <c r="AG246" s="6">
        <v>0.65300000000000002</v>
      </c>
      <c r="AH246" s="7" t="s">
        <v>51</v>
      </c>
      <c r="AI246" s="6" t="s">
        <v>49</v>
      </c>
      <c r="AJ246" s="6" t="s">
        <v>49</v>
      </c>
      <c r="AK246" s="6" t="s">
        <v>49</v>
      </c>
      <c r="AL246" s="9" t="s">
        <v>49</v>
      </c>
      <c r="AM246" s="9" t="s">
        <v>576</v>
      </c>
      <c r="AN246" s="6" t="s">
        <v>73</v>
      </c>
      <c r="AO246" s="9" t="s">
        <v>576</v>
      </c>
      <c r="AP246" s="11">
        <v>37.648269999999997</v>
      </c>
      <c r="AQ246" s="11">
        <v>224288.97</v>
      </c>
      <c r="AR246" s="11">
        <v>25213.815416666683</v>
      </c>
      <c r="AS246" s="11">
        <v>1844.40814</v>
      </c>
      <c r="AT246" s="11">
        <v>3854.2889699999996</v>
      </c>
      <c r="AU246" s="11">
        <v>4170</v>
      </c>
      <c r="AV246" s="11" t="s">
        <v>51</v>
      </c>
      <c r="AW246" t="s">
        <v>577</v>
      </c>
    </row>
    <row r="247" spans="1:49" ht="14.5" hidden="1">
      <c r="A247" s="6">
        <v>246</v>
      </c>
      <c r="B247" s="7" t="s">
        <v>578</v>
      </c>
      <c r="C247" s="7" t="s">
        <v>81</v>
      </c>
      <c r="D247" s="6">
        <v>15381</v>
      </c>
      <c r="E247" s="6" t="s">
        <v>49</v>
      </c>
      <c r="F247" s="8"/>
      <c r="G247" s="8"/>
      <c r="H247" s="7" t="s">
        <v>49</v>
      </c>
      <c r="I247" s="7"/>
      <c r="J247" s="6" t="s">
        <v>49</v>
      </c>
      <c r="K247" s="9" t="s">
        <v>49</v>
      </c>
      <c r="L247" s="9" t="s">
        <v>49</v>
      </c>
      <c r="M247" s="8"/>
      <c r="N247" s="10">
        <v>43549</v>
      </c>
      <c r="O247" s="10">
        <v>44194</v>
      </c>
      <c r="P247" s="9" t="s">
        <v>49</v>
      </c>
      <c r="Q247" s="9" t="s">
        <v>49</v>
      </c>
      <c r="R247" s="8"/>
      <c r="S247" s="8"/>
      <c r="T247" s="8"/>
      <c r="U247" s="8"/>
      <c r="V247" s="9" t="s">
        <v>49</v>
      </c>
      <c r="W247" s="9" t="s">
        <v>49</v>
      </c>
      <c r="X247" s="8"/>
      <c r="Y247" s="8"/>
      <c r="Z247" s="8"/>
      <c r="AA247" s="8"/>
      <c r="AB247" s="8"/>
      <c r="AC247" s="8"/>
      <c r="AD247" s="8"/>
      <c r="AE247" s="8"/>
      <c r="AF247" s="8"/>
      <c r="AG247" s="8"/>
      <c r="AH247" s="7" t="s">
        <v>57</v>
      </c>
      <c r="AI247" s="6" t="s">
        <v>71</v>
      </c>
      <c r="AJ247" s="6" t="s">
        <v>49</v>
      </c>
      <c r="AK247" s="6" t="s">
        <v>49</v>
      </c>
      <c r="AL247" s="9" t="s">
        <v>213</v>
      </c>
      <c r="AM247" s="9" t="s">
        <v>49</v>
      </c>
      <c r="AN247" s="6" t="s">
        <v>82</v>
      </c>
      <c r="AO247" s="9" t="s">
        <v>49</v>
      </c>
      <c r="AP247" s="11">
        <v>7248.8885899999996</v>
      </c>
      <c r="AQ247" s="11">
        <v>0</v>
      </c>
      <c r="AR247" s="11">
        <v>0</v>
      </c>
      <c r="AS247" s="11">
        <v>41681.266040000002</v>
      </c>
      <c r="AT247" s="11">
        <v>0</v>
      </c>
      <c r="AU247" s="11">
        <v>0</v>
      </c>
      <c r="AV247" s="11">
        <v>0</v>
      </c>
    </row>
    <row r="248" spans="1:49" ht="14.5">
      <c r="A248" s="6">
        <v>247</v>
      </c>
      <c r="B248" s="7" t="s">
        <v>578</v>
      </c>
      <c r="C248" s="7" t="s">
        <v>81</v>
      </c>
      <c r="D248" s="6">
        <v>15381</v>
      </c>
      <c r="E248" s="6" t="s">
        <v>579</v>
      </c>
      <c r="F248" s="6">
        <v>78444</v>
      </c>
      <c r="G248" s="8"/>
      <c r="H248" s="7" t="s">
        <v>245</v>
      </c>
      <c r="I248" s="7"/>
      <c r="J248" s="6" t="s">
        <v>75</v>
      </c>
      <c r="K248" s="9" t="s">
        <v>89</v>
      </c>
      <c r="L248" s="9" t="s">
        <v>218</v>
      </c>
      <c r="M248" s="8"/>
      <c r="N248" s="10">
        <v>43549</v>
      </c>
      <c r="O248" s="10">
        <v>44194</v>
      </c>
      <c r="P248" s="9" t="s">
        <v>580</v>
      </c>
      <c r="Q248" s="9" t="s">
        <v>581</v>
      </c>
      <c r="R248" s="8"/>
      <c r="S248" s="8"/>
      <c r="T248" s="8"/>
      <c r="U248" s="8"/>
      <c r="V248" s="9" t="s">
        <v>49</v>
      </c>
      <c r="W248" s="9" t="s">
        <v>49</v>
      </c>
      <c r="X248" s="8"/>
      <c r="Y248" s="8"/>
      <c r="Z248" s="8"/>
      <c r="AA248" s="6">
        <v>1.956</v>
      </c>
      <c r="AB248" s="6">
        <v>1.956</v>
      </c>
      <c r="AC248" s="6">
        <v>4.633</v>
      </c>
      <c r="AD248" s="6">
        <v>6.5890000000000004</v>
      </c>
      <c r="AE248" s="8"/>
      <c r="AF248" s="6">
        <v>0.97799999999999998</v>
      </c>
      <c r="AG248" s="6">
        <v>0.97799999999999998</v>
      </c>
      <c r="AH248" s="7" t="s">
        <v>51</v>
      </c>
      <c r="AI248" s="6" t="s">
        <v>49</v>
      </c>
      <c r="AJ248" s="6" t="s">
        <v>49</v>
      </c>
      <c r="AK248" s="6" t="s">
        <v>49</v>
      </c>
      <c r="AL248" s="9" t="s">
        <v>49</v>
      </c>
      <c r="AM248" s="9" t="s">
        <v>213</v>
      </c>
      <c r="AN248" s="6" t="s">
        <v>49</v>
      </c>
      <c r="AO248" s="9" t="s">
        <v>242</v>
      </c>
      <c r="AP248" s="11">
        <v>58.454440000000005</v>
      </c>
      <c r="AQ248" s="11">
        <v>-439533.58</v>
      </c>
      <c r="AR248" s="11">
        <v>-439533.57750000007</v>
      </c>
      <c r="AS248" s="11">
        <v>769.33985999999993</v>
      </c>
      <c r="AT248" s="11">
        <v>1408.0254199999999</v>
      </c>
      <c r="AU248" s="11">
        <v>1945</v>
      </c>
      <c r="AV248" s="11" t="s">
        <v>51</v>
      </c>
      <c r="AW248" t="s">
        <v>93</v>
      </c>
    </row>
    <row r="249" spans="1:49" ht="14.5" hidden="1">
      <c r="A249" s="6">
        <v>248</v>
      </c>
      <c r="B249" s="7" t="s">
        <v>582</v>
      </c>
      <c r="C249" s="7" t="s">
        <v>49</v>
      </c>
      <c r="D249" s="12"/>
      <c r="E249" s="6" t="s">
        <v>49</v>
      </c>
      <c r="F249" s="8"/>
      <c r="G249" s="8"/>
      <c r="H249" s="7" t="s">
        <v>49</v>
      </c>
      <c r="I249" s="7"/>
      <c r="J249" s="6" t="s">
        <v>49</v>
      </c>
      <c r="K249" s="9" t="s">
        <v>49</v>
      </c>
      <c r="L249" s="9" t="s">
        <v>49</v>
      </c>
      <c r="M249" s="8"/>
      <c r="N249" s="8"/>
      <c r="O249" s="8"/>
      <c r="P249" s="9" t="s">
        <v>49</v>
      </c>
      <c r="Q249" s="9" t="s">
        <v>49</v>
      </c>
      <c r="R249" s="8"/>
      <c r="S249" s="8"/>
      <c r="T249" s="8"/>
      <c r="U249" s="8"/>
      <c r="V249" s="9" t="s">
        <v>49</v>
      </c>
      <c r="W249" s="9" t="s">
        <v>49</v>
      </c>
      <c r="X249" s="8"/>
      <c r="Y249" s="8"/>
      <c r="Z249" s="8"/>
      <c r="AA249" s="8"/>
      <c r="AB249" s="8"/>
      <c r="AC249" s="8"/>
      <c r="AD249" s="8"/>
      <c r="AE249" s="8"/>
      <c r="AF249" s="8"/>
      <c r="AG249" s="8"/>
      <c r="AH249" s="7" t="s">
        <v>57</v>
      </c>
      <c r="AI249" s="6" t="s">
        <v>49</v>
      </c>
      <c r="AJ249" s="6" t="s">
        <v>49</v>
      </c>
      <c r="AK249" s="6" t="s">
        <v>118</v>
      </c>
      <c r="AL249" s="9" t="s">
        <v>49</v>
      </c>
      <c r="AM249" s="9" t="s">
        <v>49</v>
      </c>
      <c r="AN249" s="6" t="s">
        <v>49</v>
      </c>
      <c r="AO249" s="9" t="s">
        <v>49</v>
      </c>
      <c r="AP249" s="11">
        <v>7248.8885899999996</v>
      </c>
      <c r="AQ249" s="11">
        <v>0</v>
      </c>
      <c r="AR249" s="11">
        <v>0</v>
      </c>
      <c r="AS249" s="11">
        <v>41681.266040000002</v>
      </c>
      <c r="AT249" s="11">
        <v>0</v>
      </c>
      <c r="AU249" s="11">
        <v>0</v>
      </c>
      <c r="AV249" s="11">
        <v>0</v>
      </c>
    </row>
    <row r="250" spans="1:49" ht="14.5" hidden="1">
      <c r="A250" s="6">
        <v>249</v>
      </c>
      <c r="B250" s="7" t="s">
        <v>583</v>
      </c>
      <c r="C250" s="7" t="s">
        <v>81</v>
      </c>
      <c r="D250" s="6">
        <v>15436</v>
      </c>
      <c r="E250" s="19"/>
      <c r="F250" s="8"/>
      <c r="G250" s="8"/>
      <c r="H250" s="7" t="s">
        <v>49</v>
      </c>
      <c r="I250" s="7"/>
      <c r="J250" s="6" t="s">
        <v>49</v>
      </c>
      <c r="K250" s="9" t="s">
        <v>49</v>
      </c>
      <c r="L250" s="9" t="s">
        <v>49</v>
      </c>
      <c r="M250" s="17">
        <v>107</v>
      </c>
      <c r="N250" s="10">
        <v>43507</v>
      </c>
      <c r="O250" s="10">
        <v>43857</v>
      </c>
      <c r="P250" s="9" t="s">
        <v>49</v>
      </c>
      <c r="Q250" s="9" t="s">
        <v>49</v>
      </c>
      <c r="R250" s="8"/>
      <c r="S250" s="8"/>
      <c r="T250" s="8"/>
      <c r="U250" s="8"/>
      <c r="V250" s="9" t="s">
        <v>49</v>
      </c>
      <c r="W250" s="9" t="s">
        <v>49</v>
      </c>
      <c r="X250" s="8"/>
      <c r="Y250" s="8"/>
      <c r="Z250" s="8"/>
      <c r="AA250" s="8"/>
      <c r="AB250" s="8"/>
      <c r="AC250" s="8"/>
      <c r="AD250" s="8"/>
      <c r="AE250" s="8"/>
      <c r="AF250" s="8"/>
      <c r="AG250" s="8"/>
      <c r="AH250" s="7" t="s">
        <v>57</v>
      </c>
      <c r="AI250" s="6" t="s">
        <v>71</v>
      </c>
      <c r="AJ250" s="6" t="s">
        <v>49</v>
      </c>
      <c r="AK250" s="6" t="s">
        <v>49</v>
      </c>
      <c r="AL250" s="9" t="s">
        <v>213</v>
      </c>
      <c r="AM250" s="9" t="s">
        <v>49</v>
      </c>
      <c r="AN250" s="6" t="s">
        <v>85</v>
      </c>
      <c r="AO250" s="9" t="s">
        <v>49</v>
      </c>
      <c r="AP250" s="11">
        <v>0</v>
      </c>
      <c r="AQ250" s="11">
        <v>0</v>
      </c>
      <c r="AR250" s="11">
        <v>0</v>
      </c>
      <c r="AS250" s="11">
        <v>0</v>
      </c>
      <c r="AT250" s="11">
        <v>0</v>
      </c>
      <c r="AU250" s="11">
        <v>150</v>
      </c>
      <c r="AV250" s="11">
        <v>0</v>
      </c>
      <c r="AW250" t="s">
        <v>93</v>
      </c>
    </row>
    <row r="251" spans="1:49" ht="14.5">
      <c r="A251" s="6">
        <v>250</v>
      </c>
      <c r="B251" s="7" t="s">
        <v>583</v>
      </c>
      <c r="C251" s="7" t="s">
        <v>81</v>
      </c>
      <c r="D251" s="6">
        <v>15436</v>
      </c>
      <c r="E251" s="6" t="s">
        <v>584</v>
      </c>
      <c r="F251" s="6">
        <v>78975</v>
      </c>
      <c r="G251" s="8"/>
      <c r="H251" s="7" t="s">
        <v>49</v>
      </c>
      <c r="I251" s="7"/>
      <c r="J251" s="6" t="s">
        <v>585</v>
      </c>
      <c r="K251" s="9" t="s">
        <v>89</v>
      </c>
      <c r="L251" s="9" t="s">
        <v>73</v>
      </c>
      <c r="M251" s="8"/>
      <c r="N251" s="10">
        <v>43507</v>
      </c>
      <c r="O251" s="10">
        <v>43857</v>
      </c>
      <c r="P251" s="9" t="s">
        <v>586</v>
      </c>
      <c r="Q251" s="9" t="s">
        <v>587</v>
      </c>
      <c r="R251" s="8"/>
      <c r="S251" s="8"/>
      <c r="T251" s="8"/>
      <c r="U251" s="8"/>
      <c r="V251" s="9" t="s">
        <v>49</v>
      </c>
      <c r="W251" s="9" t="s">
        <v>49</v>
      </c>
      <c r="X251" s="8"/>
      <c r="Y251" s="8"/>
      <c r="Z251" s="6">
        <v>0.107</v>
      </c>
      <c r="AA251" s="8"/>
      <c r="AB251" s="6">
        <v>0.107</v>
      </c>
      <c r="AC251" s="8"/>
      <c r="AD251" s="6">
        <v>0.107</v>
      </c>
      <c r="AE251" s="6">
        <v>8.5999999999999993E-2</v>
      </c>
      <c r="AF251" s="8"/>
      <c r="AG251" s="6">
        <v>8.5999999999999993E-2</v>
      </c>
      <c r="AH251" s="7" t="s">
        <v>57</v>
      </c>
      <c r="AI251" s="6" t="s">
        <v>49</v>
      </c>
      <c r="AJ251" s="6" t="s">
        <v>49</v>
      </c>
      <c r="AK251" s="6" t="s">
        <v>49</v>
      </c>
      <c r="AL251" s="9" t="s">
        <v>49</v>
      </c>
      <c r="AM251" s="9" t="s">
        <v>287</v>
      </c>
      <c r="AN251" s="6" t="s">
        <v>49</v>
      </c>
      <c r="AO251" s="9" t="s">
        <v>287</v>
      </c>
      <c r="AP251" s="11">
        <v>130.29462000000001</v>
      </c>
      <c r="AQ251" s="11">
        <v>149090.10999999999</v>
      </c>
      <c r="AR251" s="11">
        <v>149090.11250000002</v>
      </c>
      <c r="AS251" s="11">
        <v>446.0104</v>
      </c>
      <c r="AT251" s="11">
        <v>149.09010999999998</v>
      </c>
      <c r="AU251" s="11">
        <v>0</v>
      </c>
      <c r="AV251" s="11" t="s">
        <v>57</v>
      </c>
    </row>
    <row r="252" spans="1:49" ht="14.5" hidden="1">
      <c r="A252" s="6">
        <v>251</v>
      </c>
      <c r="B252" s="7" t="s">
        <v>588</v>
      </c>
      <c r="C252" s="7" t="s">
        <v>81</v>
      </c>
      <c r="D252" s="6">
        <v>15438</v>
      </c>
      <c r="E252" s="6" t="s">
        <v>589</v>
      </c>
      <c r="F252" s="8"/>
      <c r="G252" s="8"/>
      <c r="H252" s="7" t="s">
        <v>88</v>
      </c>
      <c r="I252" s="7"/>
      <c r="J252" s="6" t="s">
        <v>75</v>
      </c>
      <c r="K252" s="9" t="s">
        <v>89</v>
      </c>
      <c r="L252" s="9" t="s">
        <v>49</v>
      </c>
      <c r="M252" s="8"/>
      <c r="N252" s="10">
        <v>43479</v>
      </c>
      <c r="O252" s="12"/>
      <c r="P252" s="9" t="s">
        <v>49</v>
      </c>
      <c r="Q252" s="9" t="s">
        <v>49</v>
      </c>
      <c r="R252" s="8"/>
      <c r="S252" s="8"/>
      <c r="T252" s="8"/>
      <c r="U252" s="8"/>
      <c r="V252" s="9" t="s">
        <v>49</v>
      </c>
      <c r="W252" s="9" t="s">
        <v>49</v>
      </c>
      <c r="X252" s="8"/>
      <c r="Y252" s="8"/>
      <c r="Z252" s="8"/>
      <c r="AA252" s="6">
        <v>0.5</v>
      </c>
      <c r="AB252" s="6">
        <v>0.5</v>
      </c>
      <c r="AC252" s="8"/>
      <c r="AD252" s="6">
        <v>0.5</v>
      </c>
      <c r="AE252" s="8"/>
      <c r="AF252" s="6">
        <v>0.25</v>
      </c>
      <c r="AG252" s="6">
        <v>0.25</v>
      </c>
      <c r="AH252" s="7" t="s">
        <v>57</v>
      </c>
      <c r="AI252" s="6" t="s">
        <v>49</v>
      </c>
      <c r="AJ252" s="6" t="s">
        <v>49</v>
      </c>
      <c r="AK252" s="6" t="s">
        <v>49</v>
      </c>
      <c r="AL252" s="9" t="s">
        <v>49</v>
      </c>
      <c r="AM252" s="9" t="s">
        <v>213</v>
      </c>
      <c r="AN252" s="6" t="s">
        <v>218</v>
      </c>
      <c r="AO252" s="9" t="s">
        <v>242</v>
      </c>
      <c r="AP252" s="11">
        <v>0</v>
      </c>
      <c r="AQ252" s="11">
        <v>0</v>
      </c>
      <c r="AR252" s="11">
        <v>0</v>
      </c>
      <c r="AS252" s="11">
        <v>0</v>
      </c>
      <c r="AT252" s="11">
        <v>475</v>
      </c>
      <c r="AU252" s="11">
        <v>0</v>
      </c>
      <c r="AV252" s="11" t="s">
        <v>57</v>
      </c>
    </row>
    <row r="253" spans="1:49" ht="14.5" hidden="1">
      <c r="A253" s="6">
        <v>252</v>
      </c>
      <c r="B253" s="7" t="s">
        <v>590</v>
      </c>
      <c r="C253" s="7" t="s">
        <v>49</v>
      </c>
      <c r="D253" s="6">
        <v>15438</v>
      </c>
      <c r="E253" s="6" t="s">
        <v>49</v>
      </c>
      <c r="F253" s="8"/>
      <c r="G253" s="8"/>
      <c r="H253" s="7" t="s">
        <v>49</v>
      </c>
      <c r="I253" s="7"/>
      <c r="J253" s="6" t="s">
        <v>49</v>
      </c>
      <c r="K253" s="9" t="s">
        <v>49</v>
      </c>
      <c r="L253" s="9" t="s">
        <v>49</v>
      </c>
      <c r="M253" s="12"/>
      <c r="N253" s="10">
        <v>43479</v>
      </c>
      <c r="O253" s="12"/>
      <c r="P253" s="9" t="s">
        <v>49</v>
      </c>
      <c r="Q253" s="9" t="s">
        <v>49</v>
      </c>
      <c r="R253" s="8"/>
      <c r="S253" s="8"/>
      <c r="T253" s="8"/>
      <c r="U253" s="8"/>
      <c r="V253" s="9" t="s">
        <v>49</v>
      </c>
      <c r="W253" s="9" t="s">
        <v>49</v>
      </c>
      <c r="X253" s="8"/>
      <c r="Y253" s="8"/>
      <c r="Z253" s="8"/>
      <c r="AA253" s="8"/>
      <c r="AB253" s="8"/>
      <c r="AC253" s="8"/>
      <c r="AD253" s="8"/>
      <c r="AE253" s="8"/>
      <c r="AF253" s="8"/>
      <c r="AG253" s="8"/>
      <c r="AH253" s="7" t="s">
        <v>57</v>
      </c>
      <c r="AI253" s="6" t="s">
        <v>71</v>
      </c>
      <c r="AJ253" s="6" t="s">
        <v>49</v>
      </c>
      <c r="AK253" s="6" t="s">
        <v>49</v>
      </c>
      <c r="AL253" s="9" t="s">
        <v>213</v>
      </c>
      <c r="AM253" s="9" t="s">
        <v>49</v>
      </c>
      <c r="AN253" s="6" t="s">
        <v>85</v>
      </c>
      <c r="AO253" s="9" t="s">
        <v>49</v>
      </c>
      <c r="AP253" s="11">
        <v>7248.8885899999996</v>
      </c>
      <c r="AQ253" s="11">
        <v>0</v>
      </c>
      <c r="AR253" s="11">
        <v>0</v>
      </c>
      <c r="AS253" s="11">
        <v>41681.266040000002</v>
      </c>
      <c r="AT253" s="11">
        <v>0</v>
      </c>
      <c r="AU253" s="11">
        <v>0</v>
      </c>
      <c r="AV253" s="11">
        <v>0</v>
      </c>
    </row>
    <row r="254" spans="1:49" ht="14.5" hidden="1">
      <c r="A254" s="6">
        <v>253</v>
      </c>
      <c r="B254" s="7" t="s">
        <v>591</v>
      </c>
      <c r="C254" s="7" t="s">
        <v>49</v>
      </c>
      <c r="D254" s="6">
        <v>15385</v>
      </c>
      <c r="E254" s="6" t="s">
        <v>49</v>
      </c>
      <c r="F254" s="8"/>
      <c r="G254" s="8"/>
      <c r="H254" s="7" t="s">
        <v>49</v>
      </c>
      <c r="I254" s="7"/>
      <c r="J254" s="6" t="s">
        <v>49</v>
      </c>
      <c r="K254" s="9" t="s">
        <v>49</v>
      </c>
      <c r="L254" s="9" t="s">
        <v>49</v>
      </c>
      <c r="M254" s="8"/>
      <c r="N254" s="10">
        <v>43374</v>
      </c>
      <c r="O254" s="10">
        <v>43831</v>
      </c>
      <c r="P254" s="9" t="s">
        <v>49</v>
      </c>
      <c r="Q254" s="9" t="s">
        <v>49</v>
      </c>
      <c r="R254" s="8"/>
      <c r="S254" s="8"/>
      <c r="T254" s="8"/>
      <c r="U254" s="8"/>
      <c r="V254" s="9" t="s">
        <v>49</v>
      </c>
      <c r="W254" s="9" t="s">
        <v>49</v>
      </c>
      <c r="X254" s="8"/>
      <c r="Y254" s="8"/>
      <c r="Z254" s="8"/>
      <c r="AA254" s="8"/>
      <c r="AB254" s="8"/>
      <c r="AC254" s="8"/>
      <c r="AD254" s="8"/>
      <c r="AE254" s="8"/>
      <c r="AF254" s="8"/>
      <c r="AG254" s="8"/>
      <c r="AH254" s="7" t="s">
        <v>51</v>
      </c>
      <c r="AI254" s="6" t="s">
        <v>71</v>
      </c>
      <c r="AJ254" s="6" t="s">
        <v>49</v>
      </c>
      <c r="AK254" s="6" t="s">
        <v>49</v>
      </c>
      <c r="AL254" s="9" t="s">
        <v>592</v>
      </c>
      <c r="AM254" s="9" t="s">
        <v>49</v>
      </c>
      <c r="AN254" s="6" t="s">
        <v>96</v>
      </c>
      <c r="AO254" s="9" t="s">
        <v>49</v>
      </c>
      <c r="AP254" s="11">
        <v>7248.8885899999996</v>
      </c>
      <c r="AQ254" s="11">
        <v>0</v>
      </c>
      <c r="AR254" s="11">
        <v>0</v>
      </c>
      <c r="AS254" s="11">
        <v>41681.266040000002</v>
      </c>
      <c r="AT254" s="11">
        <v>0</v>
      </c>
      <c r="AU254" s="11">
        <v>0</v>
      </c>
      <c r="AV254" s="11">
        <v>0</v>
      </c>
    </row>
    <row r="255" spans="1:49" ht="14.5" hidden="1">
      <c r="A255" s="6">
        <v>254</v>
      </c>
      <c r="B255" s="7" t="s">
        <v>593</v>
      </c>
      <c r="C255" s="7" t="s">
        <v>49</v>
      </c>
      <c r="D255" s="6">
        <v>15385</v>
      </c>
      <c r="E255" s="6" t="s">
        <v>594</v>
      </c>
      <c r="F255" s="8"/>
      <c r="G255" s="8"/>
      <c r="H255" s="7" t="s">
        <v>49</v>
      </c>
      <c r="I255" s="7"/>
      <c r="J255" s="6" t="s">
        <v>49</v>
      </c>
      <c r="K255" s="9" t="s">
        <v>49</v>
      </c>
      <c r="L255" s="9" t="s">
        <v>49</v>
      </c>
      <c r="M255" s="8"/>
      <c r="N255" s="10">
        <v>43374</v>
      </c>
      <c r="O255" s="10">
        <v>43831</v>
      </c>
      <c r="P255" s="9" t="s">
        <v>49</v>
      </c>
      <c r="Q255" s="9" t="s">
        <v>49</v>
      </c>
      <c r="R255" s="8"/>
      <c r="S255" s="8"/>
      <c r="T255" s="8"/>
      <c r="U255" s="8"/>
      <c r="V255" s="9" t="s">
        <v>49</v>
      </c>
      <c r="W255" s="9" t="s">
        <v>49</v>
      </c>
      <c r="X255" s="8"/>
      <c r="Y255" s="8"/>
      <c r="Z255" s="8"/>
      <c r="AA255" s="12"/>
      <c r="AB255" s="12"/>
      <c r="AC255" s="8"/>
      <c r="AD255" s="12"/>
      <c r="AE255" s="8"/>
      <c r="AF255" s="12"/>
      <c r="AG255" s="12"/>
      <c r="AH255" s="7" t="s">
        <v>51</v>
      </c>
      <c r="AI255" s="6" t="s">
        <v>49</v>
      </c>
      <c r="AJ255" s="6" t="s">
        <v>49</v>
      </c>
      <c r="AK255" s="6" t="s">
        <v>49</v>
      </c>
      <c r="AL255" s="9" t="s">
        <v>49</v>
      </c>
      <c r="AM255" s="9" t="s">
        <v>592</v>
      </c>
      <c r="AN255" s="6" t="s">
        <v>49</v>
      </c>
      <c r="AO255" s="9" t="s">
        <v>592</v>
      </c>
      <c r="AP255" s="11">
        <v>0</v>
      </c>
      <c r="AQ255" s="11">
        <v>0</v>
      </c>
      <c r="AR255" s="11">
        <v>0</v>
      </c>
      <c r="AS255" s="11">
        <v>259.81956000000002</v>
      </c>
      <c r="AT255" s="11">
        <v>0</v>
      </c>
      <c r="AU255" s="11">
        <v>0</v>
      </c>
      <c r="AV255" s="11" t="s">
        <v>51</v>
      </c>
    </row>
    <row r="256" spans="1:49" ht="14.5" hidden="1">
      <c r="A256" s="6">
        <v>255</v>
      </c>
      <c r="B256" s="7" t="s">
        <v>595</v>
      </c>
      <c r="C256" s="7" t="s">
        <v>49</v>
      </c>
      <c r="D256" s="6">
        <v>12540</v>
      </c>
      <c r="E256" s="6" t="s">
        <v>49</v>
      </c>
      <c r="F256" s="8"/>
      <c r="G256" s="8"/>
      <c r="H256" s="7" t="s">
        <v>49</v>
      </c>
      <c r="I256" s="7"/>
      <c r="J256" s="6" t="s">
        <v>49</v>
      </c>
      <c r="K256" s="9" t="s">
        <v>49</v>
      </c>
      <c r="L256" s="9" t="s">
        <v>49</v>
      </c>
      <c r="M256" s="8"/>
      <c r="N256" s="10">
        <v>42948</v>
      </c>
      <c r="O256" s="10">
        <v>44165</v>
      </c>
      <c r="P256" s="9" t="s">
        <v>49</v>
      </c>
      <c r="Q256" s="9" t="s">
        <v>49</v>
      </c>
      <c r="R256" s="8"/>
      <c r="S256" s="8"/>
      <c r="T256" s="8"/>
      <c r="U256" s="8"/>
      <c r="V256" s="9" t="s">
        <v>49</v>
      </c>
      <c r="W256" s="9" t="s">
        <v>49</v>
      </c>
      <c r="X256" s="8"/>
      <c r="Y256" s="8"/>
      <c r="Z256" s="8"/>
      <c r="AA256" s="8"/>
      <c r="AB256" s="8"/>
      <c r="AC256" s="8"/>
      <c r="AD256" s="8"/>
      <c r="AE256" s="8"/>
      <c r="AF256" s="8"/>
      <c r="AG256" s="8"/>
      <c r="AH256" s="7" t="s">
        <v>51</v>
      </c>
      <c r="AI256" s="6" t="s">
        <v>71</v>
      </c>
      <c r="AJ256" s="6" t="s">
        <v>49</v>
      </c>
      <c r="AK256" s="6" t="s">
        <v>118</v>
      </c>
      <c r="AL256" s="9" t="s">
        <v>596</v>
      </c>
      <c r="AM256" s="9" t="s">
        <v>49</v>
      </c>
      <c r="AN256" s="6" t="s">
        <v>82</v>
      </c>
      <c r="AO256" s="9" t="s">
        <v>49</v>
      </c>
      <c r="AP256" s="11">
        <v>7248.8885899999996</v>
      </c>
      <c r="AQ256" s="11">
        <v>0</v>
      </c>
      <c r="AR256" s="11">
        <v>0</v>
      </c>
      <c r="AS256" s="11">
        <v>41681.266040000002</v>
      </c>
      <c r="AT256" s="11">
        <v>0</v>
      </c>
      <c r="AU256" s="11">
        <v>0</v>
      </c>
      <c r="AV256" s="11">
        <v>0</v>
      </c>
    </row>
    <row r="257" spans="1:49" ht="14.5" hidden="1">
      <c r="A257" s="6">
        <v>256</v>
      </c>
      <c r="B257" s="7" t="s">
        <v>597</v>
      </c>
      <c r="C257" s="7" t="s">
        <v>49</v>
      </c>
      <c r="D257" s="6">
        <v>12540</v>
      </c>
      <c r="E257" s="6" t="s">
        <v>598</v>
      </c>
      <c r="F257" s="12"/>
      <c r="G257" s="8"/>
      <c r="H257" s="7" t="s">
        <v>49</v>
      </c>
      <c r="I257" s="7"/>
      <c r="J257" s="6" t="s">
        <v>49</v>
      </c>
      <c r="K257" s="9" t="s">
        <v>49</v>
      </c>
      <c r="L257" s="9" t="s">
        <v>49</v>
      </c>
      <c r="M257" s="12"/>
      <c r="N257" s="10">
        <v>42948</v>
      </c>
      <c r="O257" s="10">
        <v>44165</v>
      </c>
      <c r="P257" s="9" t="s">
        <v>49</v>
      </c>
      <c r="Q257" s="9" t="s">
        <v>49</v>
      </c>
      <c r="R257" s="8"/>
      <c r="S257" s="8"/>
      <c r="T257" s="8"/>
      <c r="U257" s="8"/>
      <c r="V257" s="9" t="s">
        <v>49</v>
      </c>
      <c r="W257" s="9" t="s">
        <v>49</v>
      </c>
      <c r="X257" s="8"/>
      <c r="Y257" s="8"/>
      <c r="Z257" s="12"/>
      <c r="AA257" s="8"/>
      <c r="AB257" s="12"/>
      <c r="AC257" s="8"/>
      <c r="AD257" s="12"/>
      <c r="AE257" s="12"/>
      <c r="AF257" s="8"/>
      <c r="AG257" s="8"/>
      <c r="AH257" s="7" t="s">
        <v>51</v>
      </c>
      <c r="AI257" s="6" t="s">
        <v>49</v>
      </c>
      <c r="AJ257" s="6" t="s">
        <v>49</v>
      </c>
      <c r="AK257" s="6" t="s">
        <v>49</v>
      </c>
      <c r="AL257" s="9" t="s">
        <v>49</v>
      </c>
      <c r="AM257" s="9" t="s">
        <v>596</v>
      </c>
      <c r="AN257" s="6" t="s">
        <v>49</v>
      </c>
      <c r="AO257" s="9" t="s">
        <v>596</v>
      </c>
      <c r="AP257" s="11">
        <v>0</v>
      </c>
      <c r="AQ257" s="11">
        <v>0</v>
      </c>
      <c r="AR257" s="11">
        <v>0</v>
      </c>
      <c r="AS257" s="11">
        <v>0</v>
      </c>
      <c r="AT257" s="11">
        <v>0</v>
      </c>
      <c r="AU257" s="11">
        <v>0</v>
      </c>
      <c r="AV257" s="11" t="s">
        <v>51</v>
      </c>
    </row>
    <row r="258" spans="1:49" ht="14.5" hidden="1">
      <c r="A258" s="6">
        <v>257</v>
      </c>
      <c r="B258" s="7" t="s">
        <v>599</v>
      </c>
      <c r="C258" s="7" t="s">
        <v>49</v>
      </c>
      <c r="D258" s="6">
        <v>16027</v>
      </c>
      <c r="E258" s="6" t="s">
        <v>49</v>
      </c>
      <c r="F258" s="8"/>
      <c r="G258" s="8"/>
      <c r="H258" s="7" t="s">
        <v>49</v>
      </c>
      <c r="I258" s="7"/>
      <c r="J258" s="6" t="s">
        <v>49</v>
      </c>
      <c r="K258" s="9" t="s">
        <v>49</v>
      </c>
      <c r="L258" s="9" t="s">
        <v>49</v>
      </c>
      <c r="M258" s="8"/>
      <c r="N258" s="10">
        <v>43497</v>
      </c>
      <c r="O258" s="10">
        <v>44196</v>
      </c>
      <c r="P258" s="9" t="s">
        <v>49</v>
      </c>
      <c r="Q258" s="9" t="s">
        <v>49</v>
      </c>
      <c r="R258" s="8"/>
      <c r="S258" s="8"/>
      <c r="T258" s="8"/>
      <c r="U258" s="8"/>
      <c r="V258" s="9" t="s">
        <v>49</v>
      </c>
      <c r="W258" s="9" t="s">
        <v>49</v>
      </c>
      <c r="X258" s="8"/>
      <c r="Y258" s="8"/>
      <c r="Z258" s="8"/>
      <c r="AA258" s="8"/>
      <c r="AB258" s="8"/>
      <c r="AC258" s="8"/>
      <c r="AD258" s="8"/>
      <c r="AE258" s="8"/>
      <c r="AF258" s="8"/>
      <c r="AG258" s="8"/>
      <c r="AH258" s="7" t="s">
        <v>57</v>
      </c>
      <c r="AI258" s="6" t="s">
        <v>71</v>
      </c>
      <c r="AJ258" s="6" t="s">
        <v>49</v>
      </c>
      <c r="AK258" s="6" t="s">
        <v>49</v>
      </c>
      <c r="AL258" s="9" t="s">
        <v>67</v>
      </c>
      <c r="AM258" s="9" t="s">
        <v>49</v>
      </c>
      <c r="AN258" s="6" t="s">
        <v>85</v>
      </c>
      <c r="AO258" s="9" t="s">
        <v>49</v>
      </c>
      <c r="AP258" s="11">
        <v>7248.8885899999996</v>
      </c>
      <c r="AQ258" s="11">
        <v>0</v>
      </c>
      <c r="AR258" s="11">
        <v>0</v>
      </c>
      <c r="AS258" s="11">
        <v>41681.266040000002</v>
      </c>
      <c r="AT258" s="11">
        <v>0</v>
      </c>
      <c r="AU258" s="11">
        <v>0</v>
      </c>
      <c r="AV258" s="11">
        <v>0</v>
      </c>
    </row>
    <row r="259" spans="1:49" ht="14.5" hidden="1">
      <c r="A259" s="6">
        <v>258</v>
      </c>
      <c r="B259" s="7" t="s">
        <v>599</v>
      </c>
      <c r="C259" s="7" t="s">
        <v>49</v>
      </c>
      <c r="D259" s="6">
        <v>16027</v>
      </c>
      <c r="E259" s="6" t="s">
        <v>600</v>
      </c>
      <c r="F259" s="8"/>
      <c r="G259" s="8"/>
      <c r="H259" s="7" t="s">
        <v>49</v>
      </c>
      <c r="I259" s="7"/>
      <c r="J259" s="6" t="s">
        <v>49</v>
      </c>
      <c r="K259" s="9" t="s">
        <v>49</v>
      </c>
      <c r="L259" s="9" t="s">
        <v>49</v>
      </c>
      <c r="M259" s="8"/>
      <c r="N259" s="10">
        <v>43497</v>
      </c>
      <c r="O259" s="10">
        <v>44196</v>
      </c>
      <c r="P259" s="9" t="s">
        <v>49</v>
      </c>
      <c r="Q259" s="9" t="s">
        <v>49</v>
      </c>
      <c r="R259" s="8"/>
      <c r="S259" s="8"/>
      <c r="T259" s="8"/>
      <c r="U259" s="8"/>
      <c r="V259" s="9" t="s">
        <v>49</v>
      </c>
      <c r="W259" s="9" t="s">
        <v>49</v>
      </c>
      <c r="X259" s="8"/>
      <c r="Y259" s="8"/>
      <c r="Z259" s="8"/>
      <c r="AA259" s="8"/>
      <c r="AB259" s="8"/>
      <c r="AC259" s="8"/>
      <c r="AD259" s="8"/>
      <c r="AE259" s="8"/>
      <c r="AF259" s="8"/>
      <c r="AG259" s="8"/>
      <c r="AH259" s="7" t="s">
        <v>57</v>
      </c>
      <c r="AI259" s="6" t="s">
        <v>49</v>
      </c>
      <c r="AJ259" s="6" t="s">
        <v>49</v>
      </c>
      <c r="AK259" s="6" t="s">
        <v>49</v>
      </c>
      <c r="AL259" s="9" t="s">
        <v>49</v>
      </c>
      <c r="AM259" s="9" t="s">
        <v>67</v>
      </c>
      <c r="AN259" s="6" t="s">
        <v>49</v>
      </c>
      <c r="AO259" s="9" t="s">
        <v>67</v>
      </c>
      <c r="AP259" s="11">
        <v>0</v>
      </c>
      <c r="AQ259" s="11">
        <v>0</v>
      </c>
      <c r="AR259" s="11">
        <v>0</v>
      </c>
      <c r="AS259" s="11">
        <v>0</v>
      </c>
      <c r="AT259" s="11">
        <v>1500.0375100000001</v>
      </c>
      <c r="AU259" s="11">
        <v>0</v>
      </c>
      <c r="AV259" s="11" t="s">
        <v>57</v>
      </c>
    </row>
    <row r="260" spans="1:49" ht="14.5" hidden="1">
      <c r="A260" s="6">
        <v>259</v>
      </c>
      <c r="B260" s="7" t="s">
        <v>601</v>
      </c>
      <c r="C260" s="7" t="s">
        <v>49</v>
      </c>
      <c r="D260" s="6">
        <v>15504</v>
      </c>
      <c r="E260" s="6" t="s">
        <v>602</v>
      </c>
      <c r="F260" s="8"/>
      <c r="G260" s="8"/>
      <c r="H260" s="7" t="s">
        <v>49</v>
      </c>
      <c r="I260" s="7"/>
      <c r="J260" s="6" t="s">
        <v>49</v>
      </c>
      <c r="K260" s="9" t="s">
        <v>49</v>
      </c>
      <c r="L260" s="9" t="s">
        <v>49</v>
      </c>
      <c r="M260" s="8"/>
      <c r="N260" s="8"/>
      <c r="O260" s="10">
        <v>44196</v>
      </c>
      <c r="P260" s="9" t="s">
        <v>49</v>
      </c>
      <c r="Q260" s="9" t="s">
        <v>49</v>
      </c>
      <c r="R260" s="8"/>
      <c r="S260" s="8"/>
      <c r="T260" s="8"/>
      <c r="U260" s="8"/>
      <c r="V260" s="9" t="s">
        <v>49</v>
      </c>
      <c r="W260" s="9" t="s">
        <v>49</v>
      </c>
      <c r="X260" s="8"/>
      <c r="Y260" s="8"/>
      <c r="Z260" s="8"/>
      <c r="AA260" s="8"/>
      <c r="AB260" s="8"/>
      <c r="AC260" s="8"/>
      <c r="AD260" s="8"/>
      <c r="AE260" s="8"/>
      <c r="AF260" s="8"/>
      <c r="AG260" s="8"/>
      <c r="AH260" s="7" t="s">
        <v>57</v>
      </c>
      <c r="AI260" s="6" t="s">
        <v>49</v>
      </c>
      <c r="AJ260" s="6" t="s">
        <v>49</v>
      </c>
      <c r="AK260" s="6" t="s">
        <v>49</v>
      </c>
      <c r="AL260" s="9" t="s">
        <v>49</v>
      </c>
      <c r="AM260" s="9" t="s">
        <v>67</v>
      </c>
      <c r="AN260" s="6" t="s">
        <v>49</v>
      </c>
      <c r="AO260" s="9" t="s">
        <v>603</v>
      </c>
      <c r="AP260" s="11">
        <v>0</v>
      </c>
      <c r="AQ260" s="11">
        <v>0</v>
      </c>
      <c r="AR260" s="11">
        <v>0</v>
      </c>
      <c r="AS260" s="11">
        <v>0</v>
      </c>
      <c r="AT260" s="11">
        <v>0</v>
      </c>
      <c r="AU260" s="11">
        <v>0</v>
      </c>
      <c r="AV260" s="11" t="s">
        <v>57</v>
      </c>
    </row>
    <row r="261" spans="1:49" ht="14.5" hidden="1">
      <c r="A261" s="6">
        <v>260</v>
      </c>
      <c r="B261" s="7" t="s">
        <v>604</v>
      </c>
      <c r="C261" s="7" t="s">
        <v>49</v>
      </c>
      <c r="D261" s="6">
        <v>15644</v>
      </c>
      <c r="E261" s="6" t="s">
        <v>49</v>
      </c>
      <c r="F261" s="8"/>
      <c r="G261" s="8"/>
      <c r="H261" s="7" t="s">
        <v>49</v>
      </c>
      <c r="I261" s="7"/>
      <c r="J261" s="6" t="s">
        <v>49</v>
      </c>
      <c r="K261" s="9" t="s">
        <v>49</v>
      </c>
      <c r="L261" s="9" t="s">
        <v>49</v>
      </c>
      <c r="M261" s="8"/>
      <c r="N261" s="8"/>
      <c r="O261" s="12"/>
      <c r="P261" s="9" t="s">
        <v>49</v>
      </c>
      <c r="Q261" s="9" t="s">
        <v>49</v>
      </c>
      <c r="R261" s="8"/>
      <c r="S261" s="8"/>
      <c r="T261" s="8"/>
      <c r="U261" s="8"/>
      <c r="V261" s="9" t="s">
        <v>49</v>
      </c>
      <c r="W261" s="9" t="s">
        <v>49</v>
      </c>
      <c r="X261" s="8"/>
      <c r="Y261" s="8"/>
      <c r="Z261" s="8"/>
      <c r="AA261" s="12"/>
      <c r="AB261" s="12"/>
      <c r="AC261" s="12"/>
      <c r="AD261" s="12"/>
      <c r="AE261" s="8"/>
      <c r="AF261" s="12"/>
      <c r="AG261" s="12"/>
      <c r="AH261" s="7" t="s">
        <v>79</v>
      </c>
      <c r="AI261" s="6" t="s">
        <v>110</v>
      </c>
      <c r="AJ261" s="6" t="s">
        <v>49</v>
      </c>
      <c r="AK261" s="6" t="s">
        <v>49</v>
      </c>
      <c r="AL261" s="9" t="s">
        <v>111</v>
      </c>
      <c r="AM261" s="9" t="s">
        <v>49</v>
      </c>
      <c r="AN261" s="6" t="s">
        <v>82</v>
      </c>
      <c r="AO261" s="9" t="s">
        <v>49</v>
      </c>
      <c r="AP261" s="11">
        <v>7248.8885899999996</v>
      </c>
      <c r="AQ261" s="11">
        <v>0</v>
      </c>
      <c r="AR261" s="11">
        <v>0</v>
      </c>
      <c r="AS261" s="11">
        <v>41681.266040000002</v>
      </c>
      <c r="AT261" s="11">
        <v>0</v>
      </c>
      <c r="AU261" s="11">
        <v>0</v>
      </c>
      <c r="AV261" s="11">
        <v>0</v>
      </c>
    </row>
    <row r="262" spans="1:49" ht="14.5" hidden="1">
      <c r="A262" s="6">
        <v>261</v>
      </c>
      <c r="B262" s="7" t="s">
        <v>605</v>
      </c>
      <c r="C262" s="7" t="s">
        <v>49</v>
      </c>
      <c r="D262" s="6">
        <v>15341</v>
      </c>
      <c r="E262" s="6" t="s">
        <v>606</v>
      </c>
      <c r="F262" s="8"/>
      <c r="G262" s="8"/>
      <c r="H262" s="7" t="s">
        <v>49</v>
      </c>
      <c r="I262" s="7"/>
      <c r="J262" s="6" t="s">
        <v>49</v>
      </c>
      <c r="K262" s="9" t="s">
        <v>49</v>
      </c>
      <c r="L262" s="9" t="s">
        <v>49</v>
      </c>
      <c r="M262" s="8"/>
      <c r="N262" s="10">
        <v>43332</v>
      </c>
      <c r="O262" s="10">
        <v>43860</v>
      </c>
      <c r="P262" s="9" t="s">
        <v>49</v>
      </c>
      <c r="Q262" s="9" t="s">
        <v>49</v>
      </c>
      <c r="R262" s="8"/>
      <c r="S262" s="8"/>
      <c r="T262" s="8"/>
      <c r="U262" s="8"/>
      <c r="V262" s="9" t="s">
        <v>49</v>
      </c>
      <c r="W262" s="9" t="s">
        <v>49</v>
      </c>
      <c r="X262" s="8"/>
      <c r="Y262" s="8"/>
      <c r="Z262" s="8"/>
      <c r="AA262" s="8"/>
      <c r="AB262" s="8"/>
      <c r="AC262" s="8"/>
      <c r="AD262" s="8"/>
      <c r="AE262" s="8"/>
      <c r="AF262" s="8"/>
      <c r="AG262" s="8"/>
      <c r="AH262" s="7" t="s">
        <v>51</v>
      </c>
      <c r="AI262" s="6" t="s">
        <v>49</v>
      </c>
      <c r="AJ262" s="6" t="s">
        <v>49</v>
      </c>
      <c r="AK262" s="6" t="s">
        <v>49</v>
      </c>
      <c r="AL262" s="9" t="s">
        <v>49</v>
      </c>
      <c r="AM262" s="9" t="s">
        <v>607</v>
      </c>
      <c r="AN262" s="6" t="s">
        <v>49</v>
      </c>
      <c r="AO262" s="9" t="s">
        <v>201</v>
      </c>
      <c r="AP262" s="11">
        <v>0</v>
      </c>
      <c r="AQ262" s="11">
        <v>0</v>
      </c>
      <c r="AR262" s="11">
        <v>0</v>
      </c>
      <c r="AS262" s="11">
        <v>0</v>
      </c>
      <c r="AT262" s="11">
        <v>0</v>
      </c>
      <c r="AU262" s="11">
        <v>0</v>
      </c>
      <c r="AV262" s="11" t="s">
        <v>51</v>
      </c>
    </row>
    <row r="263" spans="1:49" ht="14.5" hidden="1">
      <c r="A263" s="6">
        <v>262</v>
      </c>
      <c r="B263" s="7" t="s">
        <v>608</v>
      </c>
      <c r="C263" s="7" t="s">
        <v>49</v>
      </c>
      <c r="D263" s="6">
        <v>15706</v>
      </c>
      <c r="E263" s="6" t="s">
        <v>49</v>
      </c>
      <c r="F263" s="8"/>
      <c r="G263" s="8"/>
      <c r="H263" s="7" t="s">
        <v>49</v>
      </c>
      <c r="I263" s="7"/>
      <c r="J263" s="6" t="s">
        <v>49</v>
      </c>
      <c r="K263" s="9" t="s">
        <v>49</v>
      </c>
      <c r="L263" s="9" t="s">
        <v>49</v>
      </c>
      <c r="M263" s="8"/>
      <c r="N263" s="8"/>
      <c r="O263" s="10">
        <v>44042</v>
      </c>
      <c r="P263" s="9" t="s">
        <v>49</v>
      </c>
      <c r="Q263" s="9" t="s">
        <v>49</v>
      </c>
      <c r="R263" s="8"/>
      <c r="S263" s="8"/>
      <c r="T263" s="8"/>
      <c r="U263" s="8"/>
      <c r="V263" s="9" t="s">
        <v>49</v>
      </c>
      <c r="W263" s="9" t="s">
        <v>49</v>
      </c>
      <c r="X263" s="8"/>
      <c r="Y263" s="8"/>
      <c r="Z263" s="8"/>
      <c r="AA263" s="8"/>
      <c r="AB263" s="8"/>
      <c r="AC263" s="8"/>
      <c r="AD263" s="8"/>
      <c r="AE263" s="8"/>
      <c r="AF263" s="8"/>
      <c r="AG263" s="8"/>
      <c r="AH263" s="7" t="s">
        <v>51</v>
      </c>
      <c r="AI263" s="6" t="s">
        <v>71</v>
      </c>
      <c r="AJ263" s="6" t="s">
        <v>49</v>
      </c>
      <c r="AK263" s="6" t="s">
        <v>49</v>
      </c>
      <c r="AL263" s="9" t="s">
        <v>52</v>
      </c>
      <c r="AM263" s="9" t="s">
        <v>49</v>
      </c>
      <c r="AN263" s="6" t="s">
        <v>82</v>
      </c>
      <c r="AO263" s="9" t="s">
        <v>49</v>
      </c>
      <c r="AP263" s="11">
        <v>7248.8885899999996</v>
      </c>
      <c r="AQ263" s="11">
        <v>0</v>
      </c>
      <c r="AR263" s="11">
        <v>0</v>
      </c>
      <c r="AS263" s="11">
        <v>41681.266040000002</v>
      </c>
      <c r="AT263" s="11">
        <v>0</v>
      </c>
      <c r="AU263" s="11">
        <v>0</v>
      </c>
      <c r="AV263" s="11">
        <v>0</v>
      </c>
    </row>
    <row r="264" spans="1:49" ht="14.5" hidden="1">
      <c r="A264" s="6">
        <v>263</v>
      </c>
      <c r="B264" s="7" t="s">
        <v>609</v>
      </c>
      <c r="C264" s="7" t="s">
        <v>292</v>
      </c>
      <c r="D264" s="6">
        <v>83110</v>
      </c>
      <c r="E264" s="19" t="s">
        <v>606</v>
      </c>
      <c r="F264" s="8"/>
      <c r="G264" s="8"/>
      <c r="H264" s="7" t="s">
        <v>88</v>
      </c>
      <c r="I264" s="7" t="s">
        <v>147</v>
      </c>
      <c r="J264" s="6" t="s">
        <v>196</v>
      </c>
      <c r="K264" s="9" t="s">
        <v>76</v>
      </c>
      <c r="L264" s="9" t="s">
        <v>73</v>
      </c>
      <c r="M264" s="27">
        <v>1700</v>
      </c>
      <c r="N264" s="12"/>
      <c r="O264" s="12"/>
      <c r="P264" s="9" t="s">
        <v>609</v>
      </c>
      <c r="Q264" s="9" t="s">
        <v>610</v>
      </c>
      <c r="R264" s="6">
        <v>5.87</v>
      </c>
      <c r="S264" s="6">
        <v>24.4</v>
      </c>
      <c r="T264" s="6">
        <v>96.8</v>
      </c>
      <c r="U264" s="6">
        <v>4.2</v>
      </c>
      <c r="V264" s="9" t="s">
        <v>611</v>
      </c>
      <c r="W264" s="9" t="s">
        <v>49</v>
      </c>
      <c r="X264" s="6">
        <v>1.7</v>
      </c>
      <c r="Y264" s="6">
        <v>0.3</v>
      </c>
      <c r="Z264" s="8"/>
      <c r="AA264" s="8"/>
      <c r="AB264" s="6">
        <v>2</v>
      </c>
      <c r="AC264" s="8"/>
      <c r="AD264" s="6">
        <v>2</v>
      </c>
      <c r="AE264" s="6">
        <v>1.36</v>
      </c>
      <c r="AF264" s="6">
        <v>0.15</v>
      </c>
      <c r="AG264" s="6">
        <v>1.51</v>
      </c>
      <c r="AH264" s="7" t="s">
        <v>49</v>
      </c>
      <c r="AI264" s="6" t="s">
        <v>49</v>
      </c>
      <c r="AJ264" s="6" t="s">
        <v>49</v>
      </c>
      <c r="AK264" s="6" t="s">
        <v>49</v>
      </c>
      <c r="AL264" s="9" t="s">
        <v>49</v>
      </c>
      <c r="AM264" s="9" t="s">
        <v>49</v>
      </c>
      <c r="AN264" s="6" t="s">
        <v>49</v>
      </c>
      <c r="AO264" s="9" t="s">
        <v>49</v>
      </c>
      <c r="AP264" s="11">
        <v>0</v>
      </c>
      <c r="AQ264" s="11">
        <v>0</v>
      </c>
      <c r="AR264" s="11">
        <v>0</v>
      </c>
      <c r="AS264" s="11">
        <v>0</v>
      </c>
      <c r="AT264" s="11">
        <v>0</v>
      </c>
      <c r="AU264" s="11">
        <v>0</v>
      </c>
      <c r="AV264" s="11" t="s">
        <v>51</v>
      </c>
    </row>
    <row r="265" spans="1:49" ht="14.5" hidden="1">
      <c r="A265" s="6">
        <v>264</v>
      </c>
      <c r="B265" s="7" t="s">
        <v>612</v>
      </c>
      <c r="C265" s="7" t="s">
        <v>49</v>
      </c>
      <c r="D265" s="6">
        <v>15644</v>
      </c>
      <c r="E265" s="6" t="s">
        <v>49</v>
      </c>
      <c r="F265" s="8"/>
      <c r="G265" s="8"/>
      <c r="H265" s="7" t="s">
        <v>49</v>
      </c>
      <c r="I265" s="7"/>
      <c r="J265" s="6" t="s">
        <v>49</v>
      </c>
      <c r="K265" s="9" t="s">
        <v>49</v>
      </c>
      <c r="L265" s="9" t="s">
        <v>49</v>
      </c>
      <c r="M265" s="8"/>
      <c r="N265" s="12"/>
      <c r="O265" s="12"/>
      <c r="P265" s="9" t="s">
        <v>49</v>
      </c>
      <c r="Q265" s="9" t="s">
        <v>49</v>
      </c>
      <c r="R265" s="8"/>
      <c r="S265" s="8"/>
      <c r="T265" s="8"/>
      <c r="U265" s="8"/>
      <c r="V265" s="9" t="s">
        <v>49</v>
      </c>
      <c r="W265" s="9" t="s">
        <v>49</v>
      </c>
      <c r="X265" s="8"/>
      <c r="Y265" s="8"/>
      <c r="Z265" s="8"/>
      <c r="AA265" s="8"/>
      <c r="AB265" s="8"/>
      <c r="AC265" s="8"/>
      <c r="AD265" s="8"/>
      <c r="AE265" s="8"/>
      <c r="AF265" s="8"/>
      <c r="AG265" s="8"/>
      <c r="AH265" s="7" t="s">
        <v>79</v>
      </c>
      <c r="AI265" s="6" t="s">
        <v>110</v>
      </c>
      <c r="AJ265" s="6" t="s">
        <v>49</v>
      </c>
      <c r="AK265" s="6" t="s">
        <v>49</v>
      </c>
      <c r="AL265" s="9" t="s">
        <v>111</v>
      </c>
      <c r="AM265" s="9" t="s">
        <v>49</v>
      </c>
      <c r="AN265" s="6" t="s">
        <v>82</v>
      </c>
      <c r="AO265" s="9" t="s">
        <v>49</v>
      </c>
      <c r="AP265" s="11">
        <v>7248.8885899999996</v>
      </c>
      <c r="AQ265" s="11">
        <v>0</v>
      </c>
      <c r="AR265" s="11">
        <v>0</v>
      </c>
      <c r="AS265" s="11">
        <v>41681.266040000002</v>
      </c>
      <c r="AT265" s="11">
        <v>0</v>
      </c>
      <c r="AU265" s="11">
        <v>0</v>
      </c>
      <c r="AV265" s="11">
        <v>0</v>
      </c>
    </row>
    <row r="266" spans="1:49" ht="14.5" hidden="1">
      <c r="A266" s="6">
        <v>265</v>
      </c>
      <c r="B266" s="7" t="s">
        <v>613</v>
      </c>
      <c r="C266" s="7" t="s">
        <v>292</v>
      </c>
      <c r="D266" s="6">
        <v>15706</v>
      </c>
      <c r="E266" s="6" t="s">
        <v>614</v>
      </c>
      <c r="F266" s="6">
        <v>88968</v>
      </c>
      <c r="G266" s="8"/>
      <c r="H266" s="7" t="s">
        <v>88</v>
      </c>
      <c r="I266" s="7" t="s">
        <v>217</v>
      </c>
      <c r="J266" s="6" t="s">
        <v>196</v>
      </c>
      <c r="K266" s="9" t="s">
        <v>106</v>
      </c>
      <c r="L266" s="9" t="s">
        <v>218</v>
      </c>
      <c r="M266" s="6">
        <v>0</v>
      </c>
      <c r="N266" s="12"/>
      <c r="O266" s="10">
        <v>44042</v>
      </c>
      <c r="P266" s="9" t="s">
        <v>49</v>
      </c>
      <c r="Q266" s="9" t="s">
        <v>49</v>
      </c>
      <c r="R266" s="6">
        <v>4.32</v>
      </c>
      <c r="S266" s="6">
        <v>4.5</v>
      </c>
      <c r="T266" s="6">
        <v>10.9</v>
      </c>
      <c r="U266" s="6">
        <v>1</v>
      </c>
      <c r="V266" s="9" t="s">
        <v>269</v>
      </c>
      <c r="W266" s="9" t="s">
        <v>49</v>
      </c>
      <c r="X266" s="8"/>
      <c r="Y266" s="8"/>
      <c r="Z266" s="8"/>
      <c r="AA266" s="8"/>
      <c r="AB266" s="8"/>
      <c r="AC266" s="8"/>
      <c r="AD266" s="8"/>
      <c r="AE266" s="8"/>
      <c r="AF266" s="8"/>
      <c r="AG266" s="8"/>
      <c r="AH266" s="7" t="s">
        <v>51</v>
      </c>
      <c r="AI266" s="6" t="s">
        <v>49</v>
      </c>
      <c r="AJ266" s="6" t="s">
        <v>49</v>
      </c>
      <c r="AK266" s="6" t="s">
        <v>49</v>
      </c>
      <c r="AL266" s="9" t="s">
        <v>49</v>
      </c>
      <c r="AM266" s="9" t="s">
        <v>52</v>
      </c>
      <c r="AN266" s="6" t="s">
        <v>49</v>
      </c>
      <c r="AO266" s="9" t="s">
        <v>52</v>
      </c>
      <c r="AP266" s="11">
        <v>0</v>
      </c>
      <c r="AQ266" s="11">
        <v>28000.01</v>
      </c>
      <c r="AR266" s="11">
        <v>0</v>
      </c>
      <c r="AS266" s="11">
        <v>0</v>
      </c>
      <c r="AT266" s="11">
        <v>253.00001</v>
      </c>
      <c r="AU266" s="11">
        <v>300</v>
      </c>
      <c r="AV266" s="11" t="s">
        <v>51</v>
      </c>
      <c r="AW266" t="s">
        <v>93</v>
      </c>
    </row>
    <row r="267" spans="1:49" ht="14.5" hidden="1">
      <c r="A267" s="6">
        <v>266</v>
      </c>
      <c r="B267" s="7" t="s">
        <v>615</v>
      </c>
      <c r="C267" s="7" t="s">
        <v>49</v>
      </c>
      <c r="D267" s="6">
        <v>15481</v>
      </c>
      <c r="E267" s="6" t="s">
        <v>616</v>
      </c>
      <c r="F267" s="8"/>
      <c r="G267" s="8"/>
      <c r="H267" s="7" t="s">
        <v>49</v>
      </c>
      <c r="I267" s="7"/>
      <c r="J267" s="6" t="s">
        <v>49</v>
      </c>
      <c r="K267" s="9" t="s">
        <v>49</v>
      </c>
      <c r="L267" s="9" t="s">
        <v>49</v>
      </c>
      <c r="M267" s="8"/>
      <c r="N267" s="10">
        <v>43465</v>
      </c>
      <c r="O267" s="10">
        <v>44593</v>
      </c>
      <c r="P267" s="9" t="s">
        <v>49</v>
      </c>
      <c r="Q267" s="9" t="s">
        <v>49</v>
      </c>
      <c r="R267" s="8"/>
      <c r="S267" s="8"/>
      <c r="T267" s="8"/>
      <c r="U267" s="8"/>
      <c r="V267" s="9" t="s">
        <v>49</v>
      </c>
      <c r="W267" s="9" t="s">
        <v>49</v>
      </c>
      <c r="X267" s="8"/>
      <c r="Y267" s="8"/>
      <c r="Z267" s="8"/>
      <c r="AA267" s="8"/>
      <c r="AB267" s="8"/>
      <c r="AC267" s="8"/>
      <c r="AD267" s="8"/>
      <c r="AE267" s="8"/>
      <c r="AF267" s="8"/>
      <c r="AG267" s="8"/>
      <c r="AH267" s="7" t="s">
        <v>57</v>
      </c>
      <c r="AI267" s="6" t="s">
        <v>49</v>
      </c>
      <c r="AJ267" s="6" t="s">
        <v>49</v>
      </c>
      <c r="AK267" s="6" t="s">
        <v>49</v>
      </c>
      <c r="AL267" s="9" t="s">
        <v>49</v>
      </c>
      <c r="AM267" s="9" t="s">
        <v>52</v>
      </c>
      <c r="AN267" s="6" t="s">
        <v>49</v>
      </c>
      <c r="AO267" s="9" t="s">
        <v>52</v>
      </c>
      <c r="AP267" s="11">
        <v>0</v>
      </c>
      <c r="AQ267" s="11">
        <v>0</v>
      </c>
      <c r="AR267" s="11">
        <v>0</v>
      </c>
      <c r="AS267" s="11">
        <v>0</v>
      </c>
      <c r="AT267" s="11">
        <v>0</v>
      </c>
      <c r="AU267" s="11">
        <v>0</v>
      </c>
      <c r="AV267" s="11" t="s">
        <v>57</v>
      </c>
    </row>
    <row r="268" spans="1:49" ht="14.5" hidden="1">
      <c r="A268" s="6">
        <v>267</v>
      </c>
      <c r="B268" s="7" t="s">
        <v>617</v>
      </c>
      <c r="C268" s="7" t="s">
        <v>49</v>
      </c>
      <c r="D268" s="6">
        <v>15644</v>
      </c>
      <c r="E268" s="6" t="s">
        <v>49</v>
      </c>
      <c r="F268" s="12"/>
      <c r="G268" s="8"/>
      <c r="H268" s="7" t="s">
        <v>49</v>
      </c>
      <c r="I268" s="7"/>
      <c r="J268" s="6" t="s">
        <v>49</v>
      </c>
      <c r="K268" s="9" t="s">
        <v>49</v>
      </c>
      <c r="L268" s="9" t="s">
        <v>49</v>
      </c>
      <c r="M268" s="8"/>
      <c r="N268" s="12"/>
      <c r="O268" s="12"/>
      <c r="P268" s="9" t="s">
        <v>49</v>
      </c>
      <c r="Q268" s="9" t="s">
        <v>49</v>
      </c>
      <c r="R268" s="8"/>
      <c r="S268" s="8"/>
      <c r="T268" s="8"/>
      <c r="U268" s="8"/>
      <c r="V268" s="9" t="s">
        <v>49</v>
      </c>
      <c r="W268" s="9" t="s">
        <v>49</v>
      </c>
      <c r="X268" s="8"/>
      <c r="Y268" s="8"/>
      <c r="Z268" s="8"/>
      <c r="AA268" s="12"/>
      <c r="AB268" s="12"/>
      <c r="AC268" s="8"/>
      <c r="AD268" s="12"/>
      <c r="AE268" s="8"/>
      <c r="AF268" s="12"/>
      <c r="AG268" s="12"/>
      <c r="AH268" s="7" t="s">
        <v>79</v>
      </c>
      <c r="AI268" s="6" t="s">
        <v>110</v>
      </c>
      <c r="AJ268" s="6" t="s">
        <v>49</v>
      </c>
      <c r="AK268" s="6" t="s">
        <v>49</v>
      </c>
      <c r="AL268" s="9" t="s">
        <v>111</v>
      </c>
      <c r="AM268" s="9" t="s">
        <v>49</v>
      </c>
      <c r="AN268" s="6" t="s">
        <v>82</v>
      </c>
      <c r="AO268" s="9" t="s">
        <v>49</v>
      </c>
      <c r="AP268" s="11">
        <v>7248.8885899999996</v>
      </c>
      <c r="AQ268" s="11">
        <v>0</v>
      </c>
      <c r="AR268" s="11">
        <v>0</v>
      </c>
      <c r="AS268" s="11">
        <v>41681.266040000002</v>
      </c>
      <c r="AT268" s="11">
        <v>0</v>
      </c>
      <c r="AU268" s="11">
        <v>0</v>
      </c>
      <c r="AV268" s="11">
        <v>0</v>
      </c>
    </row>
    <row r="269" spans="1:49" ht="14.5" hidden="1">
      <c r="A269" s="6">
        <v>268</v>
      </c>
      <c r="B269" s="7" t="s">
        <v>618</v>
      </c>
      <c r="C269" s="7" t="s">
        <v>49</v>
      </c>
      <c r="D269" s="6">
        <v>15508</v>
      </c>
      <c r="E269" s="6" t="s">
        <v>49</v>
      </c>
      <c r="F269" s="8"/>
      <c r="G269" s="8"/>
      <c r="H269" s="7" t="s">
        <v>49</v>
      </c>
      <c r="I269" s="7"/>
      <c r="J269" s="6" t="s">
        <v>49</v>
      </c>
      <c r="K269" s="9" t="s">
        <v>49</v>
      </c>
      <c r="L269" s="9" t="s">
        <v>49</v>
      </c>
      <c r="M269" s="12"/>
      <c r="N269" s="10">
        <v>43497</v>
      </c>
      <c r="O269" s="10">
        <v>43860</v>
      </c>
      <c r="P269" s="9" t="s">
        <v>49</v>
      </c>
      <c r="Q269" s="9" t="s">
        <v>49</v>
      </c>
      <c r="R269" s="8"/>
      <c r="S269" s="8"/>
      <c r="T269" s="8"/>
      <c r="U269" s="8"/>
      <c r="V269" s="9" t="s">
        <v>49</v>
      </c>
      <c r="W269" s="9" t="s">
        <v>49</v>
      </c>
      <c r="X269" s="8"/>
      <c r="Y269" s="8"/>
      <c r="Z269" s="8"/>
      <c r="AA269" s="8"/>
      <c r="AB269" s="8"/>
      <c r="AC269" s="8"/>
      <c r="AD269" s="8"/>
      <c r="AE269" s="8"/>
      <c r="AF269" s="8"/>
      <c r="AG269" s="8"/>
      <c r="AH269" s="7" t="s">
        <v>57</v>
      </c>
      <c r="AI269" s="6" t="s">
        <v>71</v>
      </c>
      <c r="AJ269" s="6" t="s">
        <v>49</v>
      </c>
      <c r="AK269" s="6" t="s">
        <v>49</v>
      </c>
      <c r="AL269" s="9" t="s">
        <v>256</v>
      </c>
      <c r="AM269" s="9" t="s">
        <v>49</v>
      </c>
      <c r="AN269" s="6" t="s">
        <v>82</v>
      </c>
      <c r="AO269" s="9" t="s">
        <v>49</v>
      </c>
      <c r="AP269" s="11">
        <v>7248.8885899999996</v>
      </c>
      <c r="AQ269" s="11">
        <v>0</v>
      </c>
      <c r="AR269" s="11">
        <v>0</v>
      </c>
      <c r="AS269" s="11">
        <v>41681.266040000002</v>
      </c>
      <c r="AT269" s="11">
        <v>0</v>
      </c>
      <c r="AU269" s="11">
        <v>0</v>
      </c>
      <c r="AV269" s="11">
        <v>0</v>
      </c>
    </row>
    <row r="270" spans="1:49" ht="14.5" hidden="1">
      <c r="A270" s="6">
        <v>269</v>
      </c>
      <c r="B270" s="7" t="s">
        <v>619</v>
      </c>
      <c r="C270" s="7" t="s">
        <v>49</v>
      </c>
      <c r="D270" s="6">
        <v>15508</v>
      </c>
      <c r="E270" s="6" t="s">
        <v>620</v>
      </c>
      <c r="F270" s="8"/>
      <c r="G270" s="8"/>
      <c r="H270" s="7" t="s">
        <v>49</v>
      </c>
      <c r="I270" s="7"/>
      <c r="J270" s="6" t="s">
        <v>49</v>
      </c>
      <c r="K270" s="9" t="s">
        <v>49</v>
      </c>
      <c r="L270" s="9" t="s">
        <v>49</v>
      </c>
      <c r="M270" s="8"/>
      <c r="N270" s="10">
        <v>43497</v>
      </c>
      <c r="O270" s="10">
        <v>43860</v>
      </c>
      <c r="P270" s="9" t="s">
        <v>49</v>
      </c>
      <c r="Q270" s="9" t="s">
        <v>49</v>
      </c>
      <c r="R270" s="8"/>
      <c r="S270" s="8"/>
      <c r="T270" s="8"/>
      <c r="U270" s="8"/>
      <c r="V270" s="9" t="s">
        <v>49</v>
      </c>
      <c r="W270" s="9" t="s">
        <v>49</v>
      </c>
      <c r="X270" s="8"/>
      <c r="Y270" s="8"/>
      <c r="Z270" s="8"/>
      <c r="AA270" s="8"/>
      <c r="AB270" s="8"/>
      <c r="AC270" s="8"/>
      <c r="AD270" s="8"/>
      <c r="AE270" s="8"/>
      <c r="AF270" s="8"/>
      <c r="AG270" s="8"/>
      <c r="AH270" s="7" t="s">
        <v>57</v>
      </c>
      <c r="AI270" s="6" t="s">
        <v>49</v>
      </c>
      <c r="AJ270" s="6" t="s">
        <v>49</v>
      </c>
      <c r="AK270" s="6" t="s">
        <v>49</v>
      </c>
      <c r="AL270" s="9" t="s">
        <v>49</v>
      </c>
      <c r="AM270" s="9" t="s">
        <v>256</v>
      </c>
      <c r="AN270" s="6" t="s">
        <v>49</v>
      </c>
      <c r="AO270" s="9" t="s">
        <v>256</v>
      </c>
      <c r="AP270" s="11">
        <v>0</v>
      </c>
      <c r="AQ270" s="11">
        <v>0</v>
      </c>
      <c r="AR270" s="11">
        <v>0</v>
      </c>
      <c r="AS270" s="11">
        <v>0</v>
      </c>
      <c r="AT270" s="11">
        <v>0</v>
      </c>
      <c r="AU270" s="11">
        <v>0</v>
      </c>
      <c r="AV270" s="11" t="s">
        <v>57</v>
      </c>
    </row>
    <row r="271" spans="1:49" ht="14.5" hidden="1">
      <c r="A271" s="6">
        <v>270</v>
      </c>
      <c r="B271" s="7" t="s">
        <v>621</v>
      </c>
      <c r="C271" s="7" t="s">
        <v>81</v>
      </c>
      <c r="D271" s="6">
        <v>15647</v>
      </c>
      <c r="E271" s="6" t="s">
        <v>49</v>
      </c>
      <c r="F271" s="12"/>
      <c r="G271" s="8"/>
      <c r="H271" s="7" t="s">
        <v>49</v>
      </c>
      <c r="I271" s="7"/>
      <c r="J271" s="6" t="s">
        <v>49</v>
      </c>
      <c r="K271" s="9" t="s">
        <v>49</v>
      </c>
      <c r="L271" s="9" t="s">
        <v>49</v>
      </c>
      <c r="M271" s="12"/>
      <c r="N271" s="8"/>
      <c r="O271" s="10">
        <v>44196</v>
      </c>
      <c r="P271" s="9" t="s">
        <v>49</v>
      </c>
      <c r="Q271" s="9" t="s">
        <v>49</v>
      </c>
      <c r="R271" s="12"/>
      <c r="S271" s="12"/>
      <c r="T271" s="12"/>
      <c r="U271" s="12"/>
      <c r="V271" s="9" t="s">
        <v>49</v>
      </c>
      <c r="W271" s="9" t="s">
        <v>49</v>
      </c>
      <c r="X271" s="8"/>
      <c r="Y271" s="8"/>
      <c r="Z271" s="8"/>
      <c r="AA271" s="12"/>
      <c r="AB271" s="12"/>
      <c r="AC271" s="8"/>
      <c r="AD271" s="12"/>
      <c r="AE271" s="8"/>
      <c r="AF271" s="12"/>
      <c r="AG271" s="12"/>
      <c r="AH271" s="7" t="s">
        <v>57</v>
      </c>
      <c r="AI271" s="6" t="s">
        <v>71</v>
      </c>
      <c r="AJ271" s="6" t="s">
        <v>49</v>
      </c>
      <c r="AK271" s="6" t="s">
        <v>49</v>
      </c>
      <c r="AL271" s="9" t="s">
        <v>52</v>
      </c>
      <c r="AM271" s="9" t="s">
        <v>49</v>
      </c>
      <c r="AN271" s="6" t="s">
        <v>85</v>
      </c>
      <c r="AO271" s="9" t="s">
        <v>49</v>
      </c>
      <c r="AP271" s="11">
        <v>7248.8885899999996</v>
      </c>
      <c r="AQ271" s="11">
        <v>0</v>
      </c>
      <c r="AR271" s="11">
        <v>0</v>
      </c>
      <c r="AS271" s="11">
        <v>41681.266040000002</v>
      </c>
      <c r="AT271" s="11">
        <v>0</v>
      </c>
      <c r="AU271" s="11">
        <v>0</v>
      </c>
      <c r="AV271" s="11">
        <v>0</v>
      </c>
    </row>
    <row r="272" spans="1:49" ht="14.5">
      <c r="A272" s="6">
        <v>271</v>
      </c>
      <c r="B272" s="7" t="s">
        <v>622</v>
      </c>
      <c r="C272" s="7" t="s">
        <v>81</v>
      </c>
      <c r="D272" s="6">
        <v>15647</v>
      </c>
      <c r="E272" s="6" t="s">
        <v>623</v>
      </c>
      <c r="F272" s="8"/>
      <c r="G272" s="8"/>
      <c r="H272" s="7" t="s">
        <v>49</v>
      </c>
      <c r="I272" s="7"/>
      <c r="J272" s="6" t="s">
        <v>75</v>
      </c>
      <c r="K272" s="9" t="s">
        <v>76</v>
      </c>
      <c r="L272" s="9" t="s">
        <v>49</v>
      </c>
      <c r="M272" s="8"/>
      <c r="N272" s="8"/>
      <c r="O272" s="10">
        <v>44196</v>
      </c>
      <c r="P272" s="9" t="s">
        <v>49</v>
      </c>
      <c r="Q272" s="9" t="s">
        <v>49</v>
      </c>
      <c r="R272" s="8"/>
      <c r="S272" s="8"/>
      <c r="T272" s="8"/>
      <c r="U272" s="8"/>
      <c r="V272" s="9" t="s">
        <v>49</v>
      </c>
      <c r="W272" s="9" t="s">
        <v>49</v>
      </c>
      <c r="X272" s="8"/>
      <c r="Y272" s="8"/>
      <c r="Z272" s="8"/>
      <c r="AA272" s="6">
        <v>1</v>
      </c>
      <c r="AB272" s="6">
        <v>1</v>
      </c>
      <c r="AC272" s="8"/>
      <c r="AD272" s="6">
        <v>1</v>
      </c>
      <c r="AE272" s="8"/>
      <c r="AF272" s="6">
        <v>0.5</v>
      </c>
      <c r="AG272" s="6">
        <v>0.5</v>
      </c>
      <c r="AH272" s="7" t="s">
        <v>57</v>
      </c>
      <c r="AI272" s="6" t="s">
        <v>49</v>
      </c>
      <c r="AJ272" s="6" t="s">
        <v>49</v>
      </c>
      <c r="AK272" s="6" t="s">
        <v>49</v>
      </c>
      <c r="AL272" s="9" t="s">
        <v>49</v>
      </c>
      <c r="AM272" s="9" t="s">
        <v>52</v>
      </c>
      <c r="AN272" s="6" t="s">
        <v>49</v>
      </c>
      <c r="AO272" s="9" t="s">
        <v>201</v>
      </c>
      <c r="AP272" s="11">
        <v>0</v>
      </c>
      <c r="AQ272" s="11">
        <v>0</v>
      </c>
      <c r="AR272" s="11">
        <v>0</v>
      </c>
      <c r="AS272" s="11">
        <v>0</v>
      </c>
      <c r="AT272" s="11">
        <v>365.8</v>
      </c>
      <c r="AU272" s="11">
        <v>0</v>
      </c>
      <c r="AV272" s="11" t="s">
        <v>57</v>
      </c>
    </row>
    <row r="273" spans="1:48" ht="14.5" hidden="1">
      <c r="A273" s="6">
        <v>272</v>
      </c>
      <c r="B273" s="7" t="s">
        <v>624</v>
      </c>
      <c r="C273" s="7" t="s">
        <v>49</v>
      </c>
      <c r="D273" s="6">
        <v>15063</v>
      </c>
      <c r="E273" s="6" t="s">
        <v>625</v>
      </c>
      <c r="F273" s="8"/>
      <c r="G273" s="8"/>
      <c r="H273" s="7" t="s">
        <v>49</v>
      </c>
      <c r="I273" s="7"/>
      <c r="J273" s="6" t="s">
        <v>49</v>
      </c>
      <c r="K273" s="9" t="s">
        <v>49</v>
      </c>
      <c r="L273" s="9" t="s">
        <v>49</v>
      </c>
      <c r="M273" s="8"/>
      <c r="N273" s="10">
        <v>43041</v>
      </c>
      <c r="O273" s="10">
        <v>44012</v>
      </c>
      <c r="P273" s="9" t="s">
        <v>49</v>
      </c>
      <c r="Q273" s="9" t="s">
        <v>49</v>
      </c>
      <c r="R273" s="8"/>
      <c r="S273" s="8"/>
      <c r="T273" s="8"/>
      <c r="U273" s="8"/>
      <c r="V273" s="9" t="s">
        <v>49</v>
      </c>
      <c r="W273" s="9" t="s">
        <v>49</v>
      </c>
      <c r="X273" s="8"/>
      <c r="Y273" s="8"/>
      <c r="Z273" s="8"/>
      <c r="AA273" s="8"/>
      <c r="AB273" s="8"/>
      <c r="AC273" s="8"/>
      <c r="AD273" s="8"/>
      <c r="AE273" s="8"/>
      <c r="AF273" s="8"/>
      <c r="AG273" s="8"/>
      <c r="AH273" s="7" t="s">
        <v>51</v>
      </c>
      <c r="AI273" s="6" t="s">
        <v>49</v>
      </c>
      <c r="AJ273" s="6" t="s">
        <v>49</v>
      </c>
      <c r="AK273" s="6" t="s">
        <v>49</v>
      </c>
      <c r="AL273" s="9" t="s">
        <v>49</v>
      </c>
      <c r="AM273" s="9" t="s">
        <v>626</v>
      </c>
      <c r="AN273" s="6" t="s">
        <v>49</v>
      </c>
      <c r="AO273" s="9" t="s">
        <v>159</v>
      </c>
      <c r="AP273" s="11">
        <v>0</v>
      </c>
      <c r="AQ273" s="11">
        <v>0</v>
      </c>
      <c r="AR273" s="11">
        <v>0</v>
      </c>
      <c r="AS273" s="11">
        <v>0</v>
      </c>
      <c r="AT273" s="11">
        <v>0</v>
      </c>
      <c r="AU273" s="11">
        <v>0</v>
      </c>
      <c r="AV273" s="11" t="s">
        <v>51</v>
      </c>
    </row>
    <row r="274" spans="1:48" ht="14.5" hidden="1">
      <c r="A274" s="6">
        <v>273</v>
      </c>
      <c r="B274" s="7" t="s">
        <v>627</v>
      </c>
      <c r="C274" s="7" t="s">
        <v>49</v>
      </c>
      <c r="D274" s="6">
        <v>15644</v>
      </c>
      <c r="E274" s="6" t="s">
        <v>49</v>
      </c>
      <c r="F274" s="8"/>
      <c r="G274" s="8"/>
      <c r="H274" s="7" t="s">
        <v>49</v>
      </c>
      <c r="I274" s="7"/>
      <c r="J274" s="6" t="s">
        <v>49</v>
      </c>
      <c r="K274" s="9" t="s">
        <v>49</v>
      </c>
      <c r="L274" s="9" t="s">
        <v>49</v>
      </c>
      <c r="M274" s="8"/>
      <c r="N274" s="8"/>
      <c r="O274" s="12"/>
      <c r="P274" s="9" t="s">
        <v>49</v>
      </c>
      <c r="Q274" s="9" t="s">
        <v>49</v>
      </c>
      <c r="R274" s="8"/>
      <c r="S274" s="8"/>
      <c r="T274" s="8"/>
      <c r="U274" s="8"/>
      <c r="V274" s="9" t="s">
        <v>49</v>
      </c>
      <c r="W274" s="9" t="s">
        <v>49</v>
      </c>
      <c r="X274" s="8"/>
      <c r="Y274" s="8"/>
      <c r="Z274" s="8"/>
      <c r="AA274" s="8"/>
      <c r="AB274" s="8"/>
      <c r="AC274" s="8"/>
      <c r="AD274" s="8"/>
      <c r="AE274" s="8"/>
      <c r="AF274" s="8"/>
      <c r="AG274" s="8"/>
      <c r="AH274" s="7" t="s">
        <v>79</v>
      </c>
      <c r="AI274" s="6" t="s">
        <v>110</v>
      </c>
      <c r="AJ274" s="6" t="s">
        <v>49</v>
      </c>
      <c r="AK274" s="6" t="s">
        <v>49</v>
      </c>
      <c r="AL274" s="9" t="s">
        <v>111</v>
      </c>
      <c r="AM274" s="9" t="s">
        <v>49</v>
      </c>
      <c r="AN274" s="6" t="s">
        <v>82</v>
      </c>
      <c r="AO274" s="9" t="s">
        <v>49</v>
      </c>
      <c r="AP274" s="11">
        <v>7248.8885899999996</v>
      </c>
      <c r="AQ274" s="11">
        <v>0</v>
      </c>
      <c r="AR274" s="11">
        <v>0</v>
      </c>
      <c r="AS274" s="11">
        <v>41681.266040000002</v>
      </c>
      <c r="AT274" s="11">
        <v>0</v>
      </c>
      <c r="AU274" s="11">
        <v>0</v>
      </c>
      <c r="AV274" s="11">
        <v>0</v>
      </c>
    </row>
    <row r="275" spans="1:48" ht="14.5" hidden="1">
      <c r="A275" s="6">
        <v>274</v>
      </c>
      <c r="B275" s="7" t="s">
        <v>628</v>
      </c>
      <c r="C275" s="7" t="s">
        <v>49</v>
      </c>
      <c r="D275" s="6">
        <v>15524</v>
      </c>
      <c r="E275" s="6" t="s">
        <v>629</v>
      </c>
      <c r="F275" s="8"/>
      <c r="G275" s="8"/>
      <c r="H275" s="7" t="s">
        <v>49</v>
      </c>
      <c r="I275" s="7"/>
      <c r="J275" s="6" t="s">
        <v>49</v>
      </c>
      <c r="K275" s="9" t="s">
        <v>49</v>
      </c>
      <c r="L275" s="9" t="s">
        <v>49</v>
      </c>
      <c r="M275" s="8"/>
      <c r="N275" s="10">
        <v>43514</v>
      </c>
      <c r="O275" s="10">
        <v>43831</v>
      </c>
      <c r="P275" s="9" t="s">
        <v>49</v>
      </c>
      <c r="Q275" s="9" t="s">
        <v>49</v>
      </c>
      <c r="R275" s="8"/>
      <c r="S275" s="8"/>
      <c r="T275" s="8"/>
      <c r="U275" s="8"/>
      <c r="V275" s="9" t="s">
        <v>49</v>
      </c>
      <c r="W275" s="9" t="s">
        <v>49</v>
      </c>
      <c r="X275" s="8"/>
      <c r="Y275" s="8"/>
      <c r="Z275" s="8"/>
      <c r="AA275" s="8"/>
      <c r="AB275" s="8"/>
      <c r="AC275" s="8"/>
      <c r="AD275" s="8"/>
      <c r="AE275" s="8"/>
      <c r="AF275" s="8"/>
      <c r="AG275" s="8"/>
      <c r="AH275" s="7" t="s">
        <v>57</v>
      </c>
      <c r="AI275" s="6" t="s">
        <v>49</v>
      </c>
      <c r="AJ275" s="6" t="s">
        <v>49</v>
      </c>
      <c r="AK275" s="6" t="s">
        <v>49</v>
      </c>
      <c r="AL275" s="9" t="s">
        <v>49</v>
      </c>
      <c r="AM275" s="9" t="s">
        <v>386</v>
      </c>
      <c r="AN275" s="6" t="s">
        <v>49</v>
      </c>
      <c r="AO275" s="9" t="s">
        <v>386</v>
      </c>
      <c r="AP275" s="11">
        <v>0</v>
      </c>
      <c r="AQ275" s="11">
        <v>0</v>
      </c>
      <c r="AR275" s="11">
        <v>0</v>
      </c>
      <c r="AS275" s="11">
        <v>0</v>
      </c>
      <c r="AT275" s="11">
        <v>0</v>
      </c>
      <c r="AU275" s="11">
        <v>0</v>
      </c>
      <c r="AV275" s="11" t="s">
        <v>57</v>
      </c>
    </row>
    <row r="276" spans="1:48" ht="14.5" hidden="1">
      <c r="A276" s="6">
        <v>275</v>
      </c>
      <c r="B276" s="7" t="s">
        <v>630</v>
      </c>
      <c r="C276" s="7" t="s">
        <v>49</v>
      </c>
      <c r="D276" s="6">
        <v>16031</v>
      </c>
      <c r="E276" s="6" t="s">
        <v>631</v>
      </c>
      <c r="F276" s="8"/>
      <c r="G276" s="8"/>
      <c r="H276" s="7" t="s">
        <v>49</v>
      </c>
      <c r="I276" s="7"/>
      <c r="J276" s="6" t="s">
        <v>49</v>
      </c>
      <c r="K276" s="9" t="s">
        <v>49</v>
      </c>
      <c r="L276" s="9" t="s">
        <v>49</v>
      </c>
      <c r="M276" s="8"/>
      <c r="N276" s="12"/>
      <c r="O276" s="10">
        <v>43889</v>
      </c>
      <c r="P276" s="9" t="s">
        <v>49</v>
      </c>
      <c r="Q276" s="9" t="s">
        <v>49</v>
      </c>
      <c r="R276" s="8"/>
      <c r="S276" s="8"/>
      <c r="T276" s="8"/>
      <c r="U276" s="8"/>
      <c r="V276" s="9" t="s">
        <v>49</v>
      </c>
      <c r="W276" s="9" t="s">
        <v>49</v>
      </c>
      <c r="X276" s="8"/>
      <c r="Y276" s="8"/>
      <c r="Z276" s="8"/>
      <c r="AA276" s="8"/>
      <c r="AB276" s="8"/>
      <c r="AC276" s="8"/>
      <c r="AD276" s="8"/>
      <c r="AE276" s="8"/>
      <c r="AF276" s="8"/>
      <c r="AG276" s="8"/>
      <c r="AH276" s="7" t="s">
        <v>51</v>
      </c>
      <c r="AI276" s="6" t="s">
        <v>49</v>
      </c>
      <c r="AJ276" s="6" t="s">
        <v>49</v>
      </c>
      <c r="AK276" s="6" t="s">
        <v>49</v>
      </c>
      <c r="AL276" s="9" t="s">
        <v>49</v>
      </c>
      <c r="AM276" s="9" t="s">
        <v>92</v>
      </c>
      <c r="AN276" s="6" t="s">
        <v>49</v>
      </c>
      <c r="AO276" s="9" t="s">
        <v>92</v>
      </c>
      <c r="AP276" s="11">
        <v>0</v>
      </c>
      <c r="AQ276" s="11">
        <v>0</v>
      </c>
      <c r="AR276" s="11">
        <v>0</v>
      </c>
      <c r="AS276" s="11">
        <v>75.15204</v>
      </c>
      <c r="AT276" s="11">
        <v>0</v>
      </c>
      <c r="AU276" s="11">
        <v>0</v>
      </c>
      <c r="AV276" s="11" t="s">
        <v>51</v>
      </c>
    </row>
    <row r="277" spans="1:48" ht="14.5" hidden="1">
      <c r="A277" s="6">
        <v>276</v>
      </c>
      <c r="B277" s="7" t="s">
        <v>632</v>
      </c>
      <c r="C277" s="7" t="s">
        <v>86</v>
      </c>
      <c r="D277" s="6">
        <v>16031</v>
      </c>
      <c r="E277" s="6" t="s">
        <v>49</v>
      </c>
      <c r="F277" s="8"/>
      <c r="G277" s="8"/>
      <c r="H277" s="7" t="s">
        <v>49</v>
      </c>
      <c r="I277" s="7"/>
      <c r="J277" s="6" t="s">
        <v>49</v>
      </c>
      <c r="K277" s="9" t="s">
        <v>49</v>
      </c>
      <c r="L277" s="9" t="s">
        <v>49</v>
      </c>
      <c r="M277" s="6"/>
      <c r="N277" s="12"/>
      <c r="O277" s="10">
        <v>43889</v>
      </c>
      <c r="P277" s="9" t="s">
        <v>49</v>
      </c>
      <c r="Q277" s="9" t="s">
        <v>49</v>
      </c>
      <c r="R277" s="8"/>
      <c r="S277" s="8"/>
      <c r="T277" s="8"/>
      <c r="U277" s="8"/>
      <c r="V277" s="9" t="s">
        <v>49</v>
      </c>
      <c r="W277" s="9" t="s">
        <v>49</v>
      </c>
      <c r="X277" s="8"/>
      <c r="Y277" s="8"/>
      <c r="Z277" s="8"/>
      <c r="AA277" s="8"/>
      <c r="AB277" s="8"/>
      <c r="AC277" s="8"/>
      <c r="AD277" s="8"/>
      <c r="AE277" s="8"/>
      <c r="AF277" s="8"/>
      <c r="AG277" s="8"/>
      <c r="AH277" s="7" t="s">
        <v>57</v>
      </c>
      <c r="AI277" s="6" t="s">
        <v>71</v>
      </c>
      <c r="AJ277" s="6" t="s">
        <v>49</v>
      </c>
      <c r="AK277" s="6" t="s">
        <v>49</v>
      </c>
      <c r="AL277" s="9" t="s">
        <v>52</v>
      </c>
      <c r="AM277" s="9" t="s">
        <v>49</v>
      </c>
      <c r="AN277" s="6" t="s">
        <v>85</v>
      </c>
      <c r="AO277" s="9" t="s">
        <v>49</v>
      </c>
      <c r="AP277" s="11">
        <v>7248.8885899999996</v>
      </c>
      <c r="AQ277" s="11">
        <v>0</v>
      </c>
      <c r="AR277" s="11">
        <v>0</v>
      </c>
      <c r="AS277" s="11">
        <v>41681.266040000002</v>
      </c>
      <c r="AT277" s="11">
        <v>0</v>
      </c>
      <c r="AU277" s="11">
        <v>0</v>
      </c>
      <c r="AV277" s="11">
        <v>0</v>
      </c>
    </row>
    <row r="278" spans="1:48" ht="14.5" hidden="1">
      <c r="A278" s="6">
        <v>277</v>
      </c>
      <c r="B278" s="7" t="s">
        <v>633</v>
      </c>
      <c r="C278" s="7" t="s">
        <v>49</v>
      </c>
      <c r="D278" s="6">
        <v>16030</v>
      </c>
      <c r="E278" s="6" t="s">
        <v>49</v>
      </c>
      <c r="F278" s="8"/>
      <c r="G278" s="8"/>
      <c r="H278" s="7" t="s">
        <v>49</v>
      </c>
      <c r="I278" s="7"/>
      <c r="J278" s="6" t="s">
        <v>49</v>
      </c>
      <c r="K278" s="9" t="s">
        <v>49</v>
      </c>
      <c r="L278" s="9" t="s">
        <v>49</v>
      </c>
      <c r="M278" s="8"/>
      <c r="N278" s="12"/>
      <c r="O278" s="10">
        <v>44196</v>
      </c>
      <c r="P278" s="9" t="s">
        <v>49</v>
      </c>
      <c r="Q278" s="9" t="s">
        <v>49</v>
      </c>
      <c r="R278" s="8"/>
      <c r="S278" s="8"/>
      <c r="T278" s="8"/>
      <c r="U278" s="8"/>
      <c r="V278" s="9" t="s">
        <v>49</v>
      </c>
      <c r="W278" s="9" t="s">
        <v>49</v>
      </c>
      <c r="X278" s="8"/>
      <c r="Y278" s="8"/>
      <c r="Z278" s="8"/>
      <c r="AA278" s="8"/>
      <c r="AB278" s="8"/>
      <c r="AC278" s="8"/>
      <c r="AD278" s="8"/>
      <c r="AE278" s="8"/>
      <c r="AF278" s="8"/>
      <c r="AG278" s="8"/>
      <c r="AH278" s="7" t="s">
        <v>57</v>
      </c>
      <c r="AI278" s="6" t="s">
        <v>71</v>
      </c>
      <c r="AJ278" s="6" t="s">
        <v>49</v>
      </c>
      <c r="AK278" s="6" t="s">
        <v>49</v>
      </c>
      <c r="AL278" s="9" t="s">
        <v>52</v>
      </c>
      <c r="AM278" s="9" t="s">
        <v>49</v>
      </c>
      <c r="AN278" s="6" t="s">
        <v>85</v>
      </c>
      <c r="AO278" s="9" t="s">
        <v>49</v>
      </c>
      <c r="AP278" s="11">
        <v>7248.8885899999996</v>
      </c>
      <c r="AQ278" s="11">
        <v>0</v>
      </c>
      <c r="AR278" s="11">
        <v>0</v>
      </c>
      <c r="AS278" s="11">
        <v>41681.266040000002</v>
      </c>
      <c r="AT278" s="11">
        <v>0</v>
      </c>
      <c r="AU278" s="11">
        <v>0</v>
      </c>
      <c r="AV278" s="11">
        <v>0</v>
      </c>
    </row>
    <row r="279" spans="1:48" ht="14.5" hidden="1">
      <c r="A279" s="6">
        <v>278</v>
      </c>
      <c r="B279" s="7" t="s">
        <v>633</v>
      </c>
      <c r="C279" s="7" t="s">
        <v>49</v>
      </c>
      <c r="D279" s="6">
        <v>16030</v>
      </c>
      <c r="E279" s="6" t="s">
        <v>634</v>
      </c>
      <c r="F279" s="8"/>
      <c r="G279" s="8"/>
      <c r="H279" s="7" t="s">
        <v>88</v>
      </c>
      <c r="I279" s="7"/>
      <c r="J279" s="6" t="s">
        <v>75</v>
      </c>
      <c r="K279" s="9" t="s">
        <v>89</v>
      </c>
      <c r="L279" s="9" t="s">
        <v>49</v>
      </c>
      <c r="M279" s="8"/>
      <c r="N279" s="12"/>
      <c r="O279" s="10">
        <v>44196</v>
      </c>
      <c r="P279" s="9" t="s">
        <v>49</v>
      </c>
      <c r="Q279" s="9" t="s">
        <v>49</v>
      </c>
      <c r="R279" s="8"/>
      <c r="S279" s="8"/>
      <c r="T279" s="8"/>
      <c r="U279" s="8"/>
      <c r="V279" s="9" t="s">
        <v>49</v>
      </c>
      <c r="W279" s="9" t="s">
        <v>49</v>
      </c>
      <c r="X279" s="8"/>
      <c r="Y279" s="8"/>
      <c r="Z279" s="8"/>
      <c r="AA279" s="6">
        <v>0.24399999999999999</v>
      </c>
      <c r="AB279" s="6">
        <v>0.24399999999999999</v>
      </c>
      <c r="AC279" s="8"/>
      <c r="AD279" s="6">
        <v>0.24399999999999999</v>
      </c>
      <c r="AE279" s="8"/>
      <c r="AF279" s="6">
        <v>0.122</v>
      </c>
      <c r="AG279" s="6">
        <v>0.122</v>
      </c>
      <c r="AH279" s="7" t="s">
        <v>57</v>
      </c>
      <c r="AI279" s="6" t="s">
        <v>49</v>
      </c>
      <c r="AJ279" s="6" t="s">
        <v>49</v>
      </c>
      <c r="AK279" s="6" t="s">
        <v>49</v>
      </c>
      <c r="AL279" s="9" t="s">
        <v>49</v>
      </c>
      <c r="AM279" s="9" t="s">
        <v>92</v>
      </c>
      <c r="AN279" s="6" t="s">
        <v>49</v>
      </c>
      <c r="AO279" s="9" t="s">
        <v>92</v>
      </c>
      <c r="AP279" s="11">
        <v>0</v>
      </c>
      <c r="AQ279" s="11">
        <v>0</v>
      </c>
      <c r="AR279" s="11">
        <v>0</v>
      </c>
      <c r="AS279" s="11">
        <v>0</v>
      </c>
      <c r="AT279" s="11">
        <v>0</v>
      </c>
      <c r="AU279" s="11">
        <v>0</v>
      </c>
      <c r="AV279" s="11" t="s">
        <v>57</v>
      </c>
    </row>
    <row r="280" spans="1:48" ht="14.5" hidden="1">
      <c r="A280" s="6">
        <v>279</v>
      </c>
      <c r="B280" s="7" t="s">
        <v>635</v>
      </c>
      <c r="C280" s="7" t="s">
        <v>86</v>
      </c>
      <c r="D280" s="6">
        <v>16022</v>
      </c>
      <c r="E280" s="6" t="s">
        <v>49</v>
      </c>
      <c r="F280" s="8"/>
      <c r="G280" s="8"/>
      <c r="H280" s="7" t="s">
        <v>70</v>
      </c>
      <c r="I280" s="7"/>
      <c r="J280" s="6" t="s">
        <v>49</v>
      </c>
      <c r="K280" s="9" t="s">
        <v>49</v>
      </c>
      <c r="L280" s="9" t="s">
        <v>49</v>
      </c>
      <c r="M280" s="8"/>
      <c r="N280" s="12"/>
      <c r="O280" s="10">
        <v>44012</v>
      </c>
      <c r="P280" s="9" t="s">
        <v>49</v>
      </c>
      <c r="Q280" s="9" t="s">
        <v>49</v>
      </c>
      <c r="R280" s="8"/>
      <c r="S280" s="8"/>
      <c r="T280" s="8"/>
      <c r="U280" s="8"/>
      <c r="V280" s="9" t="s">
        <v>49</v>
      </c>
      <c r="W280" s="9" t="s">
        <v>108</v>
      </c>
      <c r="X280" s="8"/>
      <c r="Y280" s="8"/>
      <c r="Z280" s="8"/>
      <c r="AA280" s="8"/>
      <c r="AB280" s="8"/>
      <c r="AC280" s="8"/>
      <c r="AD280" s="8"/>
      <c r="AE280" s="8"/>
      <c r="AF280" s="8"/>
      <c r="AG280" s="8"/>
      <c r="AH280" s="7" t="s">
        <v>57</v>
      </c>
      <c r="AI280" s="6" t="s">
        <v>71</v>
      </c>
      <c r="AJ280" s="6" t="s">
        <v>49</v>
      </c>
      <c r="AK280" s="6" t="s">
        <v>49</v>
      </c>
      <c r="AL280" s="9" t="s">
        <v>52</v>
      </c>
      <c r="AM280" s="9" t="s">
        <v>49</v>
      </c>
      <c r="AN280" s="6" t="s">
        <v>73</v>
      </c>
      <c r="AO280" s="9" t="s">
        <v>49</v>
      </c>
      <c r="AP280" s="11">
        <v>7248.8885899999996</v>
      </c>
      <c r="AQ280" s="11">
        <v>0</v>
      </c>
      <c r="AR280" s="11">
        <v>0</v>
      </c>
      <c r="AS280" s="11">
        <v>41681.266040000002</v>
      </c>
      <c r="AT280" s="11">
        <v>0</v>
      </c>
      <c r="AU280" s="11"/>
      <c r="AV280" s="11">
        <v>0</v>
      </c>
    </row>
    <row r="281" spans="1:48" ht="14.5">
      <c r="A281" s="6">
        <v>280</v>
      </c>
      <c r="B281" s="7" t="s">
        <v>636</v>
      </c>
      <c r="C281" s="7" t="s">
        <v>86</v>
      </c>
      <c r="D281" s="6">
        <v>16022</v>
      </c>
      <c r="E281" s="6" t="s">
        <v>637</v>
      </c>
      <c r="F281" s="6">
        <v>79071</v>
      </c>
      <c r="G281" s="8"/>
      <c r="H281" s="7" t="s">
        <v>70</v>
      </c>
      <c r="I281" s="7"/>
      <c r="J281" s="6" t="s">
        <v>75</v>
      </c>
      <c r="K281" s="9" t="s">
        <v>76</v>
      </c>
      <c r="L281" s="9" t="s">
        <v>73</v>
      </c>
      <c r="M281" s="14">
        <v>581</v>
      </c>
      <c r="N281" s="8"/>
      <c r="O281" s="10">
        <v>44012</v>
      </c>
      <c r="P281" s="9" t="s">
        <v>635</v>
      </c>
      <c r="Q281" s="9" t="s">
        <v>638</v>
      </c>
      <c r="R281" s="8"/>
      <c r="S281" s="8"/>
      <c r="T281" s="8"/>
      <c r="U281" s="8"/>
      <c r="V281" s="9" t="s">
        <v>49</v>
      </c>
      <c r="W281" s="9" t="s">
        <v>108</v>
      </c>
      <c r="X281" s="8"/>
      <c r="Y281" s="8"/>
      <c r="Z281" s="6">
        <v>0.58099999999999996</v>
      </c>
      <c r="AA281" s="8"/>
      <c r="AB281" s="6">
        <v>0.58099999999999996</v>
      </c>
      <c r="AC281" s="8"/>
      <c r="AD281" s="6">
        <v>0.58099999999999996</v>
      </c>
      <c r="AE281" s="6">
        <v>0.46500000000000002</v>
      </c>
      <c r="AF281" s="8"/>
      <c r="AG281" s="8"/>
      <c r="AH281" s="7" t="s">
        <v>51</v>
      </c>
      <c r="AI281" s="6" t="s">
        <v>49</v>
      </c>
      <c r="AJ281" s="6" t="s">
        <v>49</v>
      </c>
      <c r="AK281" s="6" t="s">
        <v>49</v>
      </c>
      <c r="AL281" s="9" t="s">
        <v>49</v>
      </c>
      <c r="AM281" s="9" t="s">
        <v>92</v>
      </c>
      <c r="AN281" s="6" t="s">
        <v>73</v>
      </c>
      <c r="AO281" s="9" t="s">
        <v>92</v>
      </c>
      <c r="AP281" s="11">
        <v>77.54010000000001</v>
      </c>
      <c r="AQ281" s="11">
        <v>114315.1</v>
      </c>
      <c r="AR281" s="11">
        <v>114315.10250000002</v>
      </c>
      <c r="AS281" s="11">
        <v>300.39010999999999</v>
      </c>
      <c r="AT281" s="11">
        <v>432.52509999999995</v>
      </c>
      <c r="AU281" s="11">
        <v>0</v>
      </c>
      <c r="AV281" s="11" t="s">
        <v>51</v>
      </c>
    </row>
    <row r="282" spans="1:48" ht="14.5" hidden="1">
      <c r="A282" s="6">
        <v>281</v>
      </c>
      <c r="B282" s="7" t="s">
        <v>639</v>
      </c>
      <c r="C282" s="7" t="s">
        <v>49</v>
      </c>
      <c r="D282" s="6">
        <v>15497</v>
      </c>
      <c r="E282" s="6" t="s">
        <v>49</v>
      </c>
      <c r="F282" s="8"/>
      <c r="G282" s="8"/>
      <c r="H282" s="7" t="s">
        <v>49</v>
      </c>
      <c r="I282" s="7"/>
      <c r="J282" s="6" t="s">
        <v>49</v>
      </c>
      <c r="K282" s="9" t="s">
        <v>49</v>
      </c>
      <c r="L282" s="9" t="s">
        <v>49</v>
      </c>
      <c r="M282" s="8"/>
      <c r="N282" s="10">
        <v>43768</v>
      </c>
      <c r="O282" s="10">
        <v>43808</v>
      </c>
      <c r="P282" s="9" t="s">
        <v>49</v>
      </c>
      <c r="Q282" s="9" t="s">
        <v>49</v>
      </c>
      <c r="R282" s="8"/>
      <c r="S282" s="8"/>
      <c r="T282" s="8"/>
      <c r="U282" s="8"/>
      <c r="V282" s="9" t="s">
        <v>49</v>
      </c>
      <c r="W282" s="9" t="s">
        <v>49</v>
      </c>
      <c r="X282" s="8"/>
      <c r="Y282" s="8"/>
      <c r="Z282" s="8"/>
      <c r="AA282" s="8"/>
      <c r="AB282" s="8"/>
      <c r="AC282" s="8"/>
      <c r="AD282" s="8"/>
      <c r="AE282" s="8"/>
      <c r="AF282" s="8"/>
      <c r="AG282" s="8"/>
      <c r="AH282" s="7" t="s">
        <v>57</v>
      </c>
      <c r="AI282" s="6" t="s">
        <v>71</v>
      </c>
      <c r="AJ282" s="6" t="s">
        <v>49</v>
      </c>
      <c r="AK282" s="6" t="s">
        <v>49</v>
      </c>
      <c r="AL282" s="9" t="s">
        <v>52</v>
      </c>
      <c r="AM282" s="9" t="s">
        <v>49</v>
      </c>
      <c r="AN282" s="6" t="s">
        <v>85</v>
      </c>
      <c r="AO282" s="9" t="s">
        <v>49</v>
      </c>
      <c r="AP282" s="11">
        <v>7248.8885899999996</v>
      </c>
      <c r="AQ282" s="11">
        <v>0</v>
      </c>
      <c r="AR282" s="11">
        <v>0</v>
      </c>
      <c r="AS282" s="11">
        <v>41681.266040000002</v>
      </c>
      <c r="AT282" s="11">
        <v>0</v>
      </c>
      <c r="AU282" s="11">
        <v>0</v>
      </c>
      <c r="AV282" s="11">
        <v>0</v>
      </c>
    </row>
    <row r="283" spans="1:48" ht="14.5" hidden="1">
      <c r="A283" s="6">
        <v>282</v>
      </c>
      <c r="B283" s="7" t="s">
        <v>640</v>
      </c>
      <c r="C283" s="7" t="s">
        <v>49</v>
      </c>
      <c r="D283" s="6">
        <v>15497</v>
      </c>
      <c r="E283" s="6" t="s">
        <v>641</v>
      </c>
      <c r="F283" s="8"/>
      <c r="G283" s="8"/>
      <c r="H283" s="7" t="s">
        <v>49</v>
      </c>
      <c r="I283" s="7"/>
      <c r="J283" s="6" t="s">
        <v>49</v>
      </c>
      <c r="K283" s="9" t="s">
        <v>49</v>
      </c>
      <c r="L283" s="9" t="s">
        <v>49</v>
      </c>
      <c r="M283" s="8"/>
      <c r="N283" s="10">
        <v>43768</v>
      </c>
      <c r="O283" s="10">
        <v>43808</v>
      </c>
      <c r="P283" s="9" t="s">
        <v>49</v>
      </c>
      <c r="Q283" s="9" t="s">
        <v>49</v>
      </c>
      <c r="R283" s="8"/>
      <c r="S283" s="8"/>
      <c r="T283" s="8"/>
      <c r="U283" s="8"/>
      <c r="V283" s="9" t="s">
        <v>49</v>
      </c>
      <c r="W283" s="9" t="s">
        <v>49</v>
      </c>
      <c r="X283" s="8"/>
      <c r="Y283" s="8"/>
      <c r="Z283" s="8"/>
      <c r="AA283" s="8"/>
      <c r="AB283" s="8"/>
      <c r="AC283" s="8"/>
      <c r="AD283" s="8"/>
      <c r="AE283" s="8"/>
      <c r="AF283" s="8"/>
      <c r="AG283" s="8"/>
      <c r="AH283" s="7" t="s">
        <v>57</v>
      </c>
      <c r="AI283" s="6" t="s">
        <v>49</v>
      </c>
      <c r="AJ283" s="6" t="s">
        <v>49</v>
      </c>
      <c r="AK283" s="6" t="s">
        <v>49</v>
      </c>
      <c r="AL283" s="9" t="s">
        <v>49</v>
      </c>
      <c r="AM283" s="9" t="s">
        <v>92</v>
      </c>
      <c r="AN283" s="6" t="s">
        <v>49</v>
      </c>
      <c r="AO283" s="9" t="s">
        <v>92</v>
      </c>
      <c r="AP283" s="11">
        <v>0</v>
      </c>
      <c r="AQ283" s="11">
        <v>0</v>
      </c>
      <c r="AR283" s="11">
        <v>0</v>
      </c>
      <c r="AS283" s="11">
        <v>0</v>
      </c>
      <c r="AT283" s="11">
        <v>0</v>
      </c>
      <c r="AU283" s="11">
        <v>0</v>
      </c>
      <c r="AV283" s="11">
        <v>0</v>
      </c>
    </row>
    <row r="284" spans="1:48" ht="14.5" hidden="1">
      <c r="A284" s="6">
        <v>283</v>
      </c>
      <c r="B284" s="7" t="s">
        <v>642</v>
      </c>
      <c r="C284" s="7" t="s">
        <v>86</v>
      </c>
      <c r="D284" s="6">
        <v>16024</v>
      </c>
      <c r="E284" s="6" t="s">
        <v>49</v>
      </c>
      <c r="F284" s="8"/>
      <c r="G284" s="8"/>
      <c r="H284" s="7" t="s">
        <v>49</v>
      </c>
      <c r="I284" s="7"/>
      <c r="J284" s="6" t="s">
        <v>49</v>
      </c>
      <c r="K284" s="9" t="s">
        <v>49</v>
      </c>
      <c r="L284" s="9" t="s">
        <v>49</v>
      </c>
      <c r="M284" s="8"/>
      <c r="N284" s="8"/>
      <c r="O284" s="10">
        <v>45292</v>
      </c>
      <c r="P284" s="9" t="s">
        <v>49</v>
      </c>
      <c r="Q284" s="9" t="s">
        <v>49</v>
      </c>
      <c r="R284" s="8"/>
      <c r="S284" s="8"/>
      <c r="T284" s="8"/>
      <c r="U284" s="8"/>
      <c r="V284" s="9" t="s">
        <v>49</v>
      </c>
      <c r="W284" s="9" t="s">
        <v>49</v>
      </c>
      <c r="X284" s="8"/>
      <c r="Y284" s="8"/>
      <c r="Z284" s="8"/>
      <c r="AA284" s="8"/>
      <c r="AB284" s="8"/>
      <c r="AC284" s="8"/>
      <c r="AD284" s="8"/>
      <c r="AE284" s="8"/>
      <c r="AF284" s="8"/>
      <c r="AG284" s="8"/>
      <c r="AH284" s="7" t="s">
        <v>57</v>
      </c>
      <c r="AI284" s="6" t="s">
        <v>71</v>
      </c>
      <c r="AJ284" s="6" t="s">
        <v>49</v>
      </c>
      <c r="AK284" s="6" t="s">
        <v>49</v>
      </c>
      <c r="AL284" s="9" t="s">
        <v>52</v>
      </c>
      <c r="AM284" s="9" t="s">
        <v>49</v>
      </c>
      <c r="AN284" s="6" t="s">
        <v>85</v>
      </c>
      <c r="AO284" s="9" t="s">
        <v>49</v>
      </c>
      <c r="AP284" s="11">
        <v>7248.8885899999996</v>
      </c>
      <c r="AQ284" s="11">
        <v>0</v>
      </c>
      <c r="AR284" s="11">
        <v>0</v>
      </c>
      <c r="AS284" s="11">
        <v>41681.266040000002</v>
      </c>
      <c r="AT284" s="11">
        <v>0</v>
      </c>
      <c r="AU284" s="11">
        <v>0</v>
      </c>
      <c r="AV284" s="11">
        <v>0</v>
      </c>
    </row>
    <row r="285" spans="1:48" ht="14.5" hidden="1">
      <c r="A285" s="6">
        <v>284</v>
      </c>
      <c r="B285" s="7" t="s">
        <v>642</v>
      </c>
      <c r="C285" s="7" t="s">
        <v>86</v>
      </c>
      <c r="D285" s="6">
        <v>16024</v>
      </c>
      <c r="E285" s="6" t="s">
        <v>643</v>
      </c>
      <c r="F285" s="8"/>
      <c r="G285" s="8"/>
      <c r="H285" s="7" t="s">
        <v>88</v>
      </c>
      <c r="I285" s="7" t="s">
        <v>217</v>
      </c>
      <c r="J285" s="6" t="s">
        <v>75</v>
      </c>
      <c r="K285" s="9" t="s">
        <v>76</v>
      </c>
      <c r="L285" s="9" t="s">
        <v>49</v>
      </c>
      <c r="M285" s="8"/>
      <c r="N285" s="8"/>
      <c r="O285" s="10">
        <v>45292</v>
      </c>
      <c r="P285" s="9" t="s">
        <v>49</v>
      </c>
      <c r="Q285" s="9" t="s">
        <v>49</v>
      </c>
      <c r="R285" s="8"/>
      <c r="S285" s="8"/>
      <c r="T285" s="8"/>
      <c r="U285" s="8"/>
      <c r="V285" s="9" t="s">
        <v>49</v>
      </c>
      <c r="W285" s="9" t="s">
        <v>49</v>
      </c>
      <c r="X285" s="8"/>
      <c r="Y285" s="8"/>
      <c r="Z285" s="8"/>
      <c r="AA285" s="6">
        <v>1.1000000000000001</v>
      </c>
      <c r="AB285" s="6">
        <v>1.1000000000000001</v>
      </c>
      <c r="AC285" s="6">
        <v>1.5</v>
      </c>
      <c r="AD285" s="6">
        <v>2.6</v>
      </c>
      <c r="AE285" s="8"/>
      <c r="AF285" s="6">
        <v>0.55000000000000004</v>
      </c>
      <c r="AG285" s="6">
        <v>0.55000000000000004</v>
      </c>
      <c r="AH285" s="7" t="s">
        <v>57</v>
      </c>
      <c r="AI285" s="6" t="s">
        <v>49</v>
      </c>
      <c r="AJ285" s="6" t="s">
        <v>49</v>
      </c>
      <c r="AK285" s="6" t="s">
        <v>49</v>
      </c>
      <c r="AL285" s="9" t="s">
        <v>49</v>
      </c>
      <c r="AM285" s="9" t="s">
        <v>92</v>
      </c>
      <c r="AN285" s="6" t="s">
        <v>49</v>
      </c>
      <c r="AO285" s="9" t="s">
        <v>92</v>
      </c>
      <c r="AP285" s="11">
        <v>0</v>
      </c>
      <c r="AQ285" s="11">
        <v>0</v>
      </c>
      <c r="AR285" s="11">
        <v>0</v>
      </c>
      <c r="AS285" s="11">
        <v>0</v>
      </c>
      <c r="AT285" s="11">
        <v>0</v>
      </c>
      <c r="AU285" s="11">
        <v>0</v>
      </c>
      <c r="AV285" s="11" t="s">
        <v>57</v>
      </c>
    </row>
    <row r="286" spans="1:48" ht="14.5" hidden="1">
      <c r="A286" s="6">
        <v>285</v>
      </c>
      <c r="B286" s="7" t="s">
        <v>644</v>
      </c>
      <c r="C286" s="7" t="s">
        <v>49</v>
      </c>
      <c r="D286" s="6">
        <v>16032</v>
      </c>
      <c r="E286" s="6" t="s">
        <v>49</v>
      </c>
      <c r="F286" s="8"/>
      <c r="G286" s="8"/>
      <c r="H286" s="7" t="s">
        <v>49</v>
      </c>
      <c r="I286" s="7"/>
      <c r="J286" s="6" t="s">
        <v>49</v>
      </c>
      <c r="K286" s="9" t="s">
        <v>49</v>
      </c>
      <c r="L286" s="9" t="s">
        <v>49</v>
      </c>
      <c r="M286" s="8"/>
      <c r="N286" s="8"/>
      <c r="O286" s="10">
        <v>44224</v>
      </c>
      <c r="P286" s="9" t="s">
        <v>49</v>
      </c>
      <c r="Q286" s="9" t="s">
        <v>49</v>
      </c>
      <c r="R286" s="8"/>
      <c r="S286" s="8"/>
      <c r="T286" s="8"/>
      <c r="U286" s="8"/>
      <c r="V286" s="9" t="s">
        <v>49</v>
      </c>
      <c r="W286" s="9" t="s">
        <v>49</v>
      </c>
      <c r="X286" s="8"/>
      <c r="Y286" s="8"/>
      <c r="Z286" s="8"/>
      <c r="AA286" s="8"/>
      <c r="AB286" s="8"/>
      <c r="AC286" s="8"/>
      <c r="AD286" s="8"/>
      <c r="AE286" s="8"/>
      <c r="AF286" s="8"/>
      <c r="AG286" s="8"/>
      <c r="AH286" s="7" t="s">
        <v>57</v>
      </c>
      <c r="AI286" s="6" t="s">
        <v>71</v>
      </c>
      <c r="AJ286" s="6" t="s">
        <v>49</v>
      </c>
      <c r="AK286" s="6" t="s">
        <v>49</v>
      </c>
      <c r="AL286" s="9" t="s">
        <v>52</v>
      </c>
      <c r="AM286" s="9" t="s">
        <v>49</v>
      </c>
      <c r="AN286" s="6" t="s">
        <v>85</v>
      </c>
      <c r="AO286" s="9" t="s">
        <v>49</v>
      </c>
      <c r="AP286" s="11">
        <v>7248.8885899999996</v>
      </c>
      <c r="AQ286" s="11">
        <v>0</v>
      </c>
      <c r="AR286" s="11">
        <v>0</v>
      </c>
      <c r="AS286" s="11">
        <v>41681.266040000002</v>
      </c>
      <c r="AT286" s="11">
        <v>0</v>
      </c>
      <c r="AU286" s="11">
        <v>0</v>
      </c>
      <c r="AV286" s="11">
        <v>0</v>
      </c>
    </row>
    <row r="287" spans="1:48" ht="14.5" hidden="1">
      <c r="A287" s="6">
        <v>286</v>
      </c>
      <c r="B287" s="7" t="s">
        <v>644</v>
      </c>
      <c r="C287" s="7" t="s">
        <v>49</v>
      </c>
      <c r="D287" s="6">
        <v>16032</v>
      </c>
      <c r="E287" s="6" t="s">
        <v>645</v>
      </c>
      <c r="F287" s="12"/>
      <c r="G287" s="8"/>
      <c r="H287" s="7" t="s">
        <v>49</v>
      </c>
      <c r="I287" s="7"/>
      <c r="J287" s="6" t="s">
        <v>49</v>
      </c>
      <c r="K287" s="9" t="s">
        <v>49</v>
      </c>
      <c r="L287" s="9" t="s">
        <v>49</v>
      </c>
      <c r="M287" s="12"/>
      <c r="N287" s="8"/>
      <c r="O287" s="10">
        <v>44224</v>
      </c>
      <c r="P287" s="9" t="s">
        <v>49</v>
      </c>
      <c r="Q287" s="9" t="s">
        <v>49</v>
      </c>
      <c r="R287" s="8"/>
      <c r="S287" s="8"/>
      <c r="T287" s="8"/>
      <c r="U287" s="8"/>
      <c r="V287" s="9" t="s">
        <v>49</v>
      </c>
      <c r="W287" s="9" t="s">
        <v>49</v>
      </c>
      <c r="X287" s="8"/>
      <c r="Y287" s="8"/>
      <c r="Z287" s="12"/>
      <c r="AA287" s="8"/>
      <c r="AB287" s="12"/>
      <c r="AC287" s="8"/>
      <c r="AD287" s="12"/>
      <c r="AE287" s="12"/>
      <c r="AF287" s="8"/>
      <c r="AG287" s="12"/>
      <c r="AH287" s="7" t="s">
        <v>57</v>
      </c>
      <c r="AI287" s="6" t="s">
        <v>49</v>
      </c>
      <c r="AJ287" s="6" t="s">
        <v>49</v>
      </c>
      <c r="AK287" s="6" t="s">
        <v>49</v>
      </c>
      <c r="AL287" s="9" t="s">
        <v>49</v>
      </c>
      <c r="AM287" s="9" t="s">
        <v>92</v>
      </c>
      <c r="AN287" s="6" t="s">
        <v>49</v>
      </c>
      <c r="AO287" s="9" t="s">
        <v>92</v>
      </c>
      <c r="AP287" s="11">
        <v>0</v>
      </c>
      <c r="AQ287" s="11">
        <v>0</v>
      </c>
      <c r="AR287" s="11">
        <v>0</v>
      </c>
      <c r="AS287" s="11">
        <v>0</v>
      </c>
      <c r="AT287" s="11">
        <v>0</v>
      </c>
      <c r="AU287" s="11">
        <v>0</v>
      </c>
      <c r="AV287" s="11" t="s">
        <v>57</v>
      </c>
    </row>
    <row r="288" spans="1:48" ht="14.5" hidden="1">
      <c r="A288" s="6">
        <v>287</v>
      </c>
      <c r="B288" s="7" t="s">
        <v>646</v>
      </c>
      <c r="C288" s="7" t="s">
        <v>49</v>
      </c>
      <c r="D288" s="6">
        <v>15486</v>
      </c>
      <c r="E288" s="6" t="s">
        <v>49</v>
      </c>
      <c r="F288" s="8"/>
      <c r="G288" s="8"/>
      <c r="H288" s="7" t="s">
        <v>49</v>
      </c>
      <c r="I288" s="7"/>
      <c r="J288" s="6" t="s">
        <v>49</v>
      </c>
      <c r="K288" s="9" t="s">
        <v>49</v>
      </c>
      <c r="L288" s="9" t="s">
        <v>49</v>
      </c>
      <c r="M288" s="8"/>
      <c r="N288" s="10">
        <v>43768</v>
      </c>
      <c r="O288" s="10">
        <v>43830</v>
      </c>
      <c r="P288" s="9" t="s">
        <v>49</v>
      </c>
      <c r="Q288" s="9" t="s">
        <v>49</v>
      </c>
      <c r="R288" s="8"/>
      <c r="S288" s="8"/>
      <c r="T288" s="8"/>
      <c r="U288" s="8"/>
      <c r="V288" s="9" t="s">
        <v>49</v>
      </c>
      <c r="W288" s="9" t="s">
        <v>49</v>
      </c>
      <c r="X288" s="8"/>
      <c r="Y288" s="8"/>
      <c r="Z288" s="8"/>
      <c r="AA288" s="8"/>
      <c r="AB288" s="8"/>
      <c r="AC288" s="8"/>
      <c r="AD288" s="8"/>
      <c r="AE288" s="8"/>
      <c r="AF288" s="8"/>
      <c r="AG288" s="8"/>
      <c r="AH288" s="7" t="s">
        <v>57</v>
      </c>
      <c r="AI288" s="6" t="s">
        <v>71</v>
      </c>
      <c r="AJ288" s="6" t="s">
        <v>49</v>
      </c>
      <c r="AK288" s="6" t="s">
        <v>49</v>
      </c>
      <c r="AL288" s="9" t="s">
        <v>52</v>
      </c>
      <c r="AM288" s="9" t="s">
        <v>49</v>
      </c>
      <c r="AN288" s="6" t="s">
        <v>85</v>
      </c>
      <c r="AO288" s="9" t="s">
        <v>49</v>
      </c>
      <c r="AP288" s="11">
        <v>7248.8885899999996</v>
      </c>
      <c r="AQ288" s="11">
        <v>0</v>
      </c>
      <c r="AR288" s="11">
        <v>0</v>
      </c>
      <c r="AS288" s="11">
        <v>41681.266040000002</v>
      </c>
      <c r="AT288" s="11">
        <v>0</v>
      </c>
      <c r="AU288" s="11">
        <v>0</v>
      </c>
      <c r="AV288" s="11">
        <v>0</v>
      </c>
    </row>
    <row r="289" spans="1:48" ht="14.5" hidden="1">
      <c r="A289" s="6">
        <v>288</v>
      </c>
      <c r="B289" s="7" t="s">
        <v>646</v>
      </c>
      <c r="C289" s="7" t="s">
        <v>49</v>
      </c>
      <c r="D289" s="6">
        <v>15486</v>
      </c>
      <c r="E289" s="6" t="s">
        <v>647</v>
      </c>
      <c r="F289" s="12"/>
      <c r="G289" s="8"/>
      <c r="H289" s="7" t="s">
        <v>49</v>
      </c>
      <c r="I289" s="7"/>
      <c r="J289" s="6" t="s">
        <v>49</v>
      </c>
      <c r="K289" s="9" t="s">
        <v>49</v>
      </c>
      <c r="L289" s="9" t="s">
        <v>49</v>
      </c>
      <c r="M289" s="8"/>
      <c r="N289" s="10">
        <v>43768</v>
      </c>
      <c r="O289" s="10">
        <v>43830</v>
      </c>
      <c r="P289" s="9" t="s">
        <v>49</v>
      </c>
      <c r="Q289" s="9" t="s">
        <v>49</v>
      </c>
      <c r="R289" s="8"/>
      <c r="S289" s="8"/>
      <c r="T289" s="8"/>
      <c r="U289" s="8"/>
      <c r="V289" s="9" t="s">
        <v>49</v>
      </c>
      <c r="W289" s="9" t="s">
        <v>49</v>
      </c>
      <c r="X289" s="8"/>
      <c r="Y289" s="8"/>
      <c r="Z289" s="8"/>
      <c r="AA289" s="8"/>
      <c r="AB289" s="8"/>
      <c r="AC289" s="8"/>
      <c r="AD289" s="8"/>
      <c r="AE289" s="8"/>
      <c r="AF289" s="8"/>
      <c r="AG289" s="8"/>
      <c r="AH289" s="7" t="s">
        <v>51</v>
      </c>
      <c r="AI289" s="6" t="s">
        <v>49</v>
      </c>
      <c r="AJ289" s="6" t="s">
        <v>49</v>
      </c>
      <c r="AK289" s="6" t="s">
        <v>49</v>
      </c>
      <c r="AL289" s="9" t="s">
        <v>49</v>
      </c>
      <c r="AM289" s="9" t="s">
        <v>92</v>
      </c>
      <c r="AN289" s="6" t="s">
        <v>49</v>
      </c>
      <c r="AO289" s="9" t="s">
        <v>49</v>
      </c>
      <c r="AP289" s="11">
        <v>0</v>
      </c>
      <c r="AQ289" s="11">
        <v>0</v>
      </c>
      <c r="AR289" s="11">
        <v>0</v>
      </c>
      <c r="AS289" s="11">
        <v>0</v>
      </c>
      <c r="AT289" s="11">
        <v>0</v>
      </c>
      <c r="AU289" s="11">
        <v>0</v>
      </c>
      <c r="AV289" s="11">
        <v>0</v>
      </c>
    </row>
    <row r="290" spans="1:48" ht="14.5" hidden="1">
      <c r="A290" s="6">
        <v>289</v>
      </c>
      <c r="B290" s="7" t="s">
        <v>648</v>
      </c>
      <c r="C290" s="7" t="s">
        <v>49</v>
      </c>
      <c r="D290" s="6">
        <v>16010</v>
      </c>
      <c r="E290" s="6" t="s">
        <v>49</v>
      </c>
      <c r="F290" s="8"/>
      <c r="G290" s="8"/>
      <c r="H290" s="7" t="s">
        <v>49</v>
      </c>
      <c r="I290" s="7"/>
      <c r="J290" s="6" t="s">
        <v>49</v>
      </c>
      <c r="K290" s="9" t="s">
        <v>49</v>
      </c>
      <c r="L290" s="9" t="s">
        <v>49</v>
      </c>
      <c r="M290" s="8"/>
      <c r="N290" s="10">
        <v>43766</v>
      </c>
      <c r="O290" s="10">
        <v>43830</v>
      </c>
      <c r="P290" s="9" t="s">
        <v>49</v>
      </c>
      <c r="Q290" s="9" t="s">
        <v>49</v>
      </c>
      <c r="R290" s="8"/>
      <c r="S290" s="8"/>
      <c r="T290" s="8"/>
      <c r="U290" s="8"/>
      <c r="V290" s="9" t="s">
        <v>49</v>
      </c>
      <c r="W290" s="9" t="s">
        <v>49</v>
      </c>
      <c r="X290" s="8"/>
      <c r="Y290" s="8"/>
      <c r="Z290" s="8"/>
      <c r="AA290" s="8"/>
      <c r="AB290" s="8"/>
      <c r="AC290" s="8"/>
      <c r="AD290" s="8"/>
      <c r="AE290" s="8"/>
      <c r="AF290" s="8"/>
      <c r="AG290" s="8"/>
      <c r="AH290" s="7" t="s">
        <v>57</v>
      </c>
      <c r="AI290" s="6" t="s">
        <v>71</v>
      </c>
      <c r="AJ290" s="6" t="s">
        <v>49</v>
      </c>
      <c r="AK290" s="6" t="s">
        <v>49</v>
      </c>
      <c r="AL290" s="9" t="s">
        <v>52</v>
      </c>
      <c r="AM290" s="9" t="s">
        <v>49</v>
      </c>
      <c r="AN290" s="6" t="s">
        <v>85</v>
      </c>
      <c r="AO290" s="9" t="s">
        <v>49</v>
      </c>
      <c r="AP290" s="11">
        <v>7248.8885899999996</v>
      </c>
      <c r="AQ290" s="11">
        <v>0</v>
      </c>
      <c r="AR290" s="11">
        <v>0</v>
      </c>
      <c r="AS290" s="11">
        <v>41681.266040000002</v>
      </c>
      <c r="AT290" s="11">
        <v>0</v>
      </c>
      <c r="AU290" s="11">
        <v>0</v>
      </c>
      <c r="AV290" s="11">
        <v>0</v>
      </c>
    </row>
    <row r="291" spans="1:48" ht="14.5" hidden="1">
      <c r="A291" s="6">
        <v>290</v>
      </c>
      <c r="B291" s="7" t="s">
        <v>649</v>
      </c>
      <c r="C291" s="7" t="s">
        <v>86</v>
      </c>
      <c r="D291" s="6">
        <v>16010</v>
      </c>
      <c r="E291" s="6" t="s">
        <v>650</v>
      </c>
      <c r="F291" s="6">
        <v>83263</v>
      </c>
      <c r="G291" s="8"/>
      <c r="H291" s="7" t="s">
        <v>88</v>
      </c>
      <c r="I291" s="7" t="s">
        <v>217</v>
      </c>
      <c r="J291" s="6" t="s">
        <v>75</v>
      </c>
      <c r="K291" s="9" t="s">
        <v>76</v>
      </c>
      <c r="L291" s="9" t="s">
        <v>218</v>
      </c>
      <c r="M291" s="8"/>
      <c r="N291" s="10">
        <v>43766</v>
      </c>
      <c r="O291" s="10">
        <v>43830</v>
      </c>
      <c r="P291" s="9" t="s">
        <v>651</v>
      </c>
      <c r="Q291" s="9" t="s">
        <v>652</v>
      </c>
      <c r="R291" s="8"/>
      <c r="S291" s="8"/>
      <c r="T291" s="8"/>
      <c r="U291" s="8"/>
      <c r="V291" s="9" t="s">
        <v>49</v>
      </c>
      <c r="W291" s="9" t="s">
        <v>108</v>
      </c>
      <c r="X291" s="8"/>
      <c r="Y291" s="8"/>
      <c r="Z291" s="8"/>
      <c r="AA291" s="6">
        <v>1.1000000000000001</v>
      </c>
      <c r="AB291" s="6">
        <v>1.1000000000000001</v>
      </c>
      <c r="AC291" s="8"/>
      <c r="AD291" s="6">
        <v>1.1000000000000001</v>
      </c>
      <c r="AE291" s="8"/>
      <c r="AF291" s="6">
        <v>0.55000000000000004</v>
      </c>
      <c r="AG291" s="6">
        <v>0.55000000000000004</v>
      </c>
      <c r="AH291" s="7" t="s">
        <v>51</v>
      </c>
      <c r="AI291" s="6" t="s">
        <v>49</v>
      </c>
      <c r="AJ291" s="6" t="s">
        <v>49</v>
      </c>
      <c r="AK291" s="6" t="s">
        <v>49</v>
      </c>
      <c r="AL291" s="9" t="s">
        <v>49</v>
      </c>
      <c r="AM291" s="9" t="s">
        <v>92</v>
      </c>
      <c r="AN291" s="6" t="s">
        <v>49</v>
      </c>
      <c r="AO291" s="9" t="s">
        <v>92</v>
      </c>
      <c r="AP291" s="11">
        <v>23.35088</v>
      </c>
      <c r="AQ291" s="11">
        <v>25179.42</v>
      </c>
      <c r="AR291" s="11">
        <v>25179.42666666667</v>
      </c>
      <c r="AS291" s="11">
        <v>350.25767999999999</v>
      </c>
      <c r="AT291" s="11">
        <v>33.251419999999996</v>
      </c>
      <c r="AU291" s="11">
        <v>0</v>
      </c>
      <c r="AV291" s="11" t="s">
        <v>51</v>
      </c>
    </row>
    <row r="292" spans="1:48" ht="14.5" hidden="1">
      <c r="A292" s="6">
        <v>291</v>
      </c>
      <c r="B292" s="7" t="s">
        <v>653</v>
      </c>
      <c r="C292" s="7" t="s">
        <v>86</v>
      </c>
      <c r="D292" s="12"/>
      <c r="E292" s="6" t="s">
        <v>104</v>
      </c>
      <c r="F292" s="12"/>
      <c r="G292" s="8"/>
      <c r="H292" s="7" t="s">
        <v>49</v>
      </c>
      <c r="I292" s="7"/>
      <c r="J292" s="6" t="s">
        <v>49</v>
      </c>
      <c r="K292" s="9" t="s">
        <v>49</v>
      </c>
      <c r="L292" s="9" t="s">
        <v>49</v>
      </c>
      <c r="M292" s="14">
        <v>52</v>
      </c>
      <c r="N292" s="8"/>
      <c r="O292" s="12"/>
      <c r="P292" s="9" t="s">
        <v>49</v>
      </c>
      <c r="Q292" s="9" t="s">
        <v>49</v>
      </c>
      <c r="R292" s="8"/>
      <c r="S292" s="8"/>
      <c r="T292" s="8"/>
      <c r="U292" s="8"/>
      <c r="V292" s="9" t="s">
        <v>49</v>
      </c>
      <c r="W292" s="9" t="s">
        <v>49</v>
      </c>
      <c r="X292" s="8"/>
      <c r="Y292" s="8"/>
      <c r="Z292" s="8"/>
      <c r="AA292" s="12"/>
      <c r="AB292" s="12"/>
      <c r="AC292" s="8"/>
      <c r="AD292" s="12"/>
      <c r="AE292" s="8"/>
      <c r="AF292" s="12"/>
      <c r="AG292" s="12"/>
      <c r="AH292" s="7" t="s">
        <v>49</v>
      </c>
      <c r="AI292" s="6" t="s">
        <v>49</v>
      </c>
      <c r="AJ292" s="6" t="s">
        <v>49</v>
      </c>
      <c r="AK292" s="6" t="s">
        <v>49</v>
      </c>
      <c r="AL292" s="9" t="s">
        <v>49</v>
      </c>
      <c r="AM292" s="9" t="s">
        <v>49</v>
      </c>
      <c r="AN292" s="6" t="s">
        <v>49</v>
      </c>
      <c r="AO292" s="9" t="s">
        <v>49</v>
      </c>
      <c r="AP292" s="11">
        <v>0</v>
      </c>
      <c r="AQ292" s="11">
        <v>0</v>
      </c>
      <c r="AR292" s="11">
        <v>0</v>
      </c>
      <c r="AS292" s="11">
        <v>0</v>
      </c>
      <c r="AT292" s="11">
        <v>0</v>
      </c>
      <c r="AU292" s="11">
        <v>0</v>
      </c>
      <c r="AV292" s="11">
        <v>0</v>
      </c>
    </row>
    <row r="293" spans="1:48" ht="14.5" hidden="1">
      <c r="A293" s="6">
        <v>292</v>
      </c>
      <c r="B293" s="7" t="s">
        <v>654</v>
      </c>
      <c r="C293" s="7" t="s">
        <v>86</v>
      </c>
      <c r="D293" s="6">
        <v>15702</v>
      </c>
      <c r="E293" s="6" t="s">
        <v>49</v>
      </c>
      <c r="F293" s="8"/>
      <c r="G293" s="8"/>
      <c r="H293" s="7" t="s">
        <v>49</v>
      </c>
      <c r="I293" s="7"/>
      <c r="J293" s="6" t="s">
        <v>49</v>
      </c>
      <c r="K293" s="9" t="s">
        <v>49</v>
      </c>
      <c r="L293" s="9" t="s">
        <v>49</v>
      </c>
      <c r="M293" s="8"/>
      <c r="N293" s="8"/>
      <c r="O293" s="12"/>
      <c r="P293" s="9" t="s">
        <v>49</v>
      </c>
      <c r="Q293" s="9" t="s">
        <v>49</v>
      </c>
      <c r="R293" s="8"/>
      <c r="S293" s="8"/>
      <c r="T293" s="8"/>
      <c r="U293" s="8"/>
      <c r="V293" s="9" t="s">
        <v>49</v>
      </c>
      <c r="W293" s="9" t="s">
        <v>49</v>
      </c>
      <c r="X293" s="8"/>
      <c r="Y293" s="8"/>
      <c r="Z293" s="8"/>
      <c r="AA293" s="8"/>
      <c r="AB293" s="8"/>
      <c r="AC293" s="8"/>
      <c r="AD293" s="8"/>
      <c r="AE293" s="8"/>
      <c r="AF293" s="8"/>
      <c r="AG293" s="8"/>
      <c r="AH293" s="7" t="s">
        <v>57</v>
      </c>
      <c r="AI293" s="6" t="s">
        <v>71</v>
      </c>
      <c r="AJ293" s="6" t="s">
        <v>49</v>
      </c>
      <c r="AK293" s="6" t="s">
        <v>49</v>
      </c>
      <c r="AL293" s="9" t="s">
        <v>52</v>
      </c>
      <c r="AM293" s="9" t="s">
        <v>49</v>
      </c>
      <c r="AN293" s="6" t="s">
        <v>85</v>
      </c>
      <c r="AO293" s="9" t="s">
        <v>49</v>
      </c>
      <c r="AP293" s="11">
        <v>7248.8885899999996</v>
      </c>
      <c r="AQ293" s="11">
        <v>0</v>
      </c>
      <c r="AR293" s="11">
        <v>0</v>
      </c>
      <c r="AS293" s="11">
        <v>41681.266040000002</v>
      </c>
      <c r="AT293" s="11">
        <v>0</v>
      </c>
      <c r="AU293" s="11">
        <v>0</v>
      </c>
      <c r="AV293" s="11">
        <v>0</v>
      </c>
    </row>
    <row r="294" spans="1:48" ht="14.5" hidden="1">
      <c r="A294" s="6">
        <v>293</v>
      </c>
      <c r="B294" s="7" t="s">
        <v>654</v>
      </c>
      <c r="C294" s="7" t="s">
        <v>86</v>
      </c>
      <c r="D294" s="6">
        <v>15702</v>
      </c>
      <c r="E294" s="6" t="s">
        <v>655</v>
      </c>
      <c r="F294" s="6">
        <v>86863</v>
      </c>
      <c r="G294" s="8"/>
      <c r="H294" s="7" t="s">
        <v>88</v>
      </c>
      <c r="I294" s="7" t="s">
        <v>217</v>
      </c>
      <c r="J294" s="6" t="s">
        <v>75</v>
      </c>
      <c r="K294" s="9" t="s">
        <v>76</v>
      </c>
      <c r="L294" s="9" t="s">
        <v>218</v>
      </c>
      <c r="M294" s="6">
        <v>0</v>
      </c>
      <c r="N294" s="8"/>
      <c r="O294" s="12"/>
      <c r="P294" s="9" t="s">
        <v>49</v>
      </c>
      <c r="Q294" s="9" t="s">
        <v>49</v>
      </c>
      <c r="R294" s="6">
        <v>14.2</v>
      </c>
      <c r="S294" s="6">
        <v>12.7</v>
      </c>
      <c r="T294" s="6">
        <v>27.3</v>
      </c>
      <c r="U294" s="6">
        <v>0.9</v>
      </c>
      <c r="V294" s="9" t="s">
        <v>269</v>
      </c>
      <c r="W294" s="9" t="s">
        <v>49</v>
      </c>
      <c r="X294" s="8"/>
      <c r="Y294" s="8"/>
      <c r="Z294" s="8"/>
      <c r="AA294" s="6">
        <v>0.9</v>
      </c>
      <c r="AB294" s="6">
        <v>0.9</v>
      </c>
      <c r="AC294" s="8"/>
      <c r="AD294" s="6">
        <v>0.9</v>
      </c>
      <c r="AE294" s="8"/>
      <c r="AF294" s="6">
        <v>0.45</v>
      </c>
      <c r="AG294" s="6">
        <v>0.45</v>
      </c>
      <c r="AH294" s="7" t="s">
        <v>79</v>
      </c>
      <c r="AI294" s="6" t="s">
        <v>49</v>
      </c>
      <c r="AJ294" s="6" t="s">
        <v>49</v>
      </c>
      <c r="AK294" s="6" t="s">
        <v>49</v>
      </c>
      <c r="AL294" s="9" t="s">
        <v>49</v>
      </c>
      <c r="AM294" s="9" t="s">
        <v>92</v>
      </c>
      <c r="AN294" s="6" t="s">
        <v>49</v>
      </c>
      <c r="AO294" s="9" t="s">
        <v>92</v>
      </c>
      <c r="AP294" s="11">
        <v>0</v>
      </c>
      <c r="AQ294" s="11">
        <v>0</v>
      </c>
      <c r="AR294" s="11">
        <v>0</v>
      </c>
      <c r="AS294" s="11">
        <v>0</v>
      </c>
      <c r="AT294" s="11">
        <v>0</v>
      </c>
      <c r="AU294" s="11">
        <v>0</v>
      </c>
      <c r="AV294" s="11" t="s">
        <v>79</v>
      </c>
    </row>
    <row r="295" spans="1:48" ht="14.5" hidden="1">
      <c r="A295" s="6">
        <v>294</v>
      </c>
      <c r="B295" s="7" t="s">
        <v>656</v>
      </c>
      <c r="C295" s="7" t="s">
        <v>49</v>
      </c>
      <c r="D295" s="6">
        <v>15504</v>
      </c>
      <c r="E295" s="6" t="s">
        <v>49</v>
      </c>
      <c r="F295" s="12"/>
      <c r="G295" s="8"/>
      <c r="H295" s="7" t="s">
        <v>49</v>
      </c>
      <c r="I295" s="7"/>
      <c r="J295" s="6" t="s">
        <v>49</v>
      </c>
      <c r="K295" s="9" t="s">
        <v>49</v>
      </c>
      <c r="L295" s="9" t="s">
        <v>49</v>
      </c>
      <c r="M295" s="12"/>
      <c r="N295" s="12"/>
      <c r="O295" s="10">
        <v>44196</v>
      </c>
      <c r="P295" s="9" t="s">
        <v>49</v>
      </c>
      <c r="Q295" s="9" t="s">
        <v>49</v>
      </c>
      <c r="R295" s="8"/>
      <c r="S295" s="8"/>
      <c r="T295" s="8"/>
      <c r="U295" s="8"/>
      <c r="V295" s="9" t="s">
        <v>49</v>
      </c>
      <c r="W295" s="9" t="s">
        <v>49</v>
      </c>
      <c r="X295" s="12"/>
      <c r="Y295" s="8"/>
      <c r="Z295" s="12"/>
      <c r="AA295" s="8"/>
      <c r="AB295" s="12"/>
      <c r="AC295" s="8"/>
      <c r="AD295" s="12"/>
      <c r="AE295" s="12"/>
      <c r="AF295" s="8"/>
      <c r="AG295" s="12"/>
      <c r="AH295" s="7" t="s">
        <v>57</v>
      </c>
      <c r="AI295" s="6" t="s">
        <v>71</v>
      </c>
      <c r="AJ295" s="6" t="s">
        <v>49</v>
      </c>
      <c r="AK295" s="6" t="s">
        <v>49</v>
      </c>
      <c r="AL295" s="9" t="s">
        <v>67</v>
      </c>
      <c r="AM295" s="9" t="s">
        <v>49</v>
      </c>
      <c r="AN295" s="6" t="s">
        <v>85</v>
      </c>
      <c r="AO295" s="9" t="s">
        <v>49</v>
      </c>
      <c r="AP295" s="11">
        <v>7248.8885899999996</v>
      </c>
      <c r="AQ295" s="11">
        <v>0</v>
      </c>
      <c r="AR295" s="11">
        <v>0</v>
      </c>
      <c r="AS295" s="11">
        <v>41681.266040000002</v>
      </c>
      <c r="AT295" s="11">
        <v>0</v>
      </c>
      <c r="AU295" s="11">
        <v>0</v>
      </c>
      <c r="AV295" s="11">
        <v>0</v>
      </c>
    </row>
    <row r="296" spans="1:48" ht="14.5" hidden="1">
      <c r="A296" s="6">
        <v>295</v>
      </c>
      <c r="B296" s="7" t="s">
        <v>657</v>
      </c>
      <c r="C296" s="7" t="s">
        <v>49</v>
      </c>
      <c r="D296" s="6">
        <v>15341</v>
      </c>
      <c r="E296" s="6" t="s">
        <v>49</v>
      </c>
      <c r="F296" s="8"/>
      <c r="G296" s="8"/>
      <c r="H296" s="7" t="s">
        <v>49</v>
      </c>
      <c r="I296" s="7"/>
      <c r="J296" s="6" t="s">
        <v>49</v>
      </c>
      <c r="K296" s="9" t="s">
        <v>49</v>
      </c>
      <c r="L296" s="9" t="s">
        <v>49</v>
      </c>
      <c r="M296" s="8"/>
      <c r="N296" s="10">
        <v>43332</v>
      </c>
      <c r="O296" s="10">
        <v>43860</v>
      </c>
      <c r="P296" s="9" t="s">
        <v>49</v>
      </c>
      <c r="Q296" s="9" t="s">
        <v>49</v>
      </c>
      <c r="R296" s="8"/>
      <c r="S296" s="8"/>
      <c r="T296" s="8"/>
      <c r="U296" s="8"/>
      <c r="V296" s="9" t="s">
        <v>49</v>
      </c>
      <c r="W296" s="9" t="s">
        <v>49</v>
      </c>
      <c r="X296" s="8"/>
      <c r="Y296" s="8"/>
      <c r="Z296" s="8"/>
      <c r="AA296" s="8"/>
      <c r="AB296" s="8"/>
      <c r="AC296" s="8"/>
      <c r="AD296" s="8"/>
      <c r="AE296" s="8"/>
      <c r="AF296" s="8"/>
      <c r="AG296" s="8"/>
      <c r="AH296" s="7" t="s">
        <v>57</v>
      </c>
      <c r="AI296" s="6" t="s">
        <v>71</v>
      </c>
      <c r="AJ296" s="6" t="s">
        <v>49</v>
      </c>
      <c r="AK296" s="6" t="s">
        <v>49</v>
      </c>
      <c r="AL296" s="9" t="s">
        <v>607</v>
      </c>
      <c r="AM296" s="9" t="s">
        <v>49</v>
      </c>
      <c r="AN296" s="6" t="s">
        <v>82</v>
      </c>
      <c r="AO296" s="9" t="s">
        <v>49</v>
      </c>
      <c r="AP296" s="11">
        <v>7248.8885899999996</v>
      </c>
      <c r="AQ296" s="11">
        <v>0</v>
      </c>
      <c r="AR296" s="11">
        <v>0</v>
      </c>
      <c r="AS296" s="11">
        <v>41681.266040000002</v>
      </c>
      <c r="AT296" s="11">
        <v>0</v>
      </c>
      <c r="AU296" s="11">
        <v>0</v>
      </c>
      <c r="AV296" s="11">
        <v>0</v>
      </c>
    </row>
    <row r="297" spans="1:48" ht="14.5" hidden="1">
      <c r="A297" s="6">
        <v>296</v>
      </c>
      <c r="B297" s="7" t="s">
        <v>658</v>
      </c>
      <c r="C297" s="7" t="s">
        <v>49</v>
      </c>
      <c r="D297" s="6">
        <v>15496</v>
      </c>
      <c r="E297" s="6" t="s">
        <v>49</v>
      </c>
      <c r="F297" s="8"/>
      <c r="G297" s="8"/>
      <c r="H297" s="7" t="s">
        <v>49</v>
      </c>
      <c r="I297" s="7"/>
      <c r="J297" s="6" t="s">
        <v>49</v>
      </c>
      <c r="K297" s="9" t="s">
        <v>49</v>
      </c>
      <c r="L297" s="9" t="s">
        <v>49</v>
      </c>
      <c r="M297" s="8"/>
      <c r="N297" s="12"/>
      <c r="O297" s="10">
        <v>43525</v>
      </c>
      <c r="P297" s="9" t="s">
        <v>49</v>
      </c>
      <c r="Q297" s="9" t="s">
        <v>49</v>
      </c>
      <c r="R297" s="8"/>
      <c r="S297" s="8"/>
      <c r="T297" s="8"/>
      <c r="U297" s="8"/>
      <c r="V297" s="9" t="s">
        <v>49</v>
      </c>
      <c r="W297" s="9" t="s">
        <v>49</v>
      </c>
      <c r="X297" s="8"/>
      <c r="Y297" s="8"/>
      <c r="Z297" s="8"/>
      <c r="AA297" s="8"/>
      <c r="AB297" s="8"/>
      <c r="AC297" s="8"/>
      <c r="AD297" s="8"/>
      <c r="AE297" s="8"/>
      <c r="AF297" s="8"/>
      <c r="AG297" s="8"/>
      <c r="AH297" s="7" t="s">
        <v>57</v>
      </c>
      <c r="AI297" s="6" t="s">
        <v>71</v>
      </c>
      <c r="AJ297" s="6" t="s">
        <v>49</v>
      </c>
      <c r="AK297" s="6" t="s">
        <v>49</v>
      </c>
      <c r="AL297" s="9" t="s">
        <v>67</v>
      </c>
      <c r="AM297" s="9" t="s">
        <v>49</v>
      </c>
      <c r="AN297" s="6" t="s">
        <v>85</v>
      </c>
      <c r="AO297" s="9" t="s">
        <v>49</v>
      </c>
      <c r="AP297" s="11">
        <v>7248.8885899999996</v>
      </c>
      <c r="AQ297" s="11">
        <v>0</v>
      </c>
      <c r="AR297" s="11">
        <v>0</v>
      </c>
      <c r="AS297" s="11">
        <v>41681.266040000002</v>
      </c>
      <c r="AT297" s="11">
        <v>0</v>
      </c>
      <c r="AU297" s="11">
        <v>0</v>
      </c>
      <c r="AV297" s="11">
        <v>0</v>
      </c>
    </row>
    <row r="298" spans="1:48" ht="14.5" hidden="1">
      <c r="A298" s="6">
        <v>297</v>
      </c>
      <c r="B298" s="7" t="s">
        <v>658</v>
      </c>
      <c r="C298" s="7" t="s">
        <v>49</v>
      </c>
      <c r="D298" s="6">
        <v>15496</v>
      </c>
      <c r="E298" s="6" t="s">
        <v>659</v>
      </c>
      <c r="F298" s="8"/>
      <c r="G298" s="8"/>
      <c r="H298" s="7" t="s">
        <v>49</v>
      </c>
      <c r="I298" s="7"/>
      <c r="J298" s="6" t="s">
        <v>49</v>
      </c>
      <c r="K298" s="9" t="s">
        <v>49</v>
      </c>
      <c r="L298" s="9" t="s">
        <v>49</v>
      </c>
      <c r="M298" s="12"/>
      <c r="N298" s="12"/>
      <c r="O298" s="10">
        <v>43525</v>
      </c>
      <c r="P298" s="9" t="s">
        <v>49</v>
      </c>
      <c r="Q298" s="9" t="s">
        <v>49</v>
      </c>
      <c r="R298" s="8"/>
      <c r="S298" s="8"/>
      <c r="T298" s="8"/>
      <c r="U298" s="8"/>
      <c r="V298" s="9" t="s">
        <v>49</v>
      </c>
      <c r="W298" s="9" t="s">
        <v>49</v>
      </c>
      <c r="X298" s="8"/>
      <c r="Y298" s="8"/>
      <c r="Z298" s="12"/>
      <c r="AA298" s="8"/>
      <c r="AB298" s="12"/>
      <c r="AC298" s="8"/>
      <c r="AD298" s="12"/>
      <c r="AE298" s="12"/>
      <c r="AF298" s="8"/>
      <c r="AG298" s="12"/>
      <c r="AH298" s="7" t="s">
        <v>57</v>
      </c>
      <c r="AI298" s="6" t="s">
        <v>49</v>
      </c>
      <c r="AJ298" s="6" t="s">
        <v>49</v>
      </c>
      <c r="AK298" s="6" t="s">
        <v>49</v>
      </c>
      <c r="AL298" s="9" t="s">
        <v>49</v>
      </c>
      <c r="AM298" s="9" t="s">
        <v>67</v>
      </c>
      <c r="AN298" s="6" t="s">
        <v>49</v>
      </c>
      <c r="AO298" s="9" t="s">
        <v>67</v>
      </c>
      <c r="AP298" s="11">
        <v>0</v>
      </c>
      <c r="AQ298" s="11">
        <v>0</v>
      </c>
      <c r="AR298" s="11">
        <v>0</v>
      </c>
      <c r="AS298" s="11">
        <v>0</v>
      </c>
      <c r="AT298" s="11">
        <v>0</v>
      </c>
      <c r="AU298" s="11">
        <v>0</v>
      </c>
      <c r="AV298" s="11" t="s">
        <v>57</v>
      </c>
    </row>
    <row r="299" spans="1:48" ht="14.5" hidden="1">
      <c r="A299" s="6">
        <v>298</v>
      </c>
      <c r="B299" s="7" t="s">
        <v>660</v>
      </c>
      <c r="C299" s="7" t="s">
        <v>49</v>
      </c>
      <c r="D299" s="6">
        <v>15451</v>
      </c>
      <c r="E299" s="6" t="s">
        <v>49</v>
      </c>
      <c r="F299" s="8"/>
      <c r="G299" s="8"/>
      <c r="H299" s="7" t="s">
        <v>49</v>
      </c>
      <c r="I299" s="7"/>
      <c r="J299" s="6" t="s">
        <v>49</v>
      </c>
      <c r="K299" s="9" t="s">
        <v>49</v>
      </c>
      <c r="L299" s="9" t="s">
        <v>49</v>
      </c>
      <c r="M299" s="8"/>
      <c r="N299" s="10">
        <v>43371</v>
      </c>
      <c r="O299" s="10">
        <v>44225</v>
      </c>
      <c r="P299" s="9" t="s">
        <v>49</v>
      </c>
      <c r="Q299" s="9" t="s">
        <v>49</v>
      </c>
      <c r="R299" s="8"/>
      <c r="S299" s="8"/>
      <c r="T299" s="8"/>
      <c r="U299" s="8"/>
      <c r="V299" s="9" t="s">
        <v>49</v>
      </c>
      <c r="W299" s="9" t="s">
        <v>49</v>
      </c>
      <c r="X299" s="8"/>
      <c r="Y299" s="8"/>
      <c r="Z299" s="8"/>
      <c r="AA299" s="8"/>
      <c r="AB299" s="8"/>
      <c r="AC299" s="8"/>
      <c r="AD299" s="8"/>
      <c r="AE299" s="8"/>
      <c r="AF299" s="8"/>
      <c r="AG299" s="8"/>
      <c r="AH299" s="7" t="s">
        <v>51</v>
      </c>
      <c r="AI299" s="6" t="s">
        <v>71</v>
      </c>
      <c r="AJ299" s="6" t="s">
        <v>49</v>
      </c>
      <c r="AK299" s="6" t="s">
        <v>49</v>
      </c>
      <c r="AL299" s="9" t="s">
        <v>102</v>
      </c>
      <c r="AM299" s="9" t="s">
        <v>49</v>
      </c>
      <c r="AN299" s="6" t="s">
        <v>96</v>
      </c>
      <c r="AO299" s="9" t="s">
        <v>49</v>
      </c>
      <c r="AP299" s="11">
        <v>7248.8885899999996</v>
      </c>
      <c r="AQ299" s="11">
        <v>0</v>
      </c>
      <c r="AR299" s="11">
        <v>0</v>
      </c>
      <c r="AS299" s="11">
        <v>41681.266040000002</v>
      </c>
      <c r="AT299" s="11">
        <v>0</v>
      </c>
      <c r="AU299" s="11">
        <v>0</v>
      </c>
      <c r="AV299" s="11">
        <v>0</v>
      </c>
    </row>
    <row r="300" spans="1:48" ht="14.5" hidden="1">
      <c r="A300" s="6">
        <v>299</v>
      </c>
      <c r="B300" s="7" t="s">
        <v>661</v>
      </c>
      <c r="C300" s="7" t="s">
        <v>49</v>
      </c>
      <c r="D300" s="6">
        <v>15451</v>
      </c>
      <c r="E300" s="6" t="s">
        <v>662</v>
      </c>
      <c r="F300" s="8"/>
      <c r="G300" s="8"/>
      <c r="H300" s="7" t="s">
        <v>49</v>
      </c>
      <c r="I300" s="7"/>
      <c r="J300" s="6" t="s">
        <v>49</v>
      </c>
      <c r="K300" s="9" t="s">
        <v>49</v>
      </c>
      <c r="L300" s="9" t="s">
        <v>49</v>
      </c>
      <c r="M300" s="8"/>
      <c r="N300" s="10">
        <v>43371</v>
      </c>
      <c r="O300" s="10">
        <v>44225</v>
      </c>
      <c r="P300" s="9" t="s">
        <v>49</v>
      </c>
      <c r="Q300" s="9" t="s">
        <v>49</v>
      </c>
      <c r="R300" s="8"/>
      <c r="S300" s="8"/>
      <c r="T300" s="8"/>
      <c r="U300" s="8"/>
      <c r="V300" s="9" t="s">
        <v>49</v>
      </c>
      <c r="W300" s="9" t="s">
        <v>49</v>
      </c>
      <c r="X300" s="8"/>
      <c r="Y300" s="8"/>
      <c r="Z300" s="8"/>
      <c r="AA300" s="8"/>
      <c r="AB300" s="8"/>
      <c r="AC300" s="8"/>
      <c r="AD300" s="8"/>
      <c r="AE300" s="8"/>
      <c r="AF300" s="8"/>
      <c r="AG300" s="8"/>
      <c r="AH300" s="7" t="s">
        <v>57</v>
      </c>
      <c r="AI300" s="6" t="s">
        <v>49</v>
      </c>
      <c r="AJ300" s="6" t="s">
        <v>49</v>
      </c>
      <c r="AK300" s="6" t="s">
        <v>49</v>
      </c>
      <c r="AL300" s="9" t="s">
        <v>49</v>
      </c>
      <c r="AM300" s="9" t="s">
        <v>663</v>
      </c>
      <c r="AN300" s="6" t="s">
        <v>49</v>
      </c>
      <c r="AO300" s="9" t="s">
        <v>663</v>
      </c>
      <c r="AP300" s="11">
        <v>0</v>
      </c>
      <c r="AQ300" s="11">
        <v>0</v>
      </c>
      <c r="AR300" s="11">
        <v>0</v>
      </c>
      <c r="AS300" s="11">
        <v>0</v>
      </c>
      <c r="AT300" s="11">
        <v>0</v>
      </c>
      <c r="AU300" s="11">
        <v>0</v>
      </c>
      <c r="AV300" s="11" t="s">
        <v>57</v>
      </c>
    </row>
    <row r="301" spans="1:48" ht="14.5" hidden="1">
      <c r="A301" s="6">
        <v>300</v>
      </c>
      <c r="B301" s="7" t="s">
        <v>664</v>
      </c>
      <c r="C301" s="7" t="s">
        <v>49</v>
      </c>
      <c r="D301" s="6">
        <v>15451</v>
      </c>
      <c r="E301" s="6" t="s">
        <v>665</v>
      </c>
      <c r="F301" s="8"/>
      <c r="G301" s="8"/>
      <c r="H301" s="7" t="s">
        <v>49</v>
      </c>
      <c r="I301" s="7"/>
      <c r="J301" s="6" t="s">
        <v>49</v>
      </c>
      <c r="K301" s="9" t="s">
        <v>49</v>
      </c>
      <c r="L301" s="9" t="s">
        <v>49</v>
      </c>
      <c r="M301" s="8"/>
      <c r="N301" s="10">
        <v>43371</v>
      </c>
      <c r="O301" s="10">
        <v>44225</v>
      </c>
      <c r="P301" s="9" t="s">
        <v>49</v>
      </c>
      <c r="Q301" s="9" t="s">
        <v>49</v>
      </c>
      <c r="R301" s="8"/>
      <c r="S301" s="8"/>
      <c r="T301" s="8"/>
      <c r="U301" s="8"/>
      <c r="V301" s="9" t="s">
        <v>49</v>
      </c>
      <c r="W301" s="9" t="s">
        <v>49</v>
      </c>
      <c r="X301" s="8"/>
      <c r="Y301" s="8"/>
      <c r="Z301" s="8"/>
      <c r="AA301" s="8"/>
      <c r="AB301" s="8"/>
      <c r="AC301" s="8"/>
      <c r="AD301" s="8"/>
      <c r="AE301" s="8"/>
      <c r="AF301" s="8"/>
      <c r="AG301" s="8"/>
      <c r="AH301" s="7" t="s">
        <v>57</v>
      </c>
      <c r="AI301" s="6" t="s">
        <v>49</v>
      </c>
      <c r="AJ301" s="6" t="s">
        <v>49</v>
      </c>
      <c r="AK301" s="6" t="s">
        <v>49</v>
      </c>
      <c r="AL301" s="9" t="s">
        <v>49</v>
      </c>
      <c r="AM301" s="9" t="s">
        <v>663</v>
      </c>
      <c r="AN301" s="6" t="s">
        <v>49</v>
      </c>
      <c r="AO301" s="9" t="s">
        <v>663</v>
      </c>
      <c r="AP301" s="11">
        <v>0</v>
      </c>
      <c r="AQ301" s="11">
        <v>0</v>
      </c>
      <c r="AR301" s="11">
        <v>0</v>
      </c>
      <c r="AS301" s="11">
        <v>0</v>
      </c>
      <c r="AT301" s="11">
        <v>0</v>
      </c>
      <c r="AU301" s="11">
        <v>0</v>
      </c>
      <c r="AV301" s="11" t="s">
        <v>57</v>
      </c>
    </row>
    <row r="302" spans="1:48" ht="14.5" hidden="1">
      <c r="A302" s="6">
        <v>301</v>
      </c>
      <c r="B302" s="7" t="s">
        <v>666</v>
      </c>
      <c r="C302" s="7" t="s">
        <v>49</v>
      </c>
      <c r="D302" s="6">
        <v>15068</v>
      </c>
      <c r="E302" s="6" t="s">
        <v>49</v>
      </c>
      <c r="F302" s="8"/>
      <c r="G302" s="8"/>
      <c r="H302" s="7" t="s">
        <v>49</v>
      </c>
      <c r="I302" s="7"/>
      <c r="J302" s="6" t="s">
        <v>49</v>
      </c>
      <c r="K302" s="9" t="s">
        <v>49</v>
      </c>
      <c r="L302" s="9" t="s">
        <v>49</v>
      </c>
      <c r="M302" s="8"/>
      <c r="N302" s="10">
        <v>43346</v>
      </c>
      <c r="O302" s="10">
        <v>43831</v>
      </c>
      <c r="P302" s="9" t="s">
        <v>49</v>
      </c>
      <c r="Q302" s="9" t="s">
        <v>49</v>
      </c>
      <c r="R302" s="8"/>
      <c r="S302" s="8"/>
      <c r="T302" s="8"/>
      <c r="U302" s="8"/>
      <c r="V302" s="9" t="s">
        <v>49</v>
      </c>
      <c r="W302" s="9" t="s">
        <v>49</v>
      </c>
      <c r="X302" s="8"/>
      <c r="Y302" s="8"/>
      <c r="Z302" s="8"/>
      <c r="AA302" s="8"/>
      <c r="AB302" s="8"/>
      <c r="AC302" s="8"/>
      <c r="AD302" s="8"/>
      <c r="AE302" s="8"/>
      <c r="AF302" s="8"/>
      <c r="AG302" s="8"/>
      <c r="AH302" s="7" t="s">
        <v>57</v>
      </c>
      <c r="AI302" s="6" t="s">
        <v>71</v>
      </c>
      <c r="AJ302" s="6" t="s">
        <v>49</v>
      </c>
      <c r="AK302" s="6" t="s">
        <v>49</v>
      </c>
      <c r="AL302" s="9" t="s">
        <v>154</v>
      </c>
      <c r="AM302" s="9" t="s">
        <v>49</v>
      </c>
      <c r="AN302" s="6" t="s">
        <v>82</v>
      </c>
      <c r="AO302" s="9" t="s">
        <v>49</v>
      </c>
      <c r="AP302" s="11">
        <v>7248.8885899999996</v>
      </c>
      <c r="AQ302" s="11">
        <v>0</v>
      </c>
      <c r="AR302" s="11">
        <v>0</v>
      </c>
      <c r="AS302" s="11">
        <v>41681.266040000002</v>
      </c>
      <c r="AT302" s="11">
        <v>0</v>
      </c>
      <c r="AU302" s="11">
        <v>0</v>
      </c>
      <c r="AV302" s="11">
        <v>0</v>
      </c>
    </row>
    <row r="303" spans="1:48" ht="14.5" hidden="1">
      <c r="A303" s="6">
        <v>302</v>
      </c>
      <c r="B303" s="7" t="s">
        <v>666</v>
      </c>
      <c r="C303" s="7" t="s">
        <v>49</v>
      </c>
      <c r="D303" s="6">
        <v>15068</v>
      </c>
      <c r="E303" s="6" t="s">
        <v>667</v>
      </c>
      <c r="F303" s="12"/>
      <c r="G303" s="8"/>
      <c r="H303" s="7" t="s">
        <v>49</v>
      </c>
      <c r="I303" s="7"/>
      <c r="J303" s="6" t="s">
        <v>49</v>
      </c>
      <c r="K303" s="9" t="s">
        <v>49</v>
      </c>
      <c r="L303" s="9" t="s">
        <v>49</v>
      </c>
      <c r="M303" s="8"/>
      <c r="N303" s="10">
        <v>43346</v>
      </c>
      <c r="O303" s="10">
        <v>43831</v>
      </c>
      <c r="P303" s="9" t="s">
        <v>49</v>
      </c>
      <c r="Q303" s="9" t="s">
        <v>49</v>
      </c>
      <c r="R303" s="8"/>
      <c r="S303" s="8"/>
      <c r="T303" s="8"/>
      <c r="U303" s="8"/>
      <c r="V303" s="9" t="s">
        <v>49</v>
      </c>
      <c r="W303" s="9" t="s">
        <v>49</v>
      </c>
      <c r="X303" s="8"/>
      <c r="Y303" s="8"/>
      <c r="Z303" s="8"/>
      <c r="AA303" s="12"/>
      <c r="AB303" s="12"/>
      <c r="AC303" s="12"/>
      <c r="AD303" s="12"/>
      <c r="AE303" s="8"/>
      <c r="AF303" s="12"/>
      <c r="AG303" s="12"/>
      <c r="AH303" s="7" t="s">
        <v>51</v>
      </c>
      <c r="AI303" s="6" t="s">
        <v>49</v>
      </c>
      <c r="AJ303" s="6" t="s">
        <v>49</v>
      </c>
      <c r="AK303" s="6" t="s">
        <v>49</v>
      </c>
      <c r="AL303" s="9" t="s">
        <v>49</v>
      </c>
      <c r="AM303" s="9" t="s">
        <v>154</v>
      </c>
      <c r="AN303" s="6" t="s">
        <v>49</v>
      </c>
      <c r="AO303" s="9" t="s">
        <v>154</v>
      </c>
      <c r="AP303" s="11">
        <v>0</v>
      </c>
      <c r="AQ303" s="11">
        <v>0</v>
      </c>
      <c r="AR303" s="11">
        <v>0</v>
      </c>
      <c r="AS303" s="11">
        <v>0</v>
      </c>
      <c r="AT303" s="11">
        <v>0</v>
      </c>
      <c r="AU303" s="11">
        <v>0</v>
      </c>
      <c r="AV303" s="11" t="s">
        <v>51</v>
      </c>
    </row>
    <row r="304" spans="1:48" ht="14.5" hidden="1">
      <c r="A304" s="6">
        <v>303</v>
      </c>
      <c r="B304" s="7" t="s">
        <v>668</v>
      </c>
      <c r="C304" s="7" t="s">
        <v>49</v>
      </c>
      <c r="D304" s="6">
        <v>15644</v>
      </c>
      <c r="E304" s="6" t="s">
        <v>49</v>
      </c>
      <c r="F304" s="8"/>
      <c r="G304" s="8"/>
      <c r="H304" s="7" t="s">
        <v>49</v>
      </c>
      <c r="I304" s="7"/>
      <c r="J304" s="6" t="s">
        <v>49</v>
      </c>
      <c r="K304" s="9" t="s">
        <v>49</v>
      </c>
      <c r="L304" s="9" t="s">
        <v>49</v>
      </c>
      <c r="M304" s="8"/>
      <c r="N304" s="12"/>
      <c r="O304" s="12"/>
      <c r="P304" s="9" t="s">
        <v>49</v>
      </c>
      <c r="Q304" s="9" t="s">
        <v>49</v>
      </c>
      <c r="R304" s="8"/>
      <c r="S304" s="8"/>
      <c r="T304" s="8"/>
      <c r="U304" s="8"/>
      <c r="V304" s="9" t="s">
        <v>49</v>
      </c>
      <c r="W304" s="9" t="s">
        <v>49</v>
      </c>
      <c r="X304" s="8"/>
      <c r="Y304" s="8"/>
      <c r="Z304" s="8"/>
      <c r="AA304" s="8"/>
      <c r="AB304" s="8"/>
      <c r="AC304" s="8"/>
      <c r="AD304" s="8"/>
      <c r="AE304" s="8"/>
      <c r="AF304" s="8"/>
      <c r="AG304" s="8"/>
      <c r="AH304" s="7" t="s">
        <v>79</v>
      </c>
      <c r="AI304" s="6" t="s">
        <v>110</v>
      </c>
      <c r="AJ304" s="6" t="s">
        <v>49</v>
      </c>
      <c r="AK304" s="6" t="s">
        <v>49</v>
      </c>
      <c r="AL304" s="9" t="s">
        <v>111</v>
      </c>
      <c r="AM304" s="9" t="s">
        <v>49</v>
      </c>
      <c r="AN304" s="6" t="s">
        <v>82</v>
      </c>
      <c r="AO304" s="9" t="s">
        <v>49</v>
      </c>
      <c r="AP304" s="11">
        <v>7248.8885899999996</v>
      </c>
      <c r="AQ304" s="11">
        <v>0</v>
      </c>
      <c r="AR304" s="11">
        <v>0</v>
      </c>
      <c r="AS304" s="11">
        <v>41681.266040000002</v>
      </c>
      <c r="AT304" s="11">
        <v>0</v>
      </c>
      <c r="AU304" s="11">
        <v>0</v>
      </c>
      <c r="AV304" s="11">
        <v>0</v>
      </c>
    </row>
    <row r="305" spans="1:49" ht="14.5" hidden="1">
      <c r="A305" s="6">
        <v>304</v>
      </c>
      <c r="B305" s="7" t="s">
        <v>669</v>
      </c>
      <c r="C305" s="7" t="s">
        <v>49</v>
      </c>
      <c r="D305" s="6">
        <v>15287</v>
      </c>
      <c r="E305" s="6" t="s">
        <v>49</v>
      </c>
      <c r="F305" s="8"/>
      <c r="G305" s="8"/>
      <c r="H305" s="7" t="s">
        <v>49</v>
      </c>
      <c r="I305" s="7"/>
      <c r="J305" s="6" t="s">
        <v>49</v>
      </c>
      <c r="K305" s="9" t="s">
        <v>49</v>
      </c>
      <c r="L305" s="9" t="s">
        <v>49</v>
      </c>
      <c r="M305" s="8"/>
      <c r="N305" s="10">
        <v>43312</v>
      </c>
      <c r="O305" s="10">
        <v>43831</v>
      </c>
      <c r="P305" s="9" t="s">
        <v>49</v>
      </c>
      <c r="Q305" s="9" t="s">
        <v>49</v>
      </c>
      <c r="R305" s="8"/>
      <c r="S305" s="8"/>
      <c r="T305" s="8"/>
      <c r="U305" s="8"/>
      <c r="V305" s="9" t="s">
        <v>49</v>
      </c>
      <c r="W305" s="9" t="s">
        <v>49</v>
      </c>
      <c r="X305" s="8"/>
      <c r="Y305" s="8"/>
      <c r="Z305" s="8"/>
      <c r="AA305" s="8"/>
      <c r="AB305" s="8"/>
      <c r="AC305" s="8"/>
      <c r="AD305" s="8"/>
      <c r="AE305" s="8"/>
      <c r="AF305" s="8"/>
      <c r="AG305" s="8"/>
      <c r="AH305" s="7" t="s">
        <v>57</v>
      </c>
      <c r="AI305" s="6" t="s">
        <v>71</v>
      </c>
      <c r="AJ305" s="6" t="s">
        <v>49</v>
      </c>
      <c r="AK305" s="6" t="s">
        <v>49</v>
      </c>
      <c r="AL305" s="9" t="s">
        <v>119</v>
      </c>
      <c r="AM305" s="9" t="s">
        <v>49</v>
      </c>
      <c r="AN305" s="6" t="s">
        <v>96</v>
      </c>
      <c r="AO305" s="9" t="s">
        <v>49</v>
      </c>
      <c r="AP305" s="11">
        <v>7248.8885899999996</v>
      </c>
      <c r="AQ305" s="11">
        <v>0</v>
      </c>
      <c r="AR305" s="11">
        <v>0</v>
      </c>
      <c r="AS305" s="11">
        <v>41681.266040000002</v>
      </c>
      <c r="AT305" s="11">
        <v>0</v>
      </c>
      <c r="AU305" s="11">
        <v>0</v>
      </c>
      <c r="AV305" s="11">
        <v>0</v>
      </c>
    </row>
    <row r="306" spans="1:49" ht="14.5" hidden="1">
      <c r="A306" s="6">
        <v>305</v>
      </c>
      <c r="B306" s="7" t="s">
        <v>670</v>
      </c>
      <c r="C306" s="7" t="s">
        <v>49</v>
      </c>
      <c r="D306" s="6">
        <v>15457</v>
      </c>
      <c r="E306" s="6" t="s">
        <v>49</v>
      </c>
      <c r="F306" s="8"/>
      <c r="G306" s="8"/>
      <c r="H306" s="7" t="s">
        <v>49</v>
      </c>
      <c r="I306" s="7"/>
      <c r="J306" s="6" t="s">
        <v>49</v>
      </c>
      <c r="K306" s="9" t="s">
        <v>49</v>
      </c>
      <c r="L306" s="9" t="s">
        <v>49</v>
      </c>
      <c r="M306" s="8"/>
      <c r="N306" s="12"/>
      <c r="O306" s="10">
        <v>43769</v>
      </c>
      <c r="P306" s="9" t="s">
        <v>49</v>
      </c>
      <c r="Q306" s="9" t="s">
        <v>49</v>
      </c>
      <c r="R306" s="8"/>
      <c r="S306" s="8"/>
      <c r="T306" s="8"/>
      <c r="U306" s="8"/>
      <c r="V306" s="9" t="s">
        <v>49</v>
      </c>
      <c r="W306" s="9" t="s">
        <v>49</v>
      </c>
      <c r="X306" s="8"/>
      <c r="Y306" s="8"/>
      <c r="Z306" s="8"/>
      <c r="AA306" s="8"/>
      <c r="AB306" s="8"/>
      <c r="AC306" s="8"/>
      <c r="AD306" s="8"/>
      <c r="AE306" s="8"/>
      <c r="AF306" s="8"/>
      <c r="AG306" s="8"/>
      <c r="AH306" s="7" t="s">
        <v>57</v>
      </c>
      <c r="AI306" s="6" t="s">
        <v>71</v>
      </c>
      <c r="AJ306" s="6" t="s">
        <v>49</v>
      </c>
      <c r="AK306" s="6" t="s">
        <v>49</v>
      </c>
      <c r="AL306" s="9" t="s">
        <v>119</v>
      </c>
      <c r="AM306" s="9" t="s">
        <v>49</v>
      </c>
      <c r="AN306" s="6" t="s">
        <v>85</v>
      </c>
      <c r="AO306" s="9" t="s">
        <v>49</v>
      </c>
      <c r="AP306" s="11">
        <v>7248.8885899999996</v>
      </c>
      <c r="AQ306" s="11">
        <v>0</v>
      </c>
      <c r="AR306" s="11">
        <v>0</v>
      </c>
      <c r="AS306" s="11">
        <v>41681.266040000002</v>
      </c>
      <c r="AT306" s="11">
        <v>0</v>
      </c>
      <c r="AU306" s="11">
        <v>0</v>
      </c>
      <c r="AV306" s="11">
        <v>0</v>
      </c>
    </row>
    <row r="307" spans="1:49" ht="14.5" hidden="1">
      <c r="A307" s="6">
        <v>306</v>
      </c>
      <c r="B307" s="7" t="s">
        <v>670</v>
      </c>
      <c r="C307" s="7" t="s">
        <v>49</v>
      </c>
      <c r="D307" s="6">
        <v>15457</v>
      </c>
      <c r="E307" s="6" t="s">
        <v>671</v>
      </c>
      <c r="F307" s="12"/>
      <c r="G307" s="8"/>
      <c r="H307" s="7" t="s">
        <v>49</v>
      </c>
      <c r="I307" s="7"/>
      <c r="J307" s="6" t="s">
        <v>49</v>
      </c>
      <c r="K307" s="9" t="s">
        <v>49</v>
      </c>
      <c r="L307" s="9" t="s">
        <v>49</v>
      </c>
      <c r="M307" s="8"/>
      <c r="N307" s="12"/>
      <c r="O307" s="10">
        <v>43769</v>
      </c>
      <c r="P307" s="9" t="s">
        <v>49</v>
      </c>
      <c r="Q307" s="9" t="s">
        <v>49</v>
      </c>
      <c r="R307" s="8"/>
      <c r="S307" s="8"/>
      <c r="T307" s="8"/>
      <c r="U307" s="8"/>
      <c r="V307" s="9" t="s">
        <v>49</v>
      </c>
      <c r="W307" s="9" t="s">
        <v>108</v>
      </c>
      <c r="X307" s="8"/>
      <c r="Y307" s="8"/>
      <c r="Z307" s="8"/>
      <c r="AA307" s="8"/>
      <c r="AB307" s="8"/>
      <c r="AC307" s="8"/>
      <c r="AD307" s="8"/>
      <c r="AE307" s="8"/>
      <c r="AF307" s="8"/>
      <c r="AG307" s="8"/>
      <c r="AH307" s="7" t="s">
        <v>57</v>
      </c>
      <c r="AI307" s="6" t="s">
        <v>49</v>
      </c>
      <c r="AJ307" s="6" t="s">
        <v>49</v>
      </c>
      <c r="AK307" s="6" t="s">
        <v>49</v>
      </c>
      <c r="AL307" s="9" t="s">
        <v>49</v>
      </c>
      <c r="AM307" s="9" t="s">
        <v>122</v>
      </c>
      <c r="AN307" s="6" t="s">
        <v>49</v>
      </c>
      <c r="AO307" s="9" t="s">
        <v>122</v>
      </c>
      <c r="AP307" s="11">
        <v>99.119259999999997</v>
      </c>
      <c r="AQ307" s="11">
        <v>99119.26</v>
      </c>
      <c r="AR307" s="11">
        <v>99119.25916666667</v>
      </c>
      <c r="AS307" s="11">
        <v>148.13746</v>
      </c>
      <c r="AT307" s="11">
        <v>99.119259999999997</v>
      </c>
      <c r="AU307" s="11">
        <v>0</v>
      </c>
      <c r="AV307" s="11" t="s">
        <v>57</v>
      </c>
    </row>
    <row r="308" spans="1:49" ht="14.5" hidden="1">
      <c r="A308" s="6">
        <v>307</v>
      </c>
      <c r="B308" s="7" t="s">
        <v>672</v>
      </c>
      <c r="C308" s="7" t="s">
        <v>569</v>
      </c>
      <c r="D308" s="6">
        <v>16019</v>
      </c>
      <c r="E308" s="6" t="s">
        <v>49</v>
      </c>
      <c r="F308" s="8"/>
      <c r="G308" s="8"/>
      <c r="H308" s="7" t="s">
        <v>49</v>
      </c>
      <c r="I308" s="7"/>
      <c r="J308" s="6" t="s">
        <v>49</v>
      </c>
      <c r="K308" s="9" t="s">
        <v>49</v>
      </c>
      <c r="L308" s="9" t="s">
        <v>49</v>
      </c>
      <c r="M308" s="8"/>
      <c r="N308" s="12"/>
      <c r="O308" s="10">
        <v>43616</v>
      </c>
      <c r="P308" s="9" t="s">
        <v>49</v>
      </c>
      <c r="Q308" s="9" t="s">
        <v>49</v>
      </c>
      <c r="R308" s="8"/>
      <c r="S308" s="8"/>
      <c r="T308" s="8"/>
      <c r="U308" s="8"/>
      <c r="V308" s="9" t="s">
        <v>49</v>
      </c>
      <c r="W308" s="9" t="s">
        <v>49</v>
      </c>
      <c r="X308" s="8"/>
      <c r="Y308" s="8"/>
      <c r="Z308" s="8"/>
      <c r="AA308" s="8"/>
      <c r="AB308" s="8"/>
      <c r="AC308" s="8"/>
      <c r="AD308" s="8"/>
      <c r="AE308" s="8"/>
      <c r="AF308" s="8"/>
      <c r="AG308" s="8"/>
      <c r="AH308" s="7" t="s">
        <v>57</v>
      </c>
      <c r="AI308" s="6" t="s">
        <v>71</v>
      </c>
      <c r="AJ308" s="6" t="s">
        <v>49</v>
      </c>
      <c r="AK308" s="6" t="s">
        <v>49</v>
      </c>
      <c r="AL308" s="9" t="s">
        <v>119</v>
      </c>
      <c r="AM308" s="9" t="s">
        <v>49</v>
      </c>
      <c r="AN308" s="6" t="s">
        <v>85</v>
      </c>
      <c r="AO308" s="9" t="s">
        <v>49</v>
      </c>
      <c r="AP308" s="11">
        <v>7248.8885899999996</v>
      </c>
      <c r="AQ308" s="11">
        <v>0</v>
      </c>
      <c r="AR308" s="11">
        <v>0</v>
      </c>
      <c r="AS308" s="11">
        <v>41681.266040000002</v>
      </c>
      <c r="AT308" s="11">
        <v>0</v>
      </c>
      <c r="AU308" s="11">
        <v>0</v>
      </c>
      <c r="AV308" s="11">
        <v>0</v>
      </c>
    </row>
    <row r="309" spans="1:49" ht="14.5">
      <c r="A309" s="6">
        <v>308</v>
      </c>
      <c r="B309" s="7" t="s">
        <v>672</v>
      </c>
      <c r="C309" s="7" t="s">
        <v>569</v>
      </c>
      <c r="D309" s="6">
        <v>16019</v>
      </c>
      <c r="E309" s="6" t="s">
        <v>673</v>
      </c>
      <c r="F309" s="6">
        <v>82736</v>
      </c>
      <c r="G309" s="8"/>
      <c r="H309" s="7" t="s">
        <v>70</v>
      </c>
      <c r="I309" s="7"/>
      <c r="J309" s="6" t="s">
        <v>49</v>
      </c>
      <c r="K309" s="9" t="s">
        <v>49</v>
      </c>
      <c r="L309" s="9" t="s">
        <v>73</v>
      </c>
      <c r="M309" s="28">
        <v>124</v>
      </c>
      <c r="N309" s="8"/>
      <c r="O309" s="10">
        <v>43616</v>
      </c>
      <c r="P309" s="9" t="s">
        <v>674</v>
      </c>
      <c r="Q309" s="9" t="s">
        <v>674</v>
      </c>
      <c r="R309" s="8"/>
      <c r="S309" s="8"/>
      <c r="T309" s="8"/>
      <c r="U309" s="8"/>
      <c r="V309" s="9" t="s">
        <v>49</v>
      </c>
      <c r="W309" s="9" t="s">
        <v>108</v>
      </c>
      <c r="X309" s="12"/>
      <c r="Y309" s="8"/>
      <c r="Z309" s="6">
        <v>0.124</v>
      </c>
      <c r="AA309" s="8"/>
      <c r="AB309" s="6">
        <v>0.124</v>
      </c>
      <c r="AC309" s="8"/>
      <c r="AD309" s="6">
        <v>0.124</v>
      </c>
      <c r="AE309" s="6">
        <v>9.9000000000000005E-2</v>
      </c>
      <c r="AF309" s="8"/>
      <c r="AG309" s="6">
        <v>9.9000000000000005E-2</v>
      </c>
      <c r="AH309" s="7" t="s">
        <v>57</v>
      </c>
      <c r="AI309" s="6" t="s">
        <v>49</v>
      </c>
      <c r="AJ309" s="6" t="s">
        <v>49</v>
      </c>
      <c r="AK309" s="6" t="s">
        <v>49</v>
      </c>
      <c r="AL309" s="9" t="s">
        <v>49</v>
      </c>
      <c r="AM309" s="9" t="s">
        <v>122</v>
      </c>
      <c r="AN309" s="6" t="s">
        <v>49</v>
      </c>
      <c r="AO309" s="9" t="s">
        <v>122</v>
      </c>
      <c r="AP309" s="11">
        <v>129.08544000000001</v>
      </c>
      <c r="AQ309" s="11">
        <v>169217.62</v>
      </c>
      <c r="AR309" s="11">
        <v>169217.61249999999</v>
      </c>
      <c r="AS309" s="11">
        <v>208.76257999999999</v>
      </c>
      <c r="AT309" s="11">
        <v>169.21761999999998</v>
      </c>
      <c r="AU309" s="11">
        <v>625</v>
      </c>
      <c r="AV309" s="11" t="s">
        <v>57</v>
      </c>
      <c r="AW309" t="s">
        <v>93</v>
      </c>
    </row>
    <row r="310" spans="1:49" ht="14.5" hidden="1">
      <c r="A310" s="6">
        <v>309</v>
      </c>
      <c r="B310" s="7" t="s">
        <v>675</v>
      </c>
      <c r="C310" s="7" t="s">
        <v>49</v>
      </c>
      <c r="D310" s="6">
        <v>16018</v>
      </c>
      <c r="E310" s="6" t="s">
        <v>49</v>
      </c>
      <c r="F310" s="8"/>
      <c r="G310" s="8"/>
      <c r="H310" s="7" t="s">
        <v>49</v>
      </c>
      <c r="I310" s="7"/>
      <c r="J310" s="6" t="s">
        <v>49</v>
      </c>
      <c r="K310" s="9" t="s">
        <v>49</v>
      </c>
      <c r="L310" s="9" t="s">
        <v>49</v>
      </c>
      <c r="M310" s="8"/>
      <c r="N310" s="12"/>
      <c r="O310" s="10">
        <v>43724</v>
      </c>
      <c r="P310" s="9" t="s">
        <v>49</v>
      </c>
      <c r="Q310" s="9" t="s">
        <v>49</v>
      </c>
      <c r="R310" s="8"/>
      <c r="S310" s="8"/>
      <c r="T310" s="8"/>
      <c r="U310" s="8"/>
      <c r="V310" s="9" t="s">
        <v>49</v>
      </c>
      <c r="W310" s="9" t="s">
        <v>49</v>
      </c>
      <c r="X310" s="8"/>
      <c r="Y310" s="8"/>
      <c r="Z310" s="8"/>
      <c r="AA310" s="8"/>
      <c r="AB310" s="8"/>
      <c r="AC310" s="8"/>
      <c r="AD310" s="8"/>
      <c r="AE310" s="8"/>
      <c r="AF310" s="8"/>
      <c r="AG310" s="8"/>
      <c r="AH310" s="7" t="s">
        <v>57</v>
      </c>
      <c r="AI310" s="6" t="s">
        <v>71</v>
      </c>
      <c r="AJ310" s="6" t="s">
        <v>49</v>
      </c>
      <c r="AK310" s="6" t="s">
        <v>49</v>
      </c>
      <c r="AL310" s="9" t="s">
        <v>119</v>
      </c>
      <c r="AM310" s="9" t="s">
        <v>49</v>
      </c>
      <c r="AN310" s="6" t="s">
        <v>85</v>
      </c>
      <c r="AO310" s="9" t="s">
        <v>49</v>
      </c>
      <c r="AP310" s="11">
        <v>7248.8885899999996</v>
      </c>
      <c r="AQ310" s="11">
        <v>0</v>
      </c>
      <c r="AR310" s="11">
        <v>0</v>
      </c>
      <c r="AS310" s="11">
        <v>41681.266040000002</v>
      </c>
      <c r="AT310" s="11">
        <v>0</v>
      </c>
      <c r="AU310" s="11">
        <v>0</v>
      </c>
      <c r="AV310" s="11">
        <v>0</v>
      </c>
    </row>
    <row r="311" spans="1:49" ht="14.5" hidden="1">
      <c r="A311" s="6">
        <v>310</v>
      </c>
      <c r="B311" s="7" t="s">
        <v>675</v>
      </c>
      <c r="C311" s="7" t="s">
        <v>49</v>
      </c>
      <c r="D311" s="6">
        <v>16018</v>
      </c>
      <c r="E311" s="6"/>
      <c r="F311" s="6">
        <v>82740</v>
      </c>
      <c r="G311" s="8"/>
      <c r="H311" s="7" t="s">
        <v>49</v>
      </c>
      <c r="I311" s="7"/>
      <c r="J311" s="6" t="s">
        <v>49</v>
      </c>
      <c r="K311" s="9" t="s">
        <v>49</v>
      </c>
      <c r="L311" s="9" t="s">
        <v>73</v>
      </c>
      <c r="M311" s="8"/>
      <c r="N311" s="8"/>
      <c r="O311" s="10">
        <v>43724</v>
      </c>
      <c r="P311" s="9" t="s">
        <v>676</v>
      </c>
      <c r="Q311" s="9" t="s">
        <v>677</v>
      </c>
      <c r="R311" s="8"/>
      <c r="S311" s="8"/>
      <c r="T311" s="8"/>
      <c r="U311" s="8"/>
      <c r="V311" s="9" t="s">
        <v>49</v>
      </c>
      <c r="W311" s="9" t="s">
        <v>49</v>
      </c>
      <c r="X311" s="8"/>
      <c r="Y311" s="8"/>
      <c r="Z311" s="8"/>
      <c r="AA311" s="8"/>
      <c r="AB311" s="8"/>
      <c r="AC311" s="8"/>
      <c r="AD311" s="8"/>
      <c r="AE311" s="8"/>
      <c r="AF311" s="8"/>
      <c r="AG311" s="8"/>
      <c r="AH311" s="7" t="s">
        <v>57</v>
      </c>
      <c r="AI311" s="6" t="s">
        <v>49</v>
      </c>
      <c r="AJ311" s="6" t="s">
        <v>49</v>
      </c>
      <c r="AK311" s="6" t="s">
        <v>49</v>
      </c>
      <c r="AL311" s="9" t="s">
        <v>49</v>
      </c>
      <c r="AM311" s="9" t="s">
        <v>122</v>
      </c>
      <c r="AN311" s="6" t="s">
        <v>49</v>
      </c>
      <c r="AO311" s="9" t="s">
        <v>122</v>
      </c>
      <c r="AP311" s="11">
        <v>0</v>
      </c>
      <c r="AQ311" s="11">
        <v>0</v>
      </c>
      <c r="AR311" s="11">
        <v>0</v>
      </c>
      <c r="AS311" s="11">
        <v>0</v>
      </c>
      <c r="AT311" s="11">
        <v>0</v>
      </c>
      <c r="AU311" s="11">
        <v>0</v>
      </c>
      <c r="AV311" s="11">
        <v>0</v>
      </c>
    </row>
    <row r="312" spans="1:49" ht="14.5" hidden="1">
      <c r="A312" s="6">
        <v>311</v>
      </c>
      <c r="B312" s="7" t="s">
        <v>678</v>
      </c>
      <c r="C312" s="7" t="s">
        <v>569</v>
      </c>
      <c r="D312" s="6">
        <v>16005</v>
      </c>
      <c r="E312" s="6" t="s">
        <v>49</v>
      </c>
      <c r="F312" s="8"/>
      <c r="G312" s="8"/>
      <c r="H312" s="7" t="s">
        <v>49</v>
      </c>
      <c r="I312" s="7"/>
      <c r="J312" s="6" t="s">
        <v>49</v>
      </c>
      <c r="K312" s="9" t="s">
        <v>49</v>
      </c>
      <c r="L312" s="9" t="s">
        <v>49</v>
      </c>
      <c r="M312" s="8"/>
      <c r="N312" s="12"/>
      <c r="O312" s="10">
        <v>43735</v>
      </c>
      <c r="P312" s="9" t="s">
        <v>49</v>
      </c>
      <c r="Q312" s="9" t="s">
        <v>49</v>
      </c>
      <c r="R312" s="8"/>
      <c r="S312" s="8"/>
      <c r="T312" s="8"/>
      <c r="U312" s="8"/>
      <c r="V312" s="9" t="s">
        <v>49</v>
      </c>
      <c r="W312" s="9" t="s">
        <v>49</v>
      </c>
      <c r="X312" s="8"/>
      <c r="Y312" s="8"/>
      <c r="Z312" s="8"/>
      <c r="AA312" s="8"/>
      <c r="AB312" s="8"/>
      <c r="AC312" s="8"/>
      <c r="AD312" s="8"/>
      <c r="AE312" s="8"/>
      <c r="AF312" s="8"/>
      <c r="AG312" s="8"/>
      <c r="AH312" s="7" t="s">
        <v>57</v>
      </c>
      <c r="AI312" s="6" t="s">
        <v>71</v>
      </c>
      <c r="AJ312" s="6" t="s">
        <v>49</v>
      </c>
      <c r="AK312" s="6" t="s">
        <v>49</v>
      </c>
      <c r="AL312" s="9" t="s">
        <v>119</v>
      </c>
      <c r="AM312" s="9" t="s">
        <v>49</v>
      </c>
      <c r="AN312" s="6" t="s">
        <v>85</v>
      </c>
      <c r="AO312" s="9" t="s">
        <v>49</v>
      </c>
      <c r="AP312" s="11">
        <v>7248.8885899999996</v>
      </c>
      <c r="AQ312" s="11">
        <v>0</v>
      </c>
      <c r="AR312" s="11">
        <v>0</v>
      </c>
      <c r="AS312" s="11">
        <v>41681.266040000002</v>
      </c>
      <c r="AT312" s="11">
        <v>0</v>
      </c>
      <c r="AU312" s="11">
        <v>0</v>
      </c>
      <c r="AV312" s="11">
        <v>0</v>
      </c>
    </row>
    <row r="313" spans="1:49" ht="14.5" hidden="1">
      <c r="A313" s="6">
        <v>312</v>
      </c>
      <c r="B313" s="7" t="s">
        <v>678</v>
      </c>
      <c r="C313" s="7" t="s">
        <v>569</v>
      </c>
      <c r="D313" s="6">
        <v>16005</v>
      </c>
      <c r="E313" s="6" t="s">
        <v>679</v>
      </c>
      <c r="F313" s="6">
        <v>82869</v>
      </c>
      <c r="G313" s="8"/>
      <c r="H313" s="7" t="s">
        <v>88</v>
      </c>
      <c r="I313" s="7"/>
      <c r="J313" s="6" t="s">
        <v>49</v>
      </c>
      <c r="K313" s="9" t="s">
        <v>49</v>
      </c>
      <c r="L313" s="9" t="s">
        <v>49</v>
      </c>
      <c r="M313" s="8"/>
      <c r="N313" s="12"/>
      <c r="O313" s="10">
        <v>43735</v>
      </c>
      <c r="P313" s="9" t="s">
        <v>49</v>
      </c>
      <c r="Q313" s="9" t="s">
        <v>49</v>
      </c>
      <c r="R313" s="8"/>
      <c r="S313" s="8"/>
      <c r="T313" s="8"/>
      <c r="U313" s="8"/>
      <c r="V313" s="9" t="s">
        <v>49</v>
      </c>
      <c r="W313" s="9" t="s">
        <v>49</v>
      </c>
      <c r="X313" s="8"/>
      <c r="Y313" s="8"/>
      <c r="Z313" s="8"/>
      <c r="AA313" s="6">
        <v>0.216</v>
      </c>
      <c r="AB313" s="6">
        <v>0.216</v>
      </c>
      <c r="AC313" s="8"/>
      <c r="AD313" s="6">
        <v>0.216</v>
      </c>
      <c r="AE313" s="8"/>
      <c r="AF313" s="6">
        <v>0.108</v>
      </c>
      <c r="AG313" s="6">
        <v>0.108</v>
      </c>
      <c r="AH313" s="7" t="s">
        <v>57</v>
      </c>
      <c r="AI313" s="6" t="s">
        <v>49</v>
      </c>
      <c r="AJ313" s="6" t="s">
        <v>49</v>
      </c>
      <c r="AK313" s="6" t="s">
        <v>49</v>
      </c>
      <c r="AL313" s="9" t="s">
        <v>49</v>
      </c>
      <c r="AM313" s="9" t="s">
        <v>122</v>
      </c>
      <c r="AN313" s="6" t="s">
        <v>49</v>
      </c>
      <c r="AO313" s="9" t="s">
        <v>122</v>
      </c>
      <c r="AP313" s="11">
        <v>0</v>
      </c>
      <c r="AQ313" s="11">
        <v>5000</v>
      </c>
      <c r="AR313" s="11">
        <v>5000</v>
      </c>
      <c r="AS313" s="11">
        <v>0</v>
      </c>
      <c r="AT313" s="11">
        <v>5</v>
      </c>
      <c r="AU313" s="11">
        <v>347</v>
      </c>
      <c r="AV313" s="11" t="s">
        <v>51</v>
      </c>
      <c r="AW313" t="s">
        <v>93</v>
      </c>
    </row>
    <row r="314" spans="1:49" ht="14.5" hidden="1">
      <c r="A314" s="6">
        <v>313</v>
      </c>
      <c r="B314" s="7" t="s">
        <v>680</v>
      </c>
      <c r="C314" s="7" t="s">
        <v>49</v>
      </c>
      <c r="D314" s="6">
        <v>16008</v>
      </c>
      <c r="E314" s="6" t="s">
        <v>49</v>
      </c>
      <c r="F314" s="12"/>
      <c r="G314" s="8"/>
      <c r="H314" s="7" t="s">
        <v>49</v>
      </c>
      <c r="I314" s="7"/>
      <c r="J314" s="6" t="s">
        <v>49</v>
      </c>
      <c r="K314" s="9" t="s">
        <v>49</v>
      </c>
      <c r="L314" s="9" t="s">
        <v>49</v>
      </c>
      <c r="M314" s="12"/>
      <c r="N314" s="12"/>
      <c r="O314" s="10">
        <v>44165</v>
      </c>
      <c r="P314" s="9" t="s">
        <v>49</v>
      </c>
      <c r="Q314" s="9" t="s">
        <v>49</v>
      </c>
      <c r="R314" s="8"/>
      <c r="S314" s="8"/>
      <c r="T314" s="8"/>
      <c r="U314" s="8"/>
      <c r="V314" s="9" t="s">
        <v>49</v>
      </c>
      <c r="W314" s="9" t="s">
        <v>49</v>
      </c>
      <c r="X314" s="8"/>
      <c r="Y314" s="8"/>
      <c r="Z314" s="8"/>
      <c r="AA314" s="12"/>
      <c r="AB314" s="12"/>
      <c r="AC314" s="12"/>
      <c r="AD314" s="12"/>
      <c r="AE314" s="8"/>
      <c r="AF314" s="12"/>
      <c r="AG314" s="12"/>
      <c r="AH314" s="7" t="s">
        <v>57</v>
      </c>
      <c r="AI314" s="6" t="s">
        <v>71</v>
      </c>
      <c r="AJ314" s="6" t="s">
        <v>49</v>
      </c>
      <c r="AK314" s="6" t="s">
        <v>49</v>
      </c>
      <c r="AL314" s="9" t="s">
        <v>119</v>
      </c>
      <c r="AM314" s="9" t="s">
        <v>49</v>
      </c>
      <c r="AN314" s="6" t="s">
        <v>85</v>
      </c>
      <c r="AO314" s="9" t="s">
        <v>49</v>
      </c>
      <c r="AP314" s="11">
        <v>7248.8885899999996</v>
      </c>
      <c r="AQ314" s="11">
        <v>0</v>
      </c>
      <c r="AR314" s="11">
        <v>0</v>
      </c>
      <c r="AS314" s="11">
        <v>41681.266040000002</v>
      </c>
      <c r="AT314" s="11">
        <v>0</v>
      </c>
      <c r="AU314" s="11">
        <v>0</v>
      </c>
      <c r="AV314" s="11">
        <v>0</v>
      </c>
    </row>
    <row r="315" spans="1:49" ht="14.5" hidden="1">
      <c r="A315" s="6">
        <v>314</v>
      </c>
      <c r="B315" s="7" t="s">
        <v>680</v>
      </c>
      <c r="C315" s="7" t="s">
        <v>49</v>
      </c>
      <c r="D315" s="6">
        <v>16008</v>
      </c>
      <c r="E315" s="6" t="s">
        <v>681</v>
      </c>
      <c r="F315" s="8"/>
      <c r="G315" s="8"/>
      <c r="H315" s="7" t="s">
        <v>49</v>
      </c>
      <c r="I315" s="7"/>
      <c r="J315" s="6" t="s">
        <v>49</v>
      </c>
      <c r="K315" s="9" t="s">
        <v>49</v>
      </c>
      <c r="L315" s="9" t="s">
        <v>49</v>
      </c>
      <c r="M315" s="8"/>
      <c r="N315" s="8"/>
      <c r="O315" s="10">
        <v>44165</v>
      </c>
      <c r="P315" s="9" t="s">
        <v>49</v>
      </c>
      <c r="Q315" s="9" t="s">
        <v>49</v>
      </c>
      <c r="R315" s="8"/>
      <c r="S315" s="8"/>
      <c r="T315" s="8"/>
      <c r="U315" s="8"/>
      <c r="V315" s="9" t="s">
        <v>49</v>
      </c>
      <c r="W315" s="9" t="s">
        <v>49</v>
      </c>
      <c r="X315" s="8"/>
      <c r="Y315" s="8"/>
      <c r="Z315" s="8"/>
      <c r="AA315" s="8"/>
      <c r="AB315" s="8"/>
      <c r="AC315" s="8"/>
      <c r="AD315" s="8"/>
      <c r="AE315" s="8"/>
      <c r="AF315" s="8"/>
      <c r="AG315" s="8"/>
      <c r="AH315" s="7" t="s">
        <v>57</v>
      </c>
      <c r="AI315" s="6" t="s">
        <v>49</v>
      </c>
      <c r="AJ315" s="6" t="s">
        <v>49</v>
      </c>
      <c r="AK315" s="6" t="s">
        <v>49</v>
      </c>
      <c r="AL315" s="9" t="s">
        <v>49</v>
      </c>
      <c r="AM315" s="9" t="s">
        <v>122</v>
      </c>
      <c r="AN315" s="6" t="s">
        <v>49</v>
      </c>
      <c r="AO315" s="9" t="s">
        <v>122</v>
      </c>
      <c r="AP315" s="11">
        <v>0</v>
      </c>
      <c r="AQ315" s="11">
        <v>0</v>
      </c>
      <c r="AR315" s="11">
        <v>0</v>
      </c>
      <c r="AS315" s="11">
        <v>0</v>
      </c>
      <c r="AT315" s="11">
        <v>0</v>
      </c>
      <c r="AU315" s="11">
        <v>0</v>
      </c>
      <c r="AV315" s="11" t="s">
        <v>57</v>
      </c>
    </row>
    <row r="316" spans="1:49" ht="14.5">
      <c r="A316" s="6">
        <v>315</v>
      </c>
      <c r="B316" s="7" t="s">
        <v>682</v>
      </c>
      <c r="C316" s="7" t="s">
        <v>569</v>
      </c>
      <c r="D316" s="6">
        <v>16006</v>
      </c>
      <c r="E316" s="6" t="s">
        <v>683</v>
      </c>
      <c r="F316" s="6">
        <v>82779</v>
      </c>
      <c r="G316" s="8"/>
      <c r="H316" s="7" t="s">
        <v>70</v>
      </c>
      <c r="I316" s="7"/>
      <c r="J316" s="6" t="s">
        <v>75</v>
      </c>
      <c r="K316" s="9" t="s">
        <v>89</v>
      </c>
      <c r="L316" s="9" t="s">
        <v>73</v>
      </c>
      <c r="M316" s="28">
        <v>416</v>
      </c>
      <c r="N316" s="10">
        <v>43613</v>
      </c>
      <c r="O316" s="10">
        <v>43860</v>
      </c>
      <c r="P316" s="9" t="s">
        <v>676</v>
      </c>
      <c r="Q316" s="9" t="s">
        <v>676</v>
      </c>
      <c r="R316" s="8"/>
      <c r="S316" s="8"/>
      <c r="T316" s="8"/>
      <c r="U316" s="8"/>
      <c r="V316" s="9" t="s">
        <v>49</v>
      </c>
      <c r="W316" s="9" t="s">
        <v>49</v>
      </c>
      <c r="X316" s="6">
        <v>0.54500000000000004</v>
      </c>
      <c r="Y316" s="8"/>
      <c r="Z316" s="6">
        <v>0.61299999999999999</v>
      </c>
      <c r="AA316" s="8"/>
      <c r="AB316" s="6">
        <v>1.1579999999999999</v>
      </c>
      <c r="AC316" s="8"/>
      <c r="AD316" s="6">
        <v>1.1579999999999999</v>
      </c>
      <c r="AE316" s="6">
        <v>0.92700000000000005</v>
      </c>
      <c r="AF316" s="8"/>
      <c r="AG316" s="6">
        <v>0.92700000000000005</v>
      </c>
      <c r="AH316" s="7" t="s">
        <v>57</v>
      </c>
      <c r="AI316" s="6" t="s">
        <v>49</v>
      </c>
      <c r="AJ316" s="6" t="s">
        <v>49</v>
      </c>
      <c r="AK316" s="6" t="s">
        <v>49</v>
      </c>
      <c r="AL316" s="9" t="s">
        <v>49</v>
      </c>
      <c r="AM316" s="9" t="s">
        <v>122</v>
      </c>
      <c r="AN316" s="6" t="s">
        <v>49</v>
      </c>
      <c r="AO316" s="9" t="s">
        <v>122</v>
      </c>
      <c r="AP316" s="11">
        <v>79.315070000000006</v>
      </c>
      <c r="AQ316" s="11">
        <v>133497.59</v>
      </c>
      <c r="AR316" s="11">
        <v>133497.59166666667</v>
      </c>
      <c r="AS316" s="11">
        <v>237.52692000000002</v>
      </c>
      <c r="AT316" s="11">
        <v>641.49758999999995</v>
      </c>
      <c r="AU316" s="11">
        <v>1030</v>
      </c>
      <c r="AV316" s="11" t="s">
        <v>57</v>
      </c>
      <c r="AW316" t="s">
        <v>306</v>
      </c>
    </row>
    <row r="317" spans="1:49" ht="14.5" hidden="1">
      <c r="A317" s="6">
        <v>316</v>
      </c>
      <c r="B317" s="7" t="s">
        <v>684</v>
      </c>
      <c r="C317" s="7" t="s">
        <v>569</v>
      </c>
      <c r="D317" s="6">
        <v>16006</v>
      </c>
      <c r="E317" s="6" t="s">
        <v>49</v>
      </c>
      <c r="F317" s="12"/>
      <c r="G317" s="8"/>
      <c r="H317" s="7" t="s">
        <v>49</v>
      </c>
      <c r="I317" s="7"/>
      <c r="J317" s="6" t="s">
        <v>49</v>
      </c>
      <c r="K317" s="9" t="s">
        <v>49</v>
      </c>
      <c r="L317" s="9" t="s">
        <v>49</v>
      </c>
      <c r="M317" s="8"/>
      <c r="N317" s="10">
        <v>43613</v>
      </c>
      <c r="O317" s="10">
        <v>43860</v>
      </c>
      <c r="P317" s="9" t="s">
        <v>49</v>
      </c>
      <c r="Q317" s="9" t="s">
        <v>49</v>
      </c>
      <c r="R317" s="8"/>
      <c r="S317" s="8"/>
      <c r="T317" s="8"/>
      <c r="U317" s="8"/>
      <c r="V317" s="9" t="s">
        <v>49</v>
      </c>
      <c r="W317" s="9" t="s">
        <v>49</v>
      </c>
      <c r="X317" s="8"/>
      <c r="Y317" s="8"/>
      <c r="Z317" s="8"/>
      <c r="AA317" s="12"/>
      <c r="AB317" s="12"/>
      <c r="AC317" s="8"/>
      <c r="AD317" s="12"/>
      <c r="AE317" s="8"/>
      <c r="AF317" s="12"/>
      <c r="AG317" s="12"/>
      <c r="AH317" s="7" t="s">
        <v>57</v>
      </c>
      <c r="AI317" s="6" t="s">
        <v>71</v>
      </c>
      <c r="AJ317" s="6" t="s">
        <v>49</v>
      </c>
      <c r="AK317" s="6" t="s">
        <v>49</v>
      </c>
      <c r="AL317" s="9" t="s">
        <v>119</v>
      </c>
      <c r="AM317" s="9" t="s">
        <v>49</v>
      </c>
      <c r="AN317" s="6" t="s">
        <v>85</v>
      </c>
      <c r="AO317" s="9" t="s">
        <v>49</v>
      </c>
      <c r="AP317" s="11">
        <v>7248.8885899999996</v>
      </c>
      <c r="AQ317" s="11">
        <v>0</v>
      </c>
      <c r="AR317" s="11">
        <v>0</v>
      </c>
      <c r="AS317" s="11">
        <v>41681.266040000002</v>
      </c>
      <c r="AT317" s="11">
        <v>0</v>
      </c>
      <c r="AU317" s="11">
        <v>0</v>
      </c>
      <c r="AV317" s="11">
        <v>0</v>
      </c>
    </row>
    <row r="318" spans="1:49" ht="14.5" hidden="1">
      <c r="A318" s="6">
        <v>317</v>
      </c>
      <c r="B318" s="7" t="s">
        <v>685</v>
      </c>
      <c r="C318" s="7" t="s">
        <v>569</v>
      </c>
      <c r="D318" s="6">
        <v>15550</v>
      </c>
      <c r="E318" s="6"/>
      <c r="F318" s="8"/>
      <c r="G318" s="8"/>
      <c r="H318" s="7"/>
      <c r="I318" s="7"/>
      <c r="J318" s="6"/>
      <c r="K318" s="9"/>
      <c r="L318" s="9"/>
      <c r="N318" s="10">
        <v>43647</v>
      </c>
      <c r="O318" s="10">
        <v>44197</v>
      </c>
      <c r="P318" s="9" t="s">
        <v>49</v>
      </c>
      <c r="Q318" s="9" t="s">
        <v>49</v>
      </c>
      <c r="R318" s="8"/>
      <c r="S318" s="8"/>
      <c r="T318" s="8"/>
      <c r="U318" s="8"/>
      <c r="V318" s="9" t="s">
        <v>49</v>
      </c>
      <c r="W318" s="9" t="s">
        <v>49</v>
      </c>
      <c r="X318" s="8"/>
      <c r="Y318" s="8"/>
      <c r="Z318" s="8"/>
      <c r="AA318" s="8"/>
      <c r="AB318" s="8"/>
      <c r="AC318" s="8"/>
      <c r="AD318" s="8"/>
      <c r="AE318" s="8"/>
      <c r="AF318" s="8"/>
      <c r="AG318" s="8"/>
      <c r="AH318" s="7" t="s">
        <v>51</v>
      </c>
      <c r="AI318" s="6" t="s">
        <v>686</v>
      </c>
      <c r="AJ318" s="6" t="s">
        <v>49</v>
      </c>
      <c r="AK318" s="6" t="s">
        <v>49</v>
      </c>
      <c r="AL318" s="9" t="s">
        <v>122</v>
      </c>
      <c r="AM318" s="9" t="s">
        <v>49</v>
      </c>
      <c r="AN318" s="6" t="s">
        <v>82</v>
      </c>
      <c r="AO318" s="9" t="s">
        <v>49</v>
      </c>
      <c r="AP318" s="11">
        <v>0</v>
      </c>
      <c r="AQ318" s="11">
        <v>0</v>
      </c>
      <c r="AR318" s="11">
        <v>0</v>
      </c>
      <c r="AS318" s="11">
        <v>0</v>
      </c>
      <c r="AT318" s="11">
        <v>0</v>
      </c>
      <c r="AV318" s="11">
        <v>0</v>
      </c>
    </row>
    <row r="319" spans="1:49" ht="14.5" hidden="1">
      <c r="A319" s="6">
        <v>318</v>
      </c>
      <c r="B319" s="7" t="s">
        <v>685</v>
      </c>
      <c r="C319" s="7" t="s">
        <v>569</v>
      </c>
      <c r="D319" s="6">
        <v>15550</v>
      </c>
      <c r="E319" s="6" t="s">
        <v>687</v>
      </c>
      <c r="F319" s="12"/>
      <c r="G319" s="8"/>
      <c r="H319" s="7" t="s">
        <v>88</v>
      </c>
      <c r="I319" s="7"/>
      <c r="J319" s="6" t="s">
        <v>106</v>
      </c>
      <c r="K319" s="9" t="s">
        <v>75</v>
      </c>
      <c r="L319" s="9" t="s">
        <v>73</v>
      </c>
      <c r="M319" s="28">
        <v>10</v>
      </c>
      <c r="N319" s="10">
        <v>43647</v>
      </c>
      <c r="O319" s="10">
        <v>44197</v>
      </c>
      <c r="P319" s="9" t="s">
        <v>688</v>
      </c>
      <c r="Q319" s="9" t="s">
        <v>689</v>
      </c>
      <c r="R319" s="8"/>
      <c r="S319" s="8"/>
      <c r="T319" s="8"/>
      <c r="U319" s="8"/>
      <c r="V319" s="9" t="s">
        <v>49</v>
      </c>
      <c r="W319" s="9" t="s">
        <v>108</v>
      </c>
      <c r="X319" s="8"/>
      <c r="Y319" s="8"/>
      <c r="Z319" s="6">
        <v>0.01</v>
      </c>
      <c r="AA319" s="8"/>
      <c r="AB319" s="6">
        <v>0.01</v>
      </c>
      <c r="AC319" s="8"/>
      <c r="AD319" s="6">
        <v>0.01</v>
      </c>
      <c r="AE319" s="6">
        <v>8.0000000000000002E-3</v>
      </c>
      <c r="AF319" s="8"/>
      <c r="AG319" s="6">
        <v>8.0000000000000002E-3</v>
      </c>
      <c r="AH319" s="7" t="s">
        <v>51</v>
      </c>
      <c r="AI319" s="6" t="s">
        <v>49</v>
      </c>
      <c r="AJ319" s="6" t="s">
        <v>49</v>
      </c>
      <c r="AK319" s="6" t="s">
        <v>49</v>
      </c>
      <c r="AL319" s="9" t="s">
        <v>49</v>
      </c>
      <c r="AM319" s="9" t="s">
        <v>122</v>
      </c>
      <c r="AN319" s="6" t="s">
        <v>49</v>
      </c>
      <c r="AO319" s="9" t="s">
        <v>122</v>
      </c>
      <c r="AP319" s="11">
        <v>0</v>
      </c>
      <c r="AQ319" s="11">
        <v>0</v>
      </c>
      <c r="AR319" s="11">
        <v>0</v>
      </c>
      <c r="AS319" s="11">
        <v>0</v>
      </c>
      <c r="AT319" s="11">
        <v>0</v>
      </c>
      <c r="AU319" s="11">
        <v>74</v>
      </c>
      <c r="AV319" s="11" t="s">
        <v>51</v>
      </c>
      <c r="AW319" t="s">
        <v>306</v>
      </c>
    </row>
    <row r="320" spans="1:49" ht="14.5" hidden="1">
      <c r="A320" s="6">
        <v>319</v>
      </c>
      <c r="B320" s="7" t="s">
        <v>690</v>
      </c>
      <c r="C320" s="7" t="s">
        <v>49</v>
      </c>
      <c r="D320" s="6">
        <v>15367</v>
      </c>
      <c r="E320" s="6" t="s">
        <v>691</v>
      </c>
      <c r="F320" s="8"/>
      <c r="G320" s="8"/>
      <c r="H320" s="7" t="s">
        <v>49</v>
      </c>
      <c r="I320" s="7"/>
      <c r="J320" s="6" t="s">
        <v>49</v>
      </c>
      <c r="K320" s="9" t="s">
        <v>49</v>
      </c>
      <c r="L320" s="9" t="s">
        <v>49</v>
      </c>
      <c r="M320" s="8"/>
      <c r="N320" s="12"/>
      <c r="O320" s="10">
        <v>43826</v>
      </c>
      <c r="P320" s="9" t="s">
        <v>49</v>
      </c>
      <c r="Q320" s="9" t="s">
        <v>49</v>
      </c>
      <c r="R320" s="8"/>
      <c r="S320" s="8"/>
      <c r="T320" s="8"/>
      <c r="U320" s="8"/>
      <c r="V320" s="9" t="s">
        <v>49</v>
      </c>
      <c r="W320" s="9" t="s">
        <v>49</v>
      </c>
      <c r="X320" s="8"/>
      <c r="Y320" s="8"/>
      <c r="Z320" s="8"/>
      <c r="AA320" s="8"/>
      <c r="AB320" s="8"/>
      <c r="AC320" s="8"/>
      <c r="AD320" s="8"/>
      <c r="AE320" s="8"/>
      <c r="AF320" s="8"/>
      <c r="AG320" s="8"/>
      <c r="AH320" s="7" t="s">
        <v>51</v>
      </c>
      <c r="AI320" s="6" t="s">
        <v>49</v>
      </c>
      <c r="AJ320" s="6" t="s">
        <v>49</v>
      </c>
      <c r="AK320" s="6" t="s">
        <v>49</v>
      </c>
      <c r="AL320" s="9" t="s">
        <v>49</v>
      </c>
      <c r="AM320" s="9" t="s">
        <v>122</v>
      </c>
      <c r="AN320" s="6" t="s">
        <v>49</v>
      </c>
      <c r="AO320" s="9" t="s">
        <v>122</v>
      </c>
      <c r="AP320" s="11">
        <v>0</v>
      </c>
      <c r="AQ320" s="11">
        <v>0</v>
      </c>
      <c r="AR320" s="11">
        <v>0</v>
      </c>
      <c r="AS320" s="11">
        <v>32.719670000000001</v>
      </c>
      <c r="AT320" s="11">
        <v>0</v>
      </c>
      <c r="AU320" s="11">
        <v>0</v>
      </c>
      <c r="AV320" s="11" t="s">
        <v>51</v>
      </c>
    </row>
    <row r="321" spans="1:49" ht="14.5" hidden="1">
      <c r="A321" s="6">
        <v>320</v>
      </c>
      <c r="B321" s="7" t="s">
        <v>692</v>
      </c>
      <c r="C321" s="7" t="s">
        <v>49</v>
      </c>
      <c r="D321" s="6">
        <v>16015</v>
      </c>
      <c r="E321" s="6" t="s">
        <v>49</v>
      </c>
      <c r="F321" s="8"/>
      <c r="G321" s="8"/>
      <c r="H321" s="7" t="s">
        <v>49</v>
      </c>
      <c r="I321" s="7"/>
      <c r="J321" s="6" t="s">
        <v>49</v>
      </c>
      <c r="K321" s="9" t="s">
        <v>49</v>
      </c>
      <c r="L321" s="9" t="s">
        <v>49</v>
      </c>
      <c r="M321" s="8"/>
      <c r="N321" s="12"/>
      <c r="O321" s="10">
        <v>43830</v>
      </c>
      <c r="P321" s="9" t="s">
        <v>49</v>
      </c>
      <c r="Q321" s="9" t="s">
        <v>49</v>
      </c>
      <c r="R321" s="8"/>
      <c r="S321" s="8"/>
      <c r="T321" s="8"/>
      <c r="U321" s="8"/>
      <c r="V321" s="9" t="s">
        <v>49</v>
      </c>
      <c r="W321" s="9" t="s">
        <v>49</v>
      </c>
      <c r="X321" s="8"/>
      <c r="Y321" s="8"/>
      <c r="Z321" s="8"/>
      <c r="AA321" s="8"/>
      <c r="AB321" s="8"/>
      <c r="AC321" s="8"/>
      <c r="AD321" s="8"/>
      <c r="AE321" s="8"/>
      <c r="AF321" s="8"/>
      <c r="AG321" s="8"/>
      <c r="AH321" s="7" t="s">
        <v>57</v>
      </c>
      <c r="AI321" s="6" t="s">
        <v>71</v>
      </c>
      <c r="AJ321" s="6" t="s">
        <v>49</v>
      </c>
      <c r="AK321" s="6" t="s">
        <v>49</v>
      </c>
      <c r="AL321" s="9" t="s">
        <v>119</v>
      </c>
      <c r="AM321" s="9" t="s">
        <v>49</v>
      </c>
      <c r="AN321" s="6" t="s">
        <v>85</v>
      </c>
      <c r="AO321" s="9" t="s">
        <v>49</v>
      </c>
      <c r="AP321" s="11">
        <v>7248.8885899999996</v>
      </c>
      <c r="AQ321" s="11">
        <v>0</v>
      </c>
      <c r="AR321" s="11">
        <v>0</v>
      </c>
      <c r="AS321" s="11">
        <v>41681.266040000002</v>
      </c>
      <c r="AT321" s="11">
        <v>0</v>
      </c>
      <c r="AU321" s="11">
        <v>0</v>
      </c>
      <c r="AV321" s="11">
        <v>0</v>
      </c>
    </row>
    <row r="322" spans="1:49" ht="14.5" hidden="1">
      <c r="A322" s="6">
        <v>321</v>
      </c>
      <c r="B322" s="7" t="s">
        <v>692</v>
      </c>
      <c r="C322" s="7" t="s">
        <v>49</v>
      </c>
      <c r="D322" s="6">
        <v>16015</v>
      </c>
      <c r="E322" s="6" t="s">
        <v>693</v>
      </c>
      <c r="F322" s="8"/>
      <c r="G322" s="8"/>
      <c r="H322" s="7" t="s">
        <v>49</v>
      </c>
      <c r="I322" s="7"/>
      <c r="J322" s="6" t="s">
        <v>49</v>
      </c>
      <c r="K322" s="9" t="s">
        <v>49</v>
      </c>
      <c r="L322" s="9" t="s">
        <v>49</v>
      </c>
      <c r="M322" s="8"/>
      <c r="N322" s="8"/>
      <c r="O322" s="10">
        <v>43830</v>
      </c>
      <c r="P322" s="9" t="s">
        <v>49</v>
      </c>
      <c r="Q322" s="9" t="s">
        <v>49</v>
      </c>
      <c r="R322" s="8"/>
      <c r="S322" s="8"/>
      <c r="T322" s="8"/>
      <c r="U322" s="8"/>
      <c r="V322" s="9" t="s">
        <v>49</v>
      </c>
      <c r="W322" s="9" t="s">
        <v>49</v>
      </c>
      <c r="X322" s="8"/>
      <c r="Y322" s="8"/>
      <c r="Z322" s="8"/>
      <c r="AA322" s="8"/>
      <c r="AB322" s="8"/>
      <c r="AC322" s="8"/>
      <c r="AD322" s="8"/>
      <c r="AE322" s="8"/>
      <c r="AF322" s="8"/>
      <c r="AG322" s="8"/>
      <c r="AH322" s="7" t="s">
        <v>57</v>
      </c>
      <c r="AI322" s="6" t="s">
        <v>49</v>
      </c>
      <c r="AJ322" s="6" t="s">
        <v>49</v>
      </c>
      <c r="AK322" s="6" t="s">
        <v>49</v>
      </c>
      <c r="AL322" s="9" t="s">
        <v>49</v>
      </c>
      <c r="AM322" s="9" t="s">
        <v>122</v>
      </c>
      <c r="AN322" s="6" t="s">
        <v>49</v>
      </c>
      <c r="AO322" s="9" t="s">
        <v>122</v>
      </c>
      <c r="AP322" s="11">
        <v>0</v>
      </c>
      <c r="AQ322" s="11">
        <v>0</v>
      </c>
      <c r="AR322" s="11">
        <v>0</v>
      </c>
      <c r="AS322" s="11">
        <v>34.518830000000001</v>
      </c>
      <c r="AT322" s="11">
        <v>0</v>
      </c>
      <c r="AU322" s="11">
        <v>0</v>
      </c>
      <c r="AV322" s="11" t="s">
        <v>57</v>
      </c>
    </row>
    <row r="323" spans="1:49" ht="14.5" hidden="1">
      <c r="A323" s="6">
        <v>322</v>
      </c>
      <c r="B323" s="7" t="s">
        <v>694</v>
      </c>
      <c r="C323" s="7" t="s">
        <v>569</v>
      </c>
      <c r="D323" s="6">
        <v>16011</v>
      </c>
      <c r="E323" s="6" t="s">
        <v>49</v>
      </c>
      <c r="F323" s="12"/>
      <c r="G323" s="8"/>
      <c r="H323" s="7" t="s">
        <v>49</v>
      </c>
      <c r="I323" s="7"/>
      <c r="J323" s="6" t="s">
        <v>49</v>
      </c>
      <c r="K323" s="9" t="s">
        <v>49</v>
      </c>
      <c r="L323" s="9" t="s">
        <v>49</v>
      </c>
      <c r="M323" s="12"/>
      <c r="N323" s="10">
        <v>43409</v>
      </c>
      <c r="O323" s="10">
        <v>43860</v>
      </c>
      <c r="P323" s="9" t="s">
        <v>49</v>
      </c>
      <c r="Q323" s="9" t="s">
        <v>49</v>
      </c>
      <c r="R323" s="8"/>
      <c r="S323" s="8"/>
      <c r="T323" s="8"/>
      <c r="U323" s="8"/>
      <c r="V323" s="9" t="s">
        <v>49</v>
      </c>
      <c r="W323" s="9" t="s">
        <v>49</v>
      </c>
      <c r="X323" s="8"/>
      <c r="Y323" s="8"/>
      <c r="Z323" s="12"/>
      <c r="AA323" s="8"/>
      <c r="AB323" s="12"/>
      <c r="AC323" s="8"/>
      <c r="AD323" s="12"/>
      <c r="AE323" s="12"/>
      <c r="AF323" s="8"/>
      <c r="AG323" s="12"/>
      <c r="AH323" s="7" t="s">
        <v>57</v>
      </c>
      <c r="AI323" s="6" t="s">
        <v>71</v>
      </c>
      <c r="AJ323" s="6" t="s">
        <v>49</v>
      </c>
      <c r="AK323" s="6" t="s">
        <v>49</v>
      </c>
      <c r="AL323" s="9" t="s">
        <v>119</v>
      </c>
      <c r="AM323" s="9" t="s">
        <v>49</v>
      </c>
      <c r="AN323" s="6" t="s">
        <v>85</v>
      </c>
      <c r="AO323" s="9" t="s">
        <v>49</v>
      </c>
      <c r="AP323" s="11">
        <v>7248.8885899999996</v>
      </c>
      <c r="AQ323" s="11">
        <v>0</v>
      </c>
      <c r="AR323" s="11">
        <v>0</v>
      </c>
      <c r="AS323" s="11">
        <v>41681.266040000002</v>
      </c>
      <c r="AT323" s="11">
        <v>0</v>
      </c>
      <c r="AU323" s="11">
        <v>0</v>
      </c>
      <c r="AV323" s="11">
        <v>0</v>
      </c>
    </row>
    <row r="324" spans="1:49" ht="14.5">
      <c r="A324" s="6">
        <v>323</v>
      </c>
      <c r="B324" s="7" t="s">
        <v>694</v>
      </c>
      <c r="C324" s="7" t="s">
        <v>569</v>
      </c>
      <c r="D324" s="6">
        <v>16011</v>
      </c>
      <c r="E324" s="6" t="s">
        <v>695</v>
      </c>
      <c r="F324" s="6">
        <v>82868</v>
      </c>
      <c r="G324" s="8"/>
      <c r="H324" s="7" t="s">
        <v>245</v>
      </c>
      <c r="I324" s="7"/>
      <c r="J324" s="6" t="s">
        <v>75</v>
      </c>
      <c r="K324" s="9" t="s">
        <v>89</v>
      </c>
      <c r="L324" s="9" t="s">
        <v>218</v>
      </c>
      <c r="M324" s="8"/>
      <c r="N324" s="10">
        <v>43409</v>
      </c>
      <c r="O324" s="10">
        <v>43860</v>
      </c>
      <c r="P324" s="9" t="s">
        <v>49</v>
      </c>
      <c r="Q324" s="9" t="s">
        <v>49</v>
      </c>
      <c r="R324" s="8"/>
      <c r="S324" s="8"/>
      <c r="T324" s="8"/>
      <c r="U324" s="8"/>
      <c r="V324" s="9" t="s">
        <v>49</v>
      </c>
      <c r="W324" s="9" t="s">
        <v>49</v>
      </c>
      <c r="X324" s="8"/>
      <c r="Y324" s="8"/>
      <c r="Z324" s="8"/>
      <c r="AA324" s="6">
        <v>0.50900000000000001</v>
      </c>
      <c r="AB324" s="6">
        <v>0.50900000000000001</v>
      </c>
      <c r="AC324" s="6">
        <v>2.968</v>
      </c>
      <c r="AD324" s="6">
        <v>3.4769999999999999</v>
      </c>
      <c r="AE324" s="8"/>
      <c r="AF324" s="6">
        <v>0.254</v>
      </c>
      <c r="AG324" s="6">
        <v>0.254</v>
      </c>
      <c r="AH324" s="7" t="s">
        <v>57</v>
      </c>
      <c r="AI324" s="6" t="s">
        <v>49</v>
      </c>
      <c r="AJ324" s="6" t="s">
        <v>49</v>
      </c>
      <c r="AK324" s="6" t="s">
        <v>49</v>
      </c>
      <c r="AL324" s="9" t="s">
        <v>49</v>
      </c>
      <c r="AM324" s="9" t="s">
        <v>122</v>
      </c>
      <c r="AN324" s="6" t="s">
        <v>49</v>
      </c>
      <c r="AO324" s="9" t="s">
        <v>122</v>
      </c>
      <c r="AP324" s="11">
        <v>0</v>
      </c>
      <c r="AQ324" s="11">
        <v>0</v>
      </c>
      <c r="AR324" s="11">
        <v>0</v>
      </c>
      <c r="AS324" s="11">
        <v>0</v>
      </c>
      <c r="AT324" s="11">
        <v>0</v>
      </c>
      <c r="AU324" s="11">
        <v>0</v>
      </c>
      <c r="AV324" s="11" t="s">
        <v>57</v>
      </c>
    </row>
    <row r="325" spans="1:49" ht="14.5" hidden="1">
      <c r="A325" s="6">
        <v>324</v>
      </c>
      <c r="B325" s="7" t="s">
        <v>696</v>
      </c>
      <c r="C325" s="7" t="s">
        <v>569</v>
      </c>
      <c r="D325" s="6">
        <v>12563</v>
      </c>
      <c r="E325" s="6" t="s">
        <v>49</v>
      </c>
      <c r="F325" s="12"/>
      <c r="G325" s="8"/>
      <c r="H325" s="7" t="s">
        <v>49</v>
      </c>
      <c r="I325" s="7"/>
      <c r="J325" s="6" t="s">
        <v>49</v>
      </c>
      <c r="K325" s="9" t="s">
        <v>49</v>
      </c>
      <c r="L325" s="9" t="s">
        <v>49</v>
      </c>
      <c r="M325" s="12"/>
      <c r="N325" s="10">
        <v>42370</v>
      </c>
      <c r="O325" s="10">
        <v>45198</v>
      </c>
      <c r="P325" s="9" t="s">
        <v>49</v>
      </c>
      <c r="Q325" s="9" t="s">
        <v>49</v>
      </c>
      <c r="R325" s="8"/>
      <c r="S325" s="8"/>
      <c r="T325" s="8"/>
      <c r="U325" s="8"/>
      <c r="V325" s="9" t="s">
        <v>49</v>
      </c>
      <c r="W325" s="9" t="s">
        <v>49</v>
      </c>
      <c r="X325" s="8"/>
      <c r="Y325" s="8"/>
      <c r="Z325" s="8"/>
      <c r="AA325" s="8"/>
      <c r="AB325" s="8"/>
      <c r="AC325" s="8"/>
      <c r="AD325" s="8"/>
      <c r="AE325" s="8"/>
      <c r="AF325" s="8"/>
      <c r="AG325" s="8"/>
      <c r="AH325" s="7" t="s">
        <v>51</v>
      </c>
      <c r="AI325" s="6" t="s">
        <v>71</v>
      </c>
      <c r="AJ325" s="6" t="s">
        <v>49</v>
      </c>
      <c r="AK325" s="6" t="s">
        <v>118</v>
      </c>
      <c r="AL325" s="9" t="s">
        <v>119</v>
      </c>
      <c r="AM325" s="9" t="s">
        <v>49</v>
      </c>
      <c r="AN325" s="6" t="s">
        <v>96</v>
      </c>
      <c r="AO325" s="9" t="s">
        <v>49</v>
      </c>
      <c r="AP325" s="11">
        <v>7248.8885899999996</v>
      </c>
      <c r="AQ325" s="11">
        <v>0</v>
      </c>
      <c r="AR325" s="11">
        <v>0</v>
      </c>
      <c r="AS325" s="11">
        <v>41681.266040000002</v>
      </c>
      <c r="AT325" s="11">
        <v>0</v>
      </c>
      <c r="AU325" s="11">
        <v>0</v>
      </c>
      <c r="AV325" s="11">
        <v>0</v>
      </c>
    </row>
    <row r="326" spans="1:49" ht="14.5" hidden="1">
      <c r="A326" s="6">
        <v>325</v>
      </c>
      <c r="B326" s="7" t="s">
        <v>697</v>
      </c>
      <c r="C326" s="7" t="s">
        <v>49</v>
      </c>
      <c r="D326" s="6">
        <v>15296</v>
      </c>
      <c r="E326" s="6" t="s">
        <v>49</v>
      </c>
      <c r="F326" s="12"/>
      <c r="G326" s="8"/>
      <c r="H326" s="7" t="s">
        <v>49</v>
      </c>
      <c r="I326" s="7"/>
      <c r="J326" s="6" t="s">
        <v>49</v>
      </c>
      <c r="K326" s="9" t="s">
        <v>49</v>
      </c>
      <c r="L326" s="9" t="s">
        <v>49</v>
      </c>
      <c r="M326" s="12"/>
      <c r="N326" s="10">
        <v>43223</v>
      </c>
      <c r="O326" s="10">
        <v>43831</v>
      </c>
      <c r="P326" s="9" t="s">
        <v>49</v>
      </c>
      <c r="Q326" s="9" t="s">
        <v>49</v>
      </c>
      <c r="R326" s="8"/>
      <c r="S326" s="8"/>
      <c r="T326" s="8"/>
      <c r="U326" s="8"/>
      <c r="V326" s="9" t="s">
        <v>49</v>
      </c>
      <c r="W326" s="9" t="s">
        <v>49</v>
      </c>
      <c r="X326" s="8"/>
      <c r="Y326" s="8"/>
      <c r="Z326" s="12"/>
      <c r="AA326" s="8"/>
      <c r="AB326" s="12"/>
      <c r="AC326" s="8"/>
      <c r="AD326" s="12"/>
      <c r="AE326" s="12"/>
      <c r="AF326" s="8"/>
      <c r="AG326" s="12"/>
      <c r="AH326" s="7" t="s">
        <v>51</v>
      </c>
      <c r="AI326" s="6" t="s">
        <v>71</v>
      </c>
      <c r="AJ326" s="6" t="s">
        <v>49</v>
      </c>
      <c r="AK326" s="6" t="s">
        <v>49</v>
      </c>
      <c r="AL326" s="9" t="s">
        <v>119</v>
      </c>
      <c r="AM326" s="9" t="s">
        <v>49</v>
      </c>
      <c r="AN326" s="6" t="s">
        <v>82</v>
      </c>
      <c r="AO326" s="9" t="s">
        <v>49</v>
      </c>
      <c r="AP326" s="11">
        <v>7248.8885899999996</v>
      </c>
      <c r="AQ326" s="11">
        <v>0</v>
      </c>
      <c r="AR326" s="11">
        <v>0</v>
      </c>
      <c r="AS326" s="11">
        <v>41681.266040000002</v>
      </c>
      <c r="AT326" s="11">
        <v>0</v>
      </c>
      <c r="AU326" s="11">
        <v>0</v>
      </c>
      <c r="AV326" s="11">
        <v>0</v>
      </c>
    </row>
    <row r="327" spans="1:49" ht="14.5" hidden="1">
      <c r="A327" s="6">
        <v>326</v>
      </c>
      <c r="B327" s="7" t="s">
        <v>697</v>
      </c>
      <c r="C327" s="7" t="s">
        <v>49</v>
      </c>
      <c r="D327" s="6">
        <v>15296</v>
      </c>
      <c r="E327" s="6" t="s">
        <v>698</v>
      </c>
      <c r="F327" s="8"/>
      <c r="G327" s="8"/>
      <c r="H327" s="7" t="s">
        <v>49</v>
      </c>
      <c r="I327" s="7"/>
      <c r="J327" s="6" t="s">
        <v>49</v>
      </c>
      <c r="K327" s="9" t="s">
        <v>49</v>
      </c>
      <c r="L327" s="9" t="s">
        <v>49</v>
      </c>
      <c r="M327" s="8"/>
      <c r="N327" s="10">
        <v>43223</v>
      </c>
      <c r="O327" s="10">
        <v>43831</v>
      </c>
      <c r="P327" s="9" t="s">
        <v>49</v>
      </c>
      <c r="Q327" s="9" t="s">
        <v>49</v>
      </c>
      <c r="R327" s="8"/>
      <c r="S327" s="8"/>
      <c r="T327" s="8"/>
      <c r="U327" s="8"/>
      <c r="V327" s="9" t="s">
        <v>49</v>
      </c>
      <c r="W327" s="9" t="s">
        <v>49</v>
      </c>
      <c r="X327" s="8"/>
      <c r="Y327" s="8"/>
      <c r="Z327" s="8"/>
      <c r="AA327" s="8"/>
      <c r="AB327" s="8"/>
      <c r="AC327" s="8"/>
      <c r="AD327" s="8"/>
      <c r="AE327" s="8"/>
      <c r="AF327" s="8"/>
      <c r="AG327" s="8"/>
      <c r="AH327" s="7" t="s">
        <v>51</v>
      </c>
      <c r="AI327" s="6" t="s">
        <v>49</v>
      </c>
      <c r="AJ327" s="6" t="s">
        <v>49</v>
      </c>
      <c r="AK327" s="6" t="s">
        <v>49</v>
      </c>
      <c r="AL327" s="9" t="s">
        <v>49</v>
      </c>
      <c r="AM327" s="9" t="s">
        <v>122</v>
      </c>
      <c r="AN327" s="6" t="s">
        <v>49</v>
      </c>
      <c r="AO327" s="9" t="s">
        <v>122</v>
      </c>
      <c r="AP327" s="11">
        <v>0</v>
      </c>
      <c r="AQ327" s="11">
        <v>0</v>
      </c>
      <c r="AR327" s="11">
        <v>0</v>
      </c>
      <c r="AS327" s="11">
        <v>0</v>
      </c>
      <c r="AT327" s="11">
        <v>0</v>
      </c>
      <c r="AU327" s="11">
        <v>0</v>
      </c>
      <c r="AV327" s="11" t="s">
        <v>51</v>
      </c>
    </row>
    <row r="328" spans="1:49" ht="14.5" hidden="1">
      <c r="A328" s="6">
        <v>327</v>
      </c>
      <c r="B328" s="7" t="s">
        <v>699</v>
      </c>
      <c r="C328" s="7" t="s">
        <v>569</v>
      </c>
      <c r="D328" s="6">
        <v>16017</v>
      </c>
      <c r="E328" s="6" t="s">
        <v>49</v>
      </c>
      <c r="F328" s="12"/>
      <c r="G328" s="8"/>
      <c r="H328" s="7" t="s">
        <v>49</v>
      </c>
      <c r="I328" s="7"/>
      <c r="J328" s="6" t="s">
        <v>49</v>
      </c>
      <c r="K328" s="9" t="s">
        <v>49</v>
      </c>
      <c r="L328" s="9" t="s">
        <v>49</v>
      </c>
      <c r="M328" s="12"/>
      <c r="N328" s="10">
        <v>43493</v>
      </c>
      <c r="O328" s="10">
        <v>43832</v>
      </c>
      <c r="P328" s="9" t="s">
        <v>49</v>
      </c>
      <c r="Q328" s="9" t="s">
        <v>49</v>
      </c>
      <c r="R328" s="12"/>
      <c r="S328" s="12"/>
      <c r="T328" s="12"/>
      <c r="U328" s="12"/>
      <c r="V328" s="9" t="s">
        <v>49</v>
      </c>
      <c r="W328" s="9" t="s">
        <v>49</v>
      </c>
      <c r="X328" s="8"/>
      <c r="Y328" s="8"/>
      <c r="Z328" s="12"/>
      <c r="AA328" s="8"/>
      <c r="AB328" s="12"/>
      <c r="AC328" s="8"/>
      <c r="AD328" s="12"/>
      <c r="AE328" s="12"/>
      <c r="AF328" s="8"/>
      <c r="AG328" s="12"/>
      <c r="AH328" s="7" t="s">
        <v>57</v>
      </c>
      <c r="AI328" s="6" t="s">
        <v>71</v>
      </c>
      <c r="AJ328" s="6" t="s">
        <v>49</v>
      </c>
      <c r="AK328" s="6" t="s">
        <v>49</v>
      </c>
      <c r="AL328" s="9" t="s">
        <v>119</v>
      </c>
      <c r="AM328" s="9" t="s">
        <v>49</v>
      </c>
      <c r="AN328" s="6" t="s">
        <v>85</v>
      </c>
      <c r="AO328" s="9" t="s">
        <v>49</v>
      </c>
      <c r="AP328" s="11">
        <v>7248.8885899999996</v>
      </c>
      <c r="AQ328" s="11">
        <v>0</v>
      </c>
      <c r="AR328" s="11">
        <v>0</v>
      </c>
      <c r="AS328" s="11">
        <v>41681.266040000002</v>
      </c>
      <c r="AT328" s="11">
        <v>0</v>
      </c>
      <c r="AU328" s="11">
        <v>0</v>
      </c>
      <c r="AV328" s="11">
        <v>0</v>
      </c>
    </row>
    <row r="329" spans="1:49" ht="14.5" hidden="1">
      <c r="A329" s="6">
        <v>328</v>
      </c>
      <c r="B329" s="7" t="s">
        <v>699</v>
      </c>
      <c r="C329" s="7" t="s">
        <v>569</v>
      </c>
      <c r="D329" s="6">
        <v>16017</v>
      </c>
      <c r="E329" s="6" t="s">
        <v>700</v>
      </c>
      <c r="F329" s="8"/>
      <c r="G329" s="8"/>
      <c r="H329" s="7" t="s">
        <v>49</v>
      </c>
      <c r="I329" s="7"/>
      <c r="J329" s="6" t="s">
        <v>49</v>
      </c>
      <c r="K329" s="9" t="s">
        <v>49</v>
      </c>
      <c r="L329" s="9" t="s">
        <v>49</v>
      </c>
      <c r="M329" s="8"/>
      <c r="N329" s="10">
        <v>43493</v>
      </c>
      <c r="O329" s="10">
        <v>43832</v>
      </c>
      <c r="P329" s="9" t="s">
        <v>49</v>
      </c>
      <c r="Q329" s="9" t="s">
        <v>49</v>
      </c>
      <c r="R329" s="8"/>
      <c r="S329" s="8"/>
      <c r="T329" s="8"/>
      <c r="U329" s="8"/>
      <c r="V329" s="9" t="s">
        <v>49</v>
      </c>
      <c r="W329" s="9" t="s">
        <v>49</v>
      </c>
      <c r="X329" s="8"/>
      <c r="Y329" s="8"/>
      <c r="Z329" s="8"/>
      <c r="AA329" s="8"/>
      <c r="AB329" s="8"/>
      <c r="AC329" s="8"/>
      <c r="AD329" s="8"/>
      <c r="AE329" s="8"/>
      <c r="AF329" s="8"/>
      <c r="AG329" s="8"/>
      <c r="AH329" s="7" t="s">
        <v>57</v>
      </c>
      <c r="AI329" s="6" t="s">
        <v>49</v>
      </c>
      <c r="AJ329" s="6" t="s">
        <v>49</v>
      </c>
      <c r="AK329" s="6" t="s">
        <v>49</v>
      </c>
      <c r="AL329" s="9" t="s">
        <v>49</v>
      </c>
      <c r="AM329" s="9" t="s">
        <v>122</v>
      </c>
      <c r="AN329" s="6" t="s">
        <v>49</v>
      </c>
      <c r="AO329" s="9" t="s">
        <v>122</v>
      </c>
      <c r="AP329" s="11">
        <v>0</v>
      </c>
      <c r="AQ329" s="11">
        <v>0</v>
      </c>
      <c r="AR329" s="11">
        <v>0</v>
      </c>
      <c r="AS329" s="11">
        <v>94.606169999999992</v>
      </c>
      <c r="AT329" s="11">
        <v>0</v>
      </c>
      <c r="AU329" s="11">
        <v>22</v>
      </c>
      <c r="AV329" s="11" t="s">
        <v>57</v>
      </c>
      <c r="AW329" t="s">
        <v>93</v>
      </c>
    </row>
    <row r="330" spans="1:49" ht="14.5" hidden="1">
      <c r="A330" s="6">
        <v>329</v>
      </c>
      <c r="B330" s="7" t="s">
        <v>701</v>
      </c>
      <c r="C330" s="7" t="s">
        <v>49</v>
      </c>
      <c r="D330" s="6">
        <v>16016</v>
      </c>
      <c r="E330" s="6" t="s">
        <v>49</v>
      </c>
      <c r="F330" s="8"/>
      <c r="G330" s="8"/>
      <c r="H330" s="7" t="s">
        <v>49</v>
      </c>
      <c r="I330" s="7"/>
      <c r="J330" s="6" t="s">
        <v>49</v>
      </c>
      <c r="K330" s="9" t="s">
        <v>49</v>
      </c>
      <c r="L330" s="9" t="s">
        <v>49</v>
      </c>
      <c r="M330" s="8"/>
      <c r="N330" s="10">
        <v>43454</v>
      </c>
      <c r="O330" s="10">
        <v>43859</v>
      </c>
      <c r="P330" s="9" t="s">
        <v>49</v>
      </c>
      <c r="Q330" s="9" t="s">
        <v>49</v>
      </c>
      <c r="R330" s="8"/>
      <c r="S330" s="8"/>
      <c r="T330" s="8"/>
      <c r="U330" s="8"/>
      <c r="V330" s="9" t="s">
        <v>49</v>
      </c>
      <c r="W330" s="9" t="s">
        <v>49</v>
      </c>
      <c r="X330" s="8"/>
      <c r="Y330" s="8"/>
      <c r="Z330" s="8"/>
      <c r="AA330" s="8"/>
      <c r="AB330" s="8"/>
      <c r="AC330" s="8"/>
      <c r="AD330" s="8"/>
      <c r="AE330" s="8"/>
      <c r="AF330" s="8"/>
      <c r="AG330" s="8"/>
      <c r="AH330" s="7" t="s">
        <v>57</v>
      </c>
      <c r="AI330" s="6" t="s">
        <v>71</v>
      </c>
      <c r="AJ330" s="6" t="s">
        <v>49</v>
      </c>
      <c r="AK330" s="6" t="s">
        <v>49</v>
      </c>
      <c r="AL330" s="9" t="s">
        <v>119</v>
      </c>
      <c r="AM330" s="9" t="s">
        <v>49</v>
      </c>
      <c r="AN330" s="6" t="s">
        <v>85</v>
      </c>
      <c r="AO330" s="9" t="s">
        <v>49</v>
      </c>
      <c r="AP330" s="11">
        <v>7248.8885899999996</v>
      </c>
      <c r="AQ330" s="11">
        <v>0</v>
      </c>
      <c r="AR330" s="11">
        <v>0</v>
      </c>
      <c r="AS330" s="11">
        <v>41681.266040000002</v>
      </c>
      <c r="AT330" s="11">
        <v>0</v>
      </c>
      <c r="AU330" s="11">
        <v>0</v>
      </c>
      <c r="AV330" s="11">
        <v>0</v>
      </c>
    </row>
    <row r="331" spans="1:49" ht="14.5" hidden="1">
      <c r="A331" s="6">
        <v>330</v>
      </c>
      <c r="B331" s="7" t="s">
        <v>701</v>
      </c>
      <c r="C331" s="7" t="s">
        <v>49</v>
      </c>
      <c r="D331" s="6">
        <v>16016</v>
      </c>
      <c r="E331" s="6" t="s">
        <v>702</v>
      </c>
      <c r="F331" s="6">
        <v>82874</v>
      </c>
      <c r="G331" s="8"/>
      <c r="H331" s="7" t="s">
        <v>88</v>
      </c>
      <c r="I331" s="7"/>
      <c r="J331" s="6" t="s">
        <v>75</v>
      </c>
      <c r="K331" s="9" t="s">
        <v>106</v>
      </c>
      <c r="L331" s="9" t="s">
        <v>218</v>
      </c>
      <c r="M331" s="6">
        <v>0</v>
      </c>
      <c r="N331" s="10">
        <v>43454</v>
      </c>
      <c r="O331" s="10">
        <v>43859</v>
      </c>
      <c r="P331" s="9" t="s">
        <v>49</v>
      </c>
      <c r="Q331" s="9" t="s">
        <v>49</v>
      </c>
      <c r="R331" s="8"/>
      <c r="S331" s="8"/>
      <c r="T331" s="8"/>
      <c r="U331" s="8"/>
      <c r="V331" s="9" t="s">
        <v>49</v>
      </c>
      <c r="W331" s="9" t="s">
        <v>49</v>
      </c>
      <c r="X331" s="8"/>
      <c r="Y331" s="8"/>
      <c r="Z331" s="8"/>
      <c r="AA331" s="6">
        <v>0.28499999999999998</v>
      </c>
      <c r="AB331" s="6">
        <v>0.28499999999999998</v>
      </c>
      <c r="AC331" s="6">
        <v>0</v>
      </c>
      <c r="AD331" s="6">
        <v>0.28499999999999998</v>
      </c>
      <c r="AE331" s="8"/>
      <c r="AF331" s="6">
        <v>0.14299999999999999</v>
      </c>
      <c r="AG331" s="6">
        <v>0.14299999999999999</v>
      </c>
      <c r="AH331" s="7" t="s">
        <v>57</v>
      </c>
      <c r="AI331" s="6" t="s">
        <v>49</v>
      </c>
      <c r="AJ331" s="6" t="s">
        <v>49</v>
      </c>
      <c r="AK331" s="6" t="s">
        <v>49</v>
      </c>
      <c r="AL331" s="9" t="s">
        <v>49</v>
      </c>
      <c r="AM331" s="9" t="s">
        <v>122</v>
      </c>
      <c r="AN331" s="6" t="s">
        <v>49</v>
      </c>
      <c r="AO331" s="9" t="s">
        <v>122</v>
      </c>
      <c r="AP331" s="11">
        <v>0</v>
      </c>
      <c r="AQ331" s="11">
        <v>0</v>
      </c>
      <c r="AR331" s="11">
        <v>0</v>
      </c>
      <c r="AS331" s="11">
        <v>0</v>
      </c>
      <c r="AT331" s="11">
        <v>0</v>
      </c>
      <c r="AU331" s="11">
        <v>0</v>
      </c>
      <c r="AV331" s="11" t="s">
        <v>57</v>
      </c>
    </row>
    <row r="332" spans="1:49" ht="14.5" hidden="1">
      <c r="A332" s="6">
        <v>331</v>
      </c>
      <c r="B332" s="7" t="s">
        <v>703</v>
      </c>
      <c r="C332" s="7" t="s">
        <v>569</v>
      </c>
      <c r="D332" s="6">
        <v>16013</v>
      </c>
      <c r="E332" s="6" t="s">
        <v>49</v>
      </c>
      <c r="F332" s="8"/>
      <c r="G332" s="8"/>
      <c r="H332" s="7" t="s">
        <v>49</v>
      </c>
      <c r="I332" s="7"/>
      <c r="J332" s="6" t="s">
        <v>49</v>
      </c>
      <c r="K332" s="9" t="s">
        <v>49</v>
      </c>
      <c r="L332" s="9" t="s">
        <v>49</v>
      </c>
      <c r="M332" s="8"/>
      <c r="N332" s="12"/>
      <c r="O332" s="10">
        <v>43525</v>
      </c>
      <c r="P332" s="9" t="s">
        <v>49</v>
      </c>
      <c r="Q332" s="9" t="s">
        <v>49</v>
      </c>
      <c r="R332" s="8"/>
      <c r="S332" s="8"/>
      <c r="T332" s="8"/>
      <c r="U332" s="8"/>
      <c r="V332" s="9" t="s">
        <v>49</v>
      </c>
      <c r="W332" s="9" t="s">
        <v>49</v>
      </c>
      <c r="X332" s="8"/>
      <c r="Y332" s="8"/>
      <c r="Z332" s="8"/>
      <c r="AA332" s="8"/>
      <c r="AB332" s="8"/>
      <c r="AC332" s="8"/>
      <c r="AD332" s="8"/>
      <c r="AE332" s="8"/>
      <c r="AF332" s="8"/>
      <c r="AG332" s="8"/>
      <c r="AH332" s="7" t="s">
        <v>57</v>
      </c>
      <c r="AI332" s="6" t="s">
        <v>71</v>
      </c>
      <c r="AJ332" s="6" t="s">
        <v>49</v>
      </c>
      <c r="AK332" s="6" t="s">
        <v>49</v>
      </c>
      <c r="AL332" s="9" t="s">
        <v>119</v>
      </c>
      <c r="AM332" s="9" t="s">
        <v>49</v>
      </c>
      <c r="AN332" s="6" t="s">
        <v>85</v>
      </c>
      <c r="AO332" s="9" t="s">
        <v>49</v>
      </c>
      <c r="AP332" s="11">
        <v>7248.8885899999996</v>
      </c>
      <c r="AQ332" s="11">
        <v>0</v>
      </c>
      <c r="AR332" s="11">
        <v>0</v>
      </c>
      <c r="AS332" s="11">
        <v>41681.266040000002</v>
      </c>
      <c r="AT332" s="11">
        <v>0</v>
      </c>
      <c r="AU332" s="11">
        <v>0</v>
      </c>
      <c r="AV332" s="11">
        <v>0</v>
      </c>
    </row>
    <row r="333" spans="1:49" ht="14.5">
      <c r="A333" s="6">
        <v>332</v>
      </c>
      <c r="B333" s="7" t="s">
        <v>703</v>
      </c>
      <c r="C333" s="7" t="s">
        <v>569</v>
      </c>
      <c r="D333" s="6">
        <v>16013</v>
      </c>
      <c r="E333" s="6" t="s">
        <v>704</v>
      </c>
      <c r="F333" s="6">
        <v>57827</v>
      </c>
      <c r="G333" s="8"/>
      <c r="H333" s="7" t="s">
        <v>49</v>
      </c>
      <c r="I333" s="7"/>
      <c r="J333" s="6" t="s">
        <v>49</v>
      </c>
      <c r="K333" s="9" t="s">
        <v>49</v>
      </c>
      <c r="L333" s="9" t="s">
        <v>49</v>
      </c>
      <c r="M333" s="8"/>
      <c r="N333" s="8"/>
      <c r="O333" s="10">
        <v>43525</v>
      </c>
      <c r="P333" s="9" t="s">
        <v>49</v>
      </c>
      <c r="Q333" s="9" t="s">
        <v>49</v>
      </c>
      <c r="R333" s="8"/>
      <c r="S333" s="8"/>
      <c r="T333" s="8"/>
      <c r="U333" s="8"/>
      <c r="V333" s="9" t="s">
        <v>49</v>
      </c>
      <c r="W333" s="9" t="s">
        <v>49</v>
      </c>
      <c r="X333" s="8"/>
      <c r="Y333" s="8"/>
      <c r="Z333" s="8"/>
      <c r="AA333" s="6">
        <v>0.14000000000000001</v>
      </c>
      <c r="AB333" s="6">
        <v>0.14000000000000001</v>
      </c>
      <c r="AC333" s="8"/>
      <c r="AD333" s="6">
        <v>0.14000000000000001</v>
      </c>
      <c r="AE333" s="8"/>
      <c r="AF333" s="6">
        <v>7.0000000000000007E-2</v>
      </c>
      <c r="AG333" s="6">
        <v>7.0000000000000007E-2</v>
      </c>
      <c r="AH333" s="7" t="s">
        <v>57</v>
      </c>
      <c r="AI333" s="6" t="s">
        <v>49</v>
      </c>
      <c r="AJ333" s="6" t="s">
        <v>49</v>
      </c>
      <c r="AK333" s="6" t="s">
        <v>49</v>
      </c>
      <c r="AL333" s="9" t="s">
        <v>49</v>
      </c>
      <c r="AM333" s="9" t="s">
        <v>122</v>
      </c>
      <c r="AN333" s="6" t="s">
        <v>49</v>
      </c>
      <c r="AO333" s="9" t="s">
        <v>122</v>
      </c>
      <c r="AP333" s="11">
        <v>0</v>
      </c>
      <c r="AQ333" s="11">
        <v>0</v>
      </c>
      <c r="AR333" s="11">
        <v>0</v>
      </c>
      <c r="AS333" s="11">
        <v>0</v>
      </c>
      <c r="AT333" s="11">
        <v>0</v>
      </c>
      <c r="AU333" s="11">
        <v>0</v>
      </c>
      <c r="AV333" s="11" t="s">
        <v>57</v>
      </c>
    </row>
    <row r="334" spans="1:49" ht="14.5" hidden="1">
      <c r="A334" s="6">
        <v>333</v>
      </c>
      <c r="B334" s="7" t="s">
        <v>705</v>
      </c>
      <c r="C334" s="7" t="s">
        <v>569</v>
      </c>
      <c r="D334" s="6">
        <v>16020</v>
      </c>
      <c r="E334" s="6" t="s">
        <v>49</v>
      </c>
      <c r="F334" s="8"/>
      <c r="G334" s="8"/>
      <c r="H334" s="7" t="s">
        <v>49</v>
      </c>
      <c r="I334" s="7"/>
      <c r="J334" s="6" t="s">
        <v>49</v>
      </c>
      <c r="K334" s="9" t="s">
        <v>49</v>
      </c>
      <c r="L334" s="9" t="s">
        <v>49</v>
      </c>
      <c r="M334" s="8"/>
      <c r="N334" s="8"/>
      <c r="O334" s="10">
        <v>43644</v>
      </c>
      <c r="P334" s="9" t="s">
        <v>49</v>
      </c>
      <c r="Q334" s="9" t="s">
        <v>49</v>
      </c>
      <c r="R334" s="8"/>
      <c r="S334" s="8"/>
      <c r="T334" s="8"/>
      <c r="U334" s="8"/>
      <c r="V334" s="9" t="s">
        <v>49</v>
      </c>
      <c r="W334" s="9" t="s">
        <v>49</v>
      </c>
      <c r="X334" s="8"/>
      <c r="Y334" s="8"/>
      <c r="Z334" s="8"/>
      <c r="AA334" s="8"/>
      <c r="AB334" s="8"/>
      <c r="AC334" s="8"/>
      <c r="AD334" s="8"/>
      <c r="AE334" s="8"/>
      <c r="AF334" s="8"/>
      <c r="AG334" s="8"/>
      <c r="AH334" s="7" t="s">
        <v>57</v>
      </c>
      <c r="AI334" s="6" t="s">
        <v>71</v>
      </c>
      <c r="AJ334" s="6" t="s">
        <v>49</v>
      </c>
      <c r="AK334" s="6" t="s">
        <v>49</v>
      </c>
      <c r="AL334" s="9" t="s">
        <v>119</v>
      </c>
      <c r="AM334" s="9" t="s">
        <v>49</v>
      </c>
      <c r="AN334" s="6" t="s">
        <v>85</v>
      </c>
      <c r="AO334" s="9" t="s">
        <v>49</v>
      </c>
      <c r="AP334" s="11">
        <v>7248.8885899999996</v>
      </c>
      <c r="AQ334" s="11">
        <v>0</v>
      </c>
      <c r="AR334" s="11">
        <v>0</v>
      </c>
      <c r="AS334" s="11">
        <v>41681.266040000002</v>
      </c>
      <c r="AT334" s="11">
        <v>0</v>
      </c>
      <c r="AU334" s="11">
        <v>0</v>
      </c>
      <c r="AV334" s="11">
        <v>0</v>
      </c>
    </row>
    <row r="335" spans="1:49" ht="14.5" hidden="1">
      <c r="A335" s="6">
        <v>334</v>
      </c>
      <c r="B335" s="7" t="s">
        <v>705</v>
      </c>
      <c r="C335" s="7" t="s">
        <v>569</v>
      </c>
      <c r="D335" s="6">
        <v>16020</v>
      </c>
      <c r="E335" s="6" t="s">
        <v>706</v>
      </c>
      <c r="F335" s="6">
        <v>86787</v>
      </c>
      <c r="G335" s="8"/>
      <c r="H335" s="7" t="s">
        <v>49</v>
      </c>
      <c r="I335" s="7"/>
      <c r="J335" s="6" t="s">
        <v>49</v>
      </c>
      <c r="K335" s="9" t="s">
        <v>49</v>
      </c>
      <c r="L335" s="9" t="s">
        <v>218</v>
      </c>
      <c r="M335" s="8"/>
      <c r="N335" s="12"/>
      <c r="O335" s="10">
        <v>43644</v>
      </c>
      <c r="P335" s="9" t="s">
        <v>49</v>
      </c>
      <c r="Q335" s="9" t="s">
        <v>49</v>
      </c>
      <c r="R335" s="8"/>
      <c r="S335" s="8"/>
      <c r="T335" s="8"/>
      <c r="U335" s="8"/>
      <c r="V335" s="9" t="s">
        <v>49</v>
      </c>
      <c r="W335" s="9" t="s">
        <v>49</v>
      </c>
      <c r="X335" s="8"/>
      <c r="Y335" s="8"/>
      <c r="Z335" s="8"/>
      <c r="AA335" s="8"/>
      <c r="AB335" s="8"/>
      <c r="AC335" s="8"/>
      <c r="AD335" s="8"/>
      <c r="AE335" s="8"/>
      <c r="AF335" s="8"/>
      <c r="AG335" s="8"/>
      <c r="AH335" s="7" t="s">
        <v>51</v>
      </c>
      <c r="AI335" s="6" t="s">
        <v>49</v>
      </c>
      <c r="AJ335" s="6" t="s">
        <v>49</v>
      </c>
      <c r="AK335" s="6" t="s">
        <v>49</v>
      </c>
      <c r="AL335" s="9" t="s">
        <v>49</v>
      </c>
      <c r="AM335" s="9" t="s">
        <v>122</v>
      </c>
      <c r="AN335" s="6" t="s">
        <v>49</v>
      </c>
      <c r="AO335" s="9" t="s">
        <v>122</v>
      </c>
      <c r="AP335" s="11">
        <v>-0.44391000000000003</v>
      </c>
      <c r="AQ335" s="11">
        <v>-443.91</v>
      </c>
      <c r="AR335" s="11">
        <v>-443.90625</v>
      </c>
      <c r="AS335" s="11">
        <v>57.562930000000001</v>
      </c>
      <c r="AT335" s="11">
        <v>-0.44391000000000003</v>
      </c>
      <c r="AU335" s="11">
        <v>0</v>
      </c>
      <c r="AV335" s="11" t="s">
        <v>51</v>
      </c>
    </row>
    <row r="336" spans="1:49" ht="14.5" hidden="1">
      <c r="A336" s="6">
        <v>335</v>
      </c>
      <c r="B336" s="7" t="s">
        <v>707</v>
      </c>
      <c r="C336" s="7" t="s">
        <v>49</v>
      </c>
      <c r="D336" s="6">
        <v>15292</v>
      </c>
      <c r="E336" s="6" t="s">
        <v>49</v>
      </c>
      <c r="F336" s="8"/>
      <c r="G336" s="8"/>
      <c r="H336" s="7" t="s">
        <v>49</v>
      </c>
      <c r="I336" s="7"/>
      <c r="J336" s="6" t="s">
        <v>49</v>
      </c>
      <c r="K336" s="9" t="s">
        <v>49</v>
      </c>
      <c r="L336" s="9" t="s">
        <v>49</v>
      </c>
      <c r="M336" s="8"/>
      <c r="N336" s="10">
        <v>43192</v>
      </c>
      <c r="O336" s="10">
        <v>44533</v>
      </c>
      <c r="P336" s="9" t="s">
        <v>49</v>
      </c>
      <c r="Q336" s="9" t="s">
        <v>49</v>
      </c>
      <c r="R336" s="8"/>
      <c r="S336" s="8"/>
      <c r="T336" s="8"/>
      <c r="U336" s="8"/>
      <c r="V336" s="9" t="s">
        <v>49</v>
      </c>
      <c r="W336" s="9" t="s">
        <v>49</v>
      </c>
      <c r="X336" s="8"/>
      <c r="Y336" s="8"/>
      <c r="Z336" s="8"/>
      <c r="AA336" s="8"/>
      <c r="AB336" s="8"/>
      <c r="AC336" s="8"/>
      <c r="AD336" s="8"/>
      <c r="AE336" s="8"/>
      <c r="AF336" s="8"/>
      <c r="AG336" s="8"/>
      <c r="AH336" s="7" t="s">
        <v>51</v>
      </c>
      <c r="AI336" s="6" t="s">
        <v>71</v>
      </c>
      <c r="AJ336" s="6" t="s">
        <v>49</v>
      </c>
      <c r="AK336" s="6" t="s">
        <v>49</v>
      </c>
      <c r="AL336" s="9" t="s">
        <v>119</v>
      </c>
      <c r="AM336" s="9" t="s">
        <v>49</v>
      </c>
      <c r="AN336" s="6" t="s">
        <v>96</v>
      </c>
      <c r="AO336" s="9" t="s">
        <v>49</v>
      </c>
      <c r="AP336" s="11"/>
      <c r="AQ336" s="11">
        <v>0</v>
      </c>
      <c r="AR336" s="11">
        <v>0</v>
      </c>
      <c r="AS336" s="11"/>
      <c r="AT336" s="11"/>
      <c r="AU336" s="11">
        <v>0</v>
      </c>
      <c r="AV336" s="11">
        <v>0</v>
      </c>
    </row>
    <row r="337" spans="1:49" ht="14.5" hidden="1">
      <c r="A337" s="6">
        <v>336</v>
      </c>
      <c r="B337" s="7" t="s">
        <v>708</v>
      </c>
      <c r="C337" s="7" t="s">
        <v>49</v>
      </c>
      <c r="D337" s="6">
        <v>16014</v>
      </c>
      <c r="E337" s="6" t="s">
        <v>49</v>
      </c>
      <c r="F337" s="8"/>
      <c r="G337" s="8"/>
      <c r="H337" s="7" t="s">
        <v>49</v>
      </c>
      <c r="I337" s="7"/>
      <c r="J337" s="6" t="s">
        <v>49</v>
      </c>
      <c r="K337" s="9" t="s">
        <v>49</v>
      </c>
      <c r="L337" s="9" t="s">
        <v>49</v>
      </c>
      <c r="M337" s="8"/>
      <c r="N337" s="10">
        <v>43437</v>
      </c>
      <c r="O337" s="10">
        <v>44561</v>
      </c>
      <c r="P337" s="9" t="s">
        <v>49</v>
      </c>
      <c r="Q337" s="9" t="s">
        <v>49</v>
      </c>
      <c r="R337" s="8"/>
      <c r="S337" s="8"/>
      <c r="T337" s="8"/>
      <c r="U337" s="8"/>
      <c r="V337" s="9" t="s">
        <v>49</v>
      </c>
      <c r="W337" s="9" t="s">
        <v>49</v>
      </c>
      <c r="X337" s="8"/>
      <c r="Y337" s="8"/>
      <c r="Z337" s="8"/>
      <c r="AA337" s="8"/>
      <c r="AB337" s="8"/>
      <c r="AC337" s="8"/>
      <c r="AD337" s="8"/>
      <c r="AE337" s="8"/>
      <c r="AF337" s="8"/>
      <c r="AG337" s="8"/>
      <c r="AH337" s="7" t="s">
        <v>57</v>
      </c>
      <c r="AI337" s="6" t="s">
        <v>71</v>
      </c>
      <c r="AJ337" s="6" t="s">
        <v>49</v>
      </c>
      <c r="AK337" s="6" t="s">
        <v>49</v>
      </c>
      <c r="AL337" s="9" t="s">
        <v>119</v>
      </c>
      <c r="AM337" s="9" t="s">
        <v>49</v>
      </c>
      <c r="AN337" s="6" t="s">
        <v>85</v>
      </c>
      <c r="AO337" s="9" t="s">
        <v>49</v>
      </c>
      <c r="AP337" s="11"/>
      <c r="AQ337" s="11">
        <v>0</v>
      </c>
      <c r="AR337" s="11">
        <v>0</v>
      </c>
      <c r="AS337" s="11"/>
      <c r="AT337" s="11"/>
      <c r="AU337" s="11"/>
      <c r="AV337" s="11">
        <v>0</v>
      </c>
    </row>
    <row r="338" spans="1:49" ht="14.5" hidden="1">
      <c r="A338" s="6">
        <v>337</v>
      </c>
      <c r="B338" s="7" t="s">
        <v>709</v>
      </c>
      <c r="C338" s="7" t="s">
        <v>569</v>
      </c>
      <c r="D338" s="6">
        <v>16007</v>
      </c>
      <c r="E338" s="6" t="s">
        <v>49</v>
      </c>
      <c r="F338" s="8"/>
      <c r="G338" s="8"/>
      <c r="H338" s="7" t="s">
        <v>49</v>
      </c>
      <c r="I338" s="7"/>
      <c r="J338" s="6" t="s">
        <v>49</v>
      </c>
      <c r="K338" s="9" t="s">
        <v>49</v>
      </c>
      <c r="L338" s="9" t="s">
        <v>49</v>
      </c>
      <c r="M338" s="8"/>
      <c r="N338" s="12"/>
      <c r="O338" s="10">
        <v>43830</v>
      </c>
      <c r="P338" s="9" t="s">
        <v>49</v>
      </c>
      <c r="Q338" s="9" t="s">
        <v>49</v>
      </c>
      <c r="R338" s="8"/>
      <c r="S338" s="8"/>
      <c r="T338" s="8"/>
      <c r="U338" s="8"/>
      <c r="V338" s="9" t="s">
        <v>49</v>
      </c>
      <c r="W338" s="9" t="s">
        <v>49</v>
      </c>
      <c r="X338" s="8"/>
      <c r="Y338" s="8"/>
      <c r="Z338" s="8"/>
      <c r="AA338" s="8"/>
      <c r="AB338" s="8"/>
      <c r="AC338" s="8"/>
      <c r="AD338" s="8"/>
      <c r="AE338" s="8"/>
      <c r="AF338" s="8"/>
      <c r="AG338" s="8"/>
      <c r="AH338" s="7" t="s">
        <v>57</v>
      </c>
      <c r="AI338" s="6" t="s">
        <v>71</v>
      </c>
      <c r="AJ338" s="6" t="s">
        <v>49</v>
      </c>
      <c r="AK338" s="6" t="s">
        <v>49</v>
      </c>
      <c r="AL338" s="9" t="s">
        <v>119</v>
      </c>
      <c r="AM338" s="9" t="s">
        <v>49</v>
      </c>
      <c r="AN338" s="6" t="s">
        <v>85</v>
      </c>
      <c r="AO338" s="9" t="s">
        <v>49</v>
      </c>
      <c r="AP338" s="11"/>
      <c r="AQ338" s="11">
        <v>0</v>
      </c>
      <c r="AR338" s="11">
        <v>0</v>
      </c>
      <c r="AS338" s="11"/>
      <c r="AT338" s="11"/>
      <c r="AU338" s="11"/>
      <c r="AV338" s="11">
        <v>0</v>
      </c>
    </row>
    <row r="339" spans="1:49" ht="14.5">
      <c r="A339" s="6">
        <v>338</v>
      </c>
      <c r="B339" s="7" t="s">
        <v>709</v>
      </c>
      <c r="C339" s="7" t="s">
        <v>569</v>
      </c>
      <c r="D339" s="6">
        <v>16007</v>
      </c>
      <c r="E339" s="6" t="s">
        <v>710</v>
      </c>
      <c r="F339" s="6">
        <v>82844</v>
      </c>
      <c r="G339" s="8"/>
      <c r="H339" s="7" t="s">
        <v>49</v>
      </c>
      <c r="I339" s="7"/>
      <c r="J339" s="6" t="s">
        <v>49</v>
      </c>
      <c r="K339" s="9" t="s">
        <v>49</v>
      </c>
      <c r="L339" s="9" t="s">
        <v>73</v>
      </c>
      <c r="M339" s="28">
        <v>102</v>
      </c>
      <c r="N339" s="12"/>
      <c r="O339" s="10">
        <v>43830</v>
      </c>
      <c r="P339" s="9" t="s">
        <v>711</v>
      </c>
      <c r="Q339" s="9" t="s">
        <v>711</v>
      </c>
      <c r="R339" s="8"/>
      <c r="S339" s="8"/>
      <c r="T339" s="8"/>
      <c r="U339" s="8"/>
      <c r="V339" s="9" t="s">
        <v>49</v>
      </c>
      <c r="W339" s="9" t="s">
        <v>108</v>
      </c>
      <c r="X339" s="8"/>
      <c r="Y339" s="8"/>
      <c r="Z339" s="6">
        <v>0.10199999999999999</v>
      </c>
      <c r="AA339" s="8"/>
      <c r="AB339" s="6">
        <v>0.10199999999999999</v>
      </c>
      <c r="AC339" s="8"/>
      <c r="AD339" s="6">
        <v>0.10199999999999999</v>
      </c>
      <c r="AE339" s="6">
        <v>8.2000000000000003E-2</v>
      </c>
      <c r="AF339" s="8"/>
      <c r="AG339" s="6">
        <v>8.2000000000000003E-2</v>
      </c>
      <c r="AH339" s="7" t="s">
        <v>57</v>
      </c>
      <c r="AI339" s="6" t="s">
        <v>49</v>
      </c>
      <c r="AJ339" s="6" t="s">
        <v>49</v>
      </c>
      <c r="AK339" s="6" t="s">
        <v>49</v>
      </c>
      <c r="AL339" s="9" t="s">
        <v>49</v>
      </c>
      <c r="AM339" s="9" t="s">
        <v>122</v>
      </c>
      <c r="AN339" s="6" t="s">
        <v>49</v>
      </c>
      <c r="AO339" s="9" t="s">
        <v>122</v>
      </c>
      <c r="AP339" s="11">
        <v>23.458220000000001</v>
      </c>
      <c r="AQ339" s="11">
        <v>40082.81</v>
      </c>
      <c r="AR339" s="11">
        <v>40082.811666666668</v>
      </c>
      <c r="AS339" s="11">
        <v>147.9939</v>
      </c>
      <c r="AT339" s="11">
        <v>23.457999999999998</v>
      </c>
      <c r="AU339" s="11">
        <v>102</v>
      </c>
      <c r="AV339" s="11" t="s">
        <v>57</v>
      </c>
      <c r="AW339" t="s">
        <v>306</v>
      </c>
    </row>
    <row r="340" spans="1:49" ht="14.5" hidden="1">
      <c r="A340" s="6">
        <v>339</v>
      </c>
      <c r="B340" s="7" t="s">
        <v>712</v>
      </c>
      <c r="C340" s="7" t="s">
        <v>49</v>
      </c>
      <c r="D340" s="6">
        <v>12521</v>
      </c>
      <c r="E340" s="6" t="s">
        <v>49</v>
      </c>
      <c r="F340" s="12"/>
      <c r="G340" s="8"/>
      <c r="H340" s="7" t="s">
        <v>49</v>
      </c>
      <c r="I340" s="7"/>
      <c r="J340" s="6" t="s">
        <v>49</v>
      </c>
      <c r="K340" s="9" t="s">
        <v>49</v>
      </c>
      <c r="L340" s="9" t="s">
        <v>49</v>
      </c>
      <c r="M340" s="12"/>
      <c r="N340" s="10">
        <v>42795</v>
      </c>
      <c r="O340" s="10">
        <v>44651</v>
      </c>
      <c r="P340" s="9" t="s">
        <v>49</v>
      </c>
      <c r="Q340" s="9" t="s">
        <v>49</v>
      </c>
      <c r="R340" s="12"/>
      <c r="S340" s="12"/>
      <c r="T340" s="12"/>
      <c r="U340" s="12"/>
      <c r="V340" s="9" t="s">
        <v>49</v>
      </c>
      <c r="W340" s="9" t="s">
        <v>49</v>
      </c>
      <c r="X340" s="8"/>
      <c r="Y340" s="8"/>
      <c r="Z340" s="12"/>
      <c r="AA340" s="8"/>
      <c r="AB340" s="12"/>
      <c r="AC340" s="12"/>
      <c r="AD340" s="12"/>
      <c r="AE340" s="12"/>
      <c r="AF340" s="8"/>
      <c r="AG340" s="12"/>
      <c r="AH340" s="7" t="s">
        <v>51</v>
      </c>
      <c r="AI340" s="6" t="s">
        <v>71</v>
      </c>
      <c r="AJ340" s="6" t="s">
        <v>49</v>
      </c>
      <c r="AK340" s="6" t="s">
        <v>118</v>
      </c>
      <c r="AL340" s="9" t="s">
        <v>119</v>
      </c>
      <c r="AM340" s="9" t="s">
        <v>49</v>
      </c>
      <c r="AN340" s="6" t="s">
        <v>96</v>
      </c>
      <c r="AO340" s="9" t="s">
        <v>49</v>
      </c>
      <c r="AP340" s="11">
        <v>7248.8885899999996</v>
      </c>
      <c r="AQ340" s="11">
        <v>0</v>
      </c>
      <c r="AR340" s="11">
        <v>0</v>
      </c>
      <c r="AS340" s="11">
        <v>41681.266040000002</v>
      </c>
      <c r="AT340" s="11">
        <v>50825.983</v>
      </c>
      <c r="AU340" s="11">
        <v>0</v>
      </c>
      <c r="AV340" s="11">
        <v>0</v>
      </c>
    </row>
    <row r="341" spans="1:49" ht="14.5" hidden="1">
      <c r="A341" s="6">
        <v>341</v>
      </c>
      <c r="B341" s="7" t="s">
        <v>713</v>
      </c>
      <c r="C341" s="7" t="s">
        <v>569</v>
      </c>
      <c r="D341" s="12"/>
      <c r="E341" s="6" t="s">
        <v>714</v>
      </c>
      <c r="F341" s="6">
        <v>82882</v>
      </c>
      <c r="G341" s="8"/>
      <c r="H341" s="7" t="s">
        <v>49</v>
      </c>
      <c r="I341" s="7"/>
      <c r="J341" s="6" t="s">
        <v>49</v>
      </c>
      <c r="K341" s="9" t="s">
        <v>49</v>
      </c>
      <c r="L341" s="9" t="s">
        <v>73</v>
      </c>
      <c r="M341" s="28">
        <v>178</v>
      </c>
      <c r="N341" s="8"/>
      <c r="O341" s="12"/>
      <c r="P341" s="9" t="s">
        <v>713</v>
      </c>
      <c r="Q341" s="9" t="s">
        <v>715</v>
      </c>
      <c r="R341" s="8"/>
      <c r="S341" s="8"/>
      <c r="T341" s="8"/>
      <c r="U341" s="8"/>
      <c r="V341" s="9" t="s">
        <v>49</v>
      </c>
      <c r="W341" s="9" t="s">
        <v>108</v>
      </c>
      <c r="X341" s="8"/>
      <c r="Y341" s="8"/>
      <c r="Z341" s="8"/>
      <c r="AA341" s="8"/>
      <c r="AB341" s="8"/>
      <c r="AC341" s="8"/>
      <c r="AD341" s="8"/>
      <c r="AE341" s="8"/>
      <c r="AF341" s="8"/>
      <c r="AG341" s="8"/>
      <c r="AH341" s="7" t="s">
        <v>49</v>
      </c>
      <c r="AI341" s="6" t="s">
        <v>49</v>
      </c>
      <c r="AJ341" s="6" t="s">
        <v>49</v>
      </c>
      <c r="AK341" s="6" t="s">
        <v>49</v>
      </c>
      <c r="AL341" s="9" t="s">
        <v>49</v>
      </c>
      <c r="AM341" s="9" t="s">
        <v>49</v>
      </c>
      <c r="AN341" s="6" t="s">
        <v>49</v>
      </c>
      <c r="AO341" s="9" t="s">
        <v>122</v>
      </c>
      <c r="AP341" s="11">
        <v>3.7844000000000002</v>
      </c>
      <c r="AQ341" s="11">
        <v>17190.810000000001</v>
      </c>
      <c r="AR341" s="11">
        <v>17190.802083333336</v>
      </c>
      <c r="AS341" s="11">
        <v>3.7844000000000002</v>
      </c>
      <c r="AT341" s="11">
        <v>3.7839999999999998</v>
      </c>
      <c r="AU341" s="11">
        <v>0.22</v>
      </c>
      <c r="AV341" s="11" t="s">
        <v>57</v>
      </c>
    </row>
    <row r="342" spans="1:49" ht="14.5">
      <c r="A342" s="6">
        <v>342</v>
      </c>
      <c r="B342" s="7" t="s">
        <v>716</v>
      </c>
      <c r="C342" s="7" t="s">
        <v>569</v>
      </c>
      <c r="D342" s="12"/>
      <c r="E342" s="6" t="s">
        <v>104</v>
      </c>
      <c r="F342" s="6">
        <v>87072</v>
      </c>
      <c r="G342" s="8"/>
      <c r="H342" s="7" t="s">
        <v>49</v>
      </c>
      <c r="I342" s="7"/>
      <c r="J342" s="6" t="s">
        <v>75</v>
      </c>
      <c r="K342" s="9" t="s">
        <v>106</v>
      </c>
      <c r="L342" s="9" t="s">
        <v>73</v>
      </c>
      <c r="M342" s="28">
        <v>83</v>
      </c>
      <c r="N342" s="12"/>
      <c r="O342" s="12"/>
      <c r="P342" s="9" t="s">
        <v>716</v>
      </c>
      <c r="Q342" s="9" t="s">
        <v>717</v>
      </c>
      <c r="R342" s="8"/>
      <c r="S342" s="8"/>
      <c r="T342" s="8"/>
      <c r="U342" s="8"/>
      <c r="V342" s="9" t="s">
        <v>49</v>
      </c>
      <c r="W342" s="9" t="s">
        <v>108</v>
      </c>
      <c r="X342" s="8"/>
      <c r="Y342" s="8"/>
      <c r="Z342" s="6">
        <v>8.3000000000000004E-2</v>
      </c>
      <c r="AA342" s="8"/>
      <c r="AB342" s="6">
        <v>8.3000000000000004E-2</v>
      </c>
      <c r="AC342" s="8"/>
      <c r="AD342" s="6">
        <v>8.3000000000000004E-2</v>
      </c>
      <c r="AE342" s="6">
        <v>6.7000000000000004E-2</v>
      </c>
      <c r="AF342" s="8"/>
      <c r="AG342" s="6">
        <v>6.7000000000000004E-2</v>
      </c>
      <c r="AH342" s="7" t="s">
        <v>49</v>
      </c>
      <c r="AI342" s="6" t="s">
        <v>49</v>
      </c>
      <c r="AJ342" s="6" t="s">
        <v>49</v>
      </c>
      <c r="AK342" s="6" t="s">
        <v>49</v>
      </c>
      <c r="AL342" s="9" t="s">
        <v>49</v>
      </c>
      <c r="AM342" s="9" t="s">
        <v>49</v>
      </c>
      <c r="AN342" s="6" t="s">
        <v>49</v>
      </c>
      <c r="AO342" s="9" t="s">
        <v>49</v>
      </c>
      <c r="AP342" s="11">
        <v>0</v>
      </c>
      <c r="AQ342" s="11">
        <v>0</v>
      </c>
      <c r="AR342" s="11">
        <v>0</v>
      </c>
      <c r="AS342" s="11">
        <v>0</v>
      </c>
      <c r="AT342" s="11">
        <v>0</v>
      </c>
      <c r="AU342" s="11">
        <v>0</v>
      </c>
      <c r="AV342" s="11">
        <v>0</v>
      </c>
    </row>
    <row r="343" spans="1:49" ht="14.5" hidden="1">
      <c r="A343" s="6">
        <v>343</v>
      </c>
      <c r="B343" s="7" t="s">
        <v>718</v>
      </c>
      <c r="C343" s="7" t="s">
        <v>569</v>
      </c>
      <c r="D343" s="6">
        <v>15586</v>
      </c>
      <c r="E343" s="6" t="s">
        <v>49</v>
      </c>
      <c r="F343" s="8"/>
      <c r="G343" s="8"/>
      <c r="H343" s="7" t="s">
        <v>70</v>
      </c>
      <c r="I343" s="7"/>
      <c r="J343" s="6" t="s">
        <v>49</v>
      </c>
      <c r="K343" s="9" t="s">
        <v>49</v>
      </c>
      <c r="L343" s="9" t="s">
        <v>49</v>
      </c>
      <c r="M343" s="8"/>
      <c r="N343" s="12"/>
      <c r="O343" s="10">
        <v>44741</v>
      </c>
      <c r="P343" s="9" t="s">
        <v>49</v>
      </c>
      <c r="Q343" s="9" t="s">
        <v>49</v>
      </c>
      <c r="R343" s="8"/>
      <c r="S343" s="8"/>
      <c r="T343" s="8"/>
      <c r="U343" s="8"/>
      <c r="V343" s="9" t="s">
        <v>49</v>
      </c>
      <c r="W343" s="9" t="s">
        <v>49</v>
      </c>
      <c r="X343" s="8"/>
      <c r="Y343" s="8"/>
      <c r="Z343" s="8"/>
      <c r="AA343" s="8"/>
      <c r="AB343" s="8"/>
      <c r="AC343" s="8"/>
      <c r="AD343" s="8"/>
      <c r="AE343" s="8"/>
      <c r="AF343" s="8"/>
      <c r="AG343" s="8"/>
      <c r="AH343" s="7" t="s">
        <v>57</v>
      </c>
      <c r="AI343" s="6" t="s">
        <v>71</v>
      </c>
      <c r="AJ343" s="6" t="s">
        <v>49</v>
      </c>
      <c r="AK343" s="6" t="s">
        <v>49</v>
      </c>
      <c r="AL343" s="9" t="s">
        <v>52</v>
      </c>
      <c r="AM343" s="9" t="s">
        <v>49</v>
      </c>
      <c r="AN343" s="6" t="s">
        <v>73</v>
      </c>
      <c r="AO343" s="9" t="s">
        <v>49</v>
      </c>
      <c r="AP343" s="11">
        <v>7248.8885899999996</v>
      </c>
      <c r="AQ343" s="11">
        <v>0</v>
      </c>
      <c r="AR343" s="11">
        <v>0</v>
      </c>
      <c r="AS343" s="11">
        <v>41681.266040000002</v>
      </c>
      <c r="AT343" s="11">
        <v>50825.983</v>
      </c>
      <c r="AU343" s="11"/>
      <c r="AV343" s="11">
        <v>0</v>
      </c>
    </row>
    <row r="344" spans="1:49" ht="14.5">
      <c r="A344" s="6">
        <v>344</v>
      </c>
      <c r="B344" s="7" t="s">
        <v>718</v>
      </c>
      <c r="C344" s="7" t="s">
        <v>569</v>
      </c>
      <c r="D344" s="6">
        <v>15586</v>
      </c>
      <c r="E344" s="6" t="s">
        <v>719</v>
      </c>
      <c r="F344" s="6">
        <v>86328</v>
      </c>
      <c r="G344" s="8"/>
      <c r="H344" s="7" t="s">
        <v>70</v>
      </c>
      <c r="I344" s="7"/>
      <c r="J344" s="6" t="s">
        <v>89</v>
      </c>
      <c r="K344" s="9" t="s">
        <v>75</v>
      </c>
      <c r="L344" s="9" t="s">
        <v>73</v>
      </c>
      <c r="M344" s="28">
        <v>296</v>
      </c>
      <c r="N344" s="12"/>
      <c r="O344" s="10">
        <v>44741</v>
      </c>
      <c r="P344" s="9" t="s">
        <v>718</v>
      </c>
      <c r="Q344" s="9" t="s">
        <v>720</v>
      </c>
      <c r="R344" s="6">
        <v>5.92</v>
      </c>
      <c r="S344" s="6">
        <v>5.4</v>
      </c>
      <c r="T344" s="6">
        <v>17</v>
      </c>
      <c r="U344" s="6">
        <v>3.8</v>
      </c>
      <c r="V344" s="9" t="s">
        <v>269</v>
      </c>
      <c r="W344" s="9" t="s">
        <v>108</v>
      </c>
      <c r="X344" s="8"/>
      <c r="Y344" s="8"/>
      <c r="Z344" s="6">
        <v>0.29599999999999999</v>
      </c>
      <c r="AA344" s="8"/>
      <c r="AB344" s="6">
        <v>0.29599999999999999</v>
      </c>
      <c r="AC344" s="8"/>
      <c r="AD344" s="6">
        <v>0.29599999999999999</v>
      </c>
      <c r="AE344" s="6">
        <v>0.23699999999999999</v>
      </c>
      <c r="AF344" s="8"/>
      <c r="AG344" s="6">
        <v>0.23699999999999999</v>
      </c>
      <c r="AH344" s="7" t="s">
        <v>57</v>
      </c>
      <c r="AI344" s="6" t="s">
        <v>49</v>
      </c>
      <c r="AJ344" s="6" t="s">
        <v>49</v>
      </c>
      <c r="AK344" s="6" t="s">
        <v>49</v>
      </c>
      <c r="AL344" s="9" t="s">
        <v>49</v>
      </c>
      <c r="AM344" s="9" t="s">
        <v>122</v>
      </c>
      <c r="AN344" s="6" t="s">
        <v>73</v>
      </c>
      <c r="AO344" s="9" t="s">
        <v>122</v>
      </c>
      <c r="AP344" s="11">
        <v>0.66179999999999994</v>
      </c>
      <c r="AQ344" s="11">
        <v>72627.45</v>
      </c>
      <c r="AR344" s="11">
        <v>72627.447083333333</v>
      </c>
      <c r="AS344" s="11">
        <v>337.00524000000001</v>
      </c>
      <c r="AT344" s="11">
        <v>0.66200000000000003</v>
      </c>
      <c r="AU344" s="11">
        <v>0</v>
      </c>
      <c r="AV344" s="11" t="s">
        <v>57</v>
      </c>
    </row>
    <row r="345" spans="1:49" ht="14.5" hidden="1">
      <c r="A345" s="6">
        <v>345</v>
      </c>
      <c r="B345" s="7" t="s">
        <v>721</v>
      </c>
      <c r="C345" s="7" t="s">
        <v>49</v>
      </c>
      <c r="D345" s="6">
        <v>15286</v>
      </c>
      <c r="E345" s="6" t="s">
        <v>49</v>
      </c>
      <c r="F345" s="8"/>
      <c r="G345" s="8"/>
      <c r="H345" s="7" t="s">
        <v>49</v>
      </c>
      <c r="I345" s="7"/>
      <c r="J345" s="6" t="s">
        <v>49</v>
      </c>
      <c r="K345" s="9" t="s">
        <v>49</v>
      </c>
      <c r="L345" s="9" t="s">
        <v>49</v>
      </c>
      <c r="M345" s="8"/>
      <c r="N345" s="10">
        <v>42887</v>
      </c>
      <c r="O345" s="10">
        <v>43497</v>
      </c>
      <c r="P345" s="9" t="s">
        <v>49</v>
      </c>
      <c r="Q345" s="9" t="s">
        <v>49</v>
      </c>
      <c r="R345" s="8"/>
      <c r="S345" s="8"/>
      <c r="T345" s="8"/>
      <c r="U345" s="8"/>
      <c r="V345" s="9" t="s">
        <v>49</v>
      </c>
      <c r="W345" s="9" t="s">
        <v>49</v>
      </c>
      <c r="X345" s="8"/>
      <c r="Y345" s="8"/>
      <c r="Z345" s="8"/>
      <c r="AA345" s="8"/>
      <c r="AB345" s="8"/>
      <c r="AC345" s="8"/>
      <c r="AD345" s="8"/>
      <c r="AE345" s="8"/>
      <c r="AF345" s="8"/>
      <c r="AG345" s="8"/>
      <c r="AH345" s="7" t="s">
        <v>57</v>
      </c>
      <c r="AI345" s="6" t="s">
        <v>71</v>
      </c>
      <c r="AJ345" s="6" t="s">
        <v>49</v>
      </c>
      <c r="AK345" s="6" t="s">
        <v>49</v>
      </c>
      <c r="AL345" s="9" t="s">
        <v>603</v>
      </c>
      <c r="AM345" s="9" t="s">
        <v>49</v>
      </c>
      <c r="AN345" s="6" t="s">
        <v>96</v>
      </c>
      <c r="AO345" s="9" t="s">
        <v>49</v>
      </c>
      <c r="AP345" s="11">
        <v>7248.8885899999996</v>
      </c>
      <c r="AQ345" s="11">
        <v>0</v>
      </c>
      <c r="AR345" s="11">
        <v>0</v>
      </c>
      <c r="AS345" s="11">
        <v>41681.266040000002</v>
      </c>
      <c r="AT345" s="11">
        <v>50825.983</v>
      </c>
      <c r="AU345" s="11">
        <v>0</v>
      </c>
      <c r="AV345" s="11">
        <v>0</v>
      </c>
    </row>
    <row r="346" spans="1:49" ht="14.5" hidden="1">
      <c r="A346" s="6">
        <v>346</v>
      </c>
      <c r="B346" s="7" t="s">
        <v>721</v>
      </c>
      <c r="C346" s="7" t="s">
        <v>49</v>
      </c>
      <c r="D346" s="6">
        <v>15286</v>
      </c>
      <c r="E346" s="6" t="s">
        <v>722</v>
      </c>
      <c r="F346" s="8"/>
      <c r="G346" s="8"/>
      <c r="H346" s="7" t="s">
        <v>49</v>
      </c>
      <c r="I346" s="7"/>
      <c r="J346" s="6" t="s">
        <v>49</v>
      </c>
      <c r="K346" s="9" t="s">
        <v>49</v>
      </c>
      <c r="L346" s="9" t="s">
        <v>49</v>
      </c>
      <c r="M346" s="8"/>
      <c r="N346" s="10">
        <v>42887</v>
      </c>
      <c r="O346" s="10">
        <v>43497</v>
      </c>
      <c r="P346" s="9" t="s">
        <v>49</v>
      </c>
      <c r="Q346" s="9" t="s">
        <v>49</v>
      </c>
      <c r="R346" s="8"/>
      <c r="S346" s="8"/>
      <c r="T346" s="8"/>
      <c r="U346" s="8"/>
      <c r="V346" s="9" t="s">
        <v>49</v>
      </c>
      <c r="W346" s="9" t="s">
        <v>49</v>
      </c>
      <c r="X346" s="8"/>
      <c r="Y346" s="8"/>
      <c r="Z346" s="8"/>
      <c r="AA346" s="8"/>
      <c r="AB346" s="8"/>
      <c r="AC346" s="8"/>
      <c r="AD346" s="8"/>
      <c r="AE346" s="8"/>
      <c r="AF346" s="8"/>
      <c r="AG346" s="8"/>
      <c r="AH346" s="7" t="s">
        <v>57</v>
      </c>
      <c r="AI346" s="6" t="s">
        <v>49</v>
      </c>
      <c r="AJ346" s="6" t="s">
        <v>49</v>
      </c>
      <c r="AK346" s="6" t="s">
        <v>49</v>
      </c>
      <c r="AL346" s="9" t="s">
        <v>49</v>
      </c>
      <c r="AM346" s="9" t="s">
        <v>603</v>
      </c>
      <c r="AN346" s="6" t="s">
        <v>49</v>
      </c>
      <c r="AO346" s="9" t="s">
        <v>603</v>
      </c>
      <c r="AP346" s="11">
        <v>0</v>
      </c>
      <c r="AQ346" s="11">
        <v>0</v>
      </c>
      <c r="AR346" s="11">
        <v>0</v>
      </c>
      <c r="AS346" s="11">
        <v>0</v>
      </c>
      <c r="AT346" s="11">
        <v>0</v>
      </c>
      <c r="AU346" s="11">
        <v>0</v>
      </c>
      <c r="AV346" s="11" t="s">
        <v>57</v>
      </c>
    </row>
    <row r="347" spans="1:49" ht="14.5" hidden="1">
      <c r="A347" s="6">
        <v>347</v>
      </c>
      <c r="B347" s="7" t="s">
        <v>723</v>
      </c>
      <c r="C347" s="7" t="s">
        <v>49</v>
      </c>
      <c r="D347" s="6">
        <v>12571</v>
      </c>
      <c r="E347" s="6" t="s">
        <v>724</v>
      </c>
      <c r="F347" s="8"/>
      <c r="G347" s="8"/>
      <c r="H347" s="7" t="s">
        <v>49</v>
      </c>
      <c r="I347" s="7"/>
      <c r="J347" s="6" t="s">
        <v>49</v>
      </c>
      <c r="K347" s="9" t="s">
        <v>49</v>
      </c>
      <c r="L347" s="9" t="s">
        <v>49</v>
      </c>
      <c r="M347" s="8"/>
      <c r="N347" s="10">
        <v>42927</v>
      </c>
      <c r="O347" s="10">
        <v>43766</v>
      </c>
      <c r="P347" s="9" t="s">
        <v>49</v>
      </c>
      <c r="Q347" s="9" t="s">
        <v>49</v>
      </c>
      <c r="R347" s="8"/>
      <c r="S347" s="8"/>
      <c r="T347" s="8"/>
      <c r="U347" s="8"/>
      <c r="V347" s="9" t="s">
        <v>49</v>
      </c>
      <c r="W347" s="9" t="s">
        <v>49</v>
      </c>
      <c r="X347" s="8"/>
      <c r="Y347" s="8"/>
      <c r="Z347" s="8"/>
      <c r="AA347" s="8"/>
      <c r="AB347" s="8"/>
      <c r="AC347" s="8"/>
      <c r="AD347" s="8"/>
      <c r="AE347" s="8"/>
      <c r="AF347" s="8"/>
      <c r="AG347" s="8"/>
      <c r="AH347" s="7" t="s">
        <v>51</v>
      </c>
      <c r="AI347" s="6" t="s">
        <v>49</v>
      </c>
      <c r="AJ347" s="6" t="s">
        <v>49</v>
      </c>
      <c r="AK347" s="6" t="s">
        <v>49</v>
      </c>
      <c r="AL347" s="9" t="s">
        <v>49</v>
      </c>
      <c r="AM347" s="9" t="s">
        <v>122</v>
      </c>
      <c r="AN347" s="6" t="s">
        <v>49</v>
      </c>
      <c r="AO347" s="9" t="s">
        <v>300</v>
      </c>
      <c r="AP347" s="11">
        <v>0</v>
      </c>
      <c r="AQ347" s="11">
        <v>0</v>
      </c>
      <c r="AR347" s="11">
        <v>0</v>
      </c>
      <c r="AS347" s="11">
        <v>0</v>
      </c>
      <c r="AT347" s="11">
        <v>0</v>
      </c>
      <c r="AU347" s="11">
        <v>0</v>
      </c>
      <c r="AV347" s="11" t="s">
        <v>51</v>
      </c>
    </row>
    <row r="348" spans="1:49" ht="14.5" hidden="1">
      <c r="A348" s="6">
        <v>348</v>
      </c>
      <c r="B348" s="7" t="s">
        <v>725</v>
      </c>
      <c r="C348" s="7" t="s">
        <v>49</v>
      </c>
      <c r="D348" s="6">
        <v>12571</v>
      </c>
      <c r="E348" s="6" t="s">
        <v>49</v>
      </c>
      <c r="F348" s="8"/>
      <c r="G348" s="8"/>
      <c r="H348" s="7" t="s">
        <v>49</v>
      </c>
      <c r="I348" s="7"/>
      <c r="J348" s="6" t="s">
        <v>49</v>
      </c>
      <c r="K348" s="9" t="s">
        <v>49</v>
      </c>
      <c r="L348" s="9" t="s">
        <v>49</v>
      </c>
      <c r="M348" s="8"/>
      <c r="N348" s="10">
        <v>42927</v>
      </c>
      <c r="O348" s="10">
        <v>43766</v>
      </c>
      <c r="P348" s="9" t="s">
        <v>49</v>
      </c>
      <c r="Q348" s="9" t="s">
        <v>49</v>
      </c>
      <c r="R348" s="8"/>
      <c r="S348" s="8"/>
      <c r="T348" s="8"/>
      <c r="U348" s="8"/>
      <c r="V348" s="9" t="s">
        <v>49</v>
      </c>
      <c r="W348" s="9" t="s">
        <v>49</v>
      </c>
      <c r="X348" s="8"/>
      <c r="Y348" s="8"/>
      <c r="Z348" s="8"/>
      <c r="AA348" s="8"/>
      <c r="AB348" s="8"/>
      <c r="AC348" s="8"/>
      <c r="AD348" s="8"/>
      <c r="AE348" s="8"/>
      <c r="AF348" s="8"/>
      <c r="AG348" s="8"/>
      <c r="AH348" s="7" t="s">
        <v>51</v>
      </c>
      <c r="AI348" s="6" t="s">
        <v>71</v>
      </c>
      <c r="AJ348" s="6" t="s">
        <v>49</v>
      </c>
      <c r="AK348" s="6" t="s">
        <v>118</v>
      </c>
      <c r="AL348" s="9" t="s">
        <v>119</v>
      </c>
      <c r="AM348" s="9" t="s">
        <v>49</v>
      </c>
      <c r="AN348" s="6" t="s">
        <v>96</v>
      </c>
      <c r="AO348" s="9" t="s">
        <v>49</v>
      </c>
      <c r="AP348" s="11">
        <v>7248.8885899999996</v>
      </c>
      <c r="AQ348" s="11">
        <v>0</v>
      </c>
      <c r="AR348" s="11">
        <v>0</v>
      </c>
      <c r="AS348" s="11">
        <v>41681.266040000002</v>
      </c>
      <c r="AT348" s="11">
        <v>50825.983</v>
      </c>
      <c r="AU348" s="11">
        <v>0</v>
      </c>
      <c r="AV348" s="11">
        <v>0</v>
      </c>
    </row>
    <row r="349" spans="1:49" ht="14.5" hidden="1">
      <c r="A349" s="6">
        <v>349</v>
      </c>
      <c r="B349" s="7" t="s">
        <v>726</v>
      </c>
      <c r="C349" s="7" t="s">
        <v>49</v>
      </c>
      <c r="D349" s="6">
        <v>15644</v>
      </c>
      <c r="E349" s="6" t="s">
        <v>49</v>
      </c>
      <c r="F349" s="8"/>
      <c r="G349" s="8"/>
      <c r="H349" s="7" t="s">
        <v>49</v>
      </c>
      <c r="I349" s="7"/>
      <c r="J349" s="6" t="s">
        <v>49</v>
      </c>
      <c r="K349" s="9" t="s">
        <v>49</v>
      </c>
      <c r="L349" s="9" t="s">
        <v>49</v>
      </c>
      <c r="M349" s="8"/>
      <c r="N349" s="12"/>
      <c r="O349" s="12"/>
      <c r="P349" s="9" t="s">
        <v>49</v>
      </c>
      <c r="Q349" s="9" t="s">
        <v>49</v>
      </c>
      <c r="R349" s="8"/>
      <c r="S349" s="8"/>
      <c r="T349" s="8"/>
      <c r="U349" s="8"/>
      <c r="V349" s="9" t="s">
        <v>49</v>
      </c>
      <c r="W349" s="9" t="s">
        <v>49</v>
      </c>
      <c r="X349" s="8"/>
      <c r="Y349" s="8"/>
      <c r="Z349" s="8"/>
      <c r="AA349" s="8"/>
      <c r="AB349" s="8"/>
      <c r="AC349" s="8"/>
      <c r="AD349" s="8"/>
      <c r="AE349" s="8"/>
      <c r="AF349" s="8"/>
      <c r="AG349" s="8"/>
      <c r="AH349" s="7" t="s">
        <v>79</v>
      </c>
      <c r="AI349" s="6" t="s">
        <v>110</v>
      </c>
      <c r="AJ349" s="6" t="s">
        <v>49</v>
      </c>
      <c r="AK349" s="6" t="s">
        <v>49</v>
      </c>
      <c r="AL349" s="9" t="s">
        <v>111</v>
      </c>
      <c r="AM349" s="9" t="s">
        <v>49</v>
      </c>
      <c r="AN349" s="6" t="s">
        <v>82</v>
      </c>
      <c r="AO349" s="9" t="s">
        <v>49</v>
      </c>
      <c r="AP349" s="11">
        <v>7248.8885899999996</v>
      </c>
      <c r="AQ349" s="11">
        <v>0</v>
      </c>
      <c r="AR349" s="11">
        <v>0</v>
      </c>
      <c r="AS349" s="11">
        <v>41681.266040000002</v>
      </c>
      <c r="AT349" s="11">
        <v>50825.983</v>
      </c>
      <c r="AU349" s="11">
        <v>0</v>
      </c>
      <c r="AV349" s="11">
        <v>0</v>
      </c>
    </row>
    <row r="350" spans="1:49" ht="14.5" hidden="1">
      <c r="A350" s="6">
        <v>350</v>
      </c>
      <c r="B350" s="7" t="s">
        <v>727</v>
      </c>
      <c r="C350" s="7" t="s">
        <v>49</v>
      </c>
      <c r="D350" s="6">
        <v>15644</v>
      </c>
      <c r="E350" s="6" t="s">
        <v>49</v>
      </c>
      <c r="F350" s="8"/>
      <c r="G350" s="8"/>
      <c r="H350" s="7" t="s">
        <v>49</v>
      </c>
      <c r="I350" s="7"/>
      <c r="J350" s="6" t="s">
        <v>49</v>
      </c>
      <c r="K350" s="9" t="s">
        <v>49</v>
      </c>
      <c r="L350" s="9" t="s">
        <v>49</v>
      </c>
      <c r="M350" s="8"/>
      <c r="N350" s="12"/>
      <c r="O350" s="12"/>
      <c r="P350" s="9" t="s">
        <v>49</v>
      </c>
      <c r="Q350" s="9" t="s">
        <v>49</v>
      </c>
      <c r="R350" s="8"/>
      <c r="S350" s="8"/>
      <c r="T350" s="8"/>
      <c r="U350" s="8"/>
      <c r="V350" s="9" t="s">
        <v>49</v>
      </c>
      <c r="W350" s="9" t="s">
        <v>49</v>
      </c>
      <c r="X350" s="8"/>
      <c r="Y350" s="8"/>
      <c r="Z350" s="8"/>
      <c r="AA350" s="8"/>
      <c r="AB350" s="8"/>
      <c r="AC350" s="8"/>
      <c r="AD350" s="8"/>
      <c r="AE350" s="8"/>
      <c r="AF350" s="8"/>
      <c r="AG350" s="8"/>
      <c r="AH350" s="7" t="s">
        <v>79</v>
      </c>
      <c r="AI350" s="6" t="s">
        <v>110</v>
      </c>
      <c r="AJ350" s="6" t="s">
        <v>49</v>
      </c>
      <c r="AK350" s="6" t="s">
        <v>49</v>
      </c>
      <c r="AL350" s="9" t="s">
        <v>111</v>
      </c>
      <c r="AM350" s="9" t="s">
        <v>49</v>
      </c>
      <c r="AN350" s="6" t="s">
        <v>82</v>
      </c>
      <c r="AO350" s="9" t="s">
        <v>49</v>
      </c>
      <c r="AP350" s="11">
        <v>7248.8885899999996</v>
      </c>
      <c r="AQ350" s="11">
        <v>0</v>
      </c>
      <c r="AR350" s="11">
        <v>0</v>
      </c>
      <c r="AS350" s="11">
        <v>41681.266040000002</v>
      </c>
      <c r="AT350" s="11">
        <v>50825.983</v>
      </c>
      <c r="AU350" s="11">
        <v>0</v>
      </c>
      <c r="AV350" s="11">
        <v>0</v>
      </c>
    </row>
    <row r="351" spans="1:49" ht="14.5" hidden="1">
      <c r="A351" s="6">
        <v>351</v>
      </c>
      <c r="B351" s="7" t="s">
        <v>728</v>
      </c>
      <c r="C351" s="7" t="s">
        <v>49</v>
      </c>
      <c r="D351" s="6">
        <v>15644</v>
      </c>
      <c r="E351" s="6" t="s">
        <v>49</v>
      </c>
      <c r="F351" s="8"/>
      <c r="G351" s="8"/>
      <c r="H351" s="7" t="s">
        <v>49</v>
      </c>
      <c r="I351" s="7"/>
      <c r="J351" s="6" t="s">
        <v>49</v>
      </c>
      <c r="K351" s="9" t="s">
        <v>49</v>
      </c>
      <c r="L351" s="9" t="s">
        <v>49</v>
      </c>
      <c r="M351" s="8"/>
      <c r="N351" s="8"/>
      <c r="O351" s="8"/>
      <c r="P351" s="9" t="s">
        <v>49</v>
      </c>
      <c r="Q351" s="9" t="s">
        <v>49</v>
      </c>
      <c r="R351" s="8"/>
      <c r="S351" s="8"/>
      <c r="T351" s="8"/>
      <c r="U351" s="8"/>
      <c r="V351" s="9" t="s">
        <v>49</v>
      </c>
      <c r="W351" s="9" t="s">
        <v>49</v>
      </c>
      <c r="X351" s="8"/>
      <c r="Y351" s="8"/>
      <c r="Z351" s="8"/>
      <c r="AA351" s="8"/>
      <c r="AB351" s="8"/>
      <c r="AC351" s="8"/>
      <c r="AD351" s="8"/>
      <c r="AE351" s="8"/>
      <c r="AF351" s="8"/>
      <c r="AG351" s="8"/>
      <c r="AH351" s="7" t="s">
        <v>79</v>
      </c>
      <c r="AI351" s="6" t="s">
        <v>110</v>
      </c>
      <c r="AJ351" s="6" t="s">
        <v>49</v>
      </c>
      <c r="AK351" s="6" t="s">
        <v>49</v>
      </c>
      <c r="AL351" s="9" t="s">
        <v>111</v>
      </c>
      <c r="AM351" s="9" t="s">
        <v>49</v>
      </c>
      <c r="AN351" s="6" t="s">
        <v>82</v>
      </c>
      <c r="AO351" s="9" t="s">
        <v>49</v>
      </c>
      <c r="AP351" s="11">
        <v>7248.8885899999996</v>
      </c>
      <c r="AQ351" s="11">
        <v>0</v>
      </c>
      <c r="AR351" s="11">
        <v>0</v>
      </c>
      <c r="AS351" s="11">
        <v>41681.266040000002</v>
      </c>
      <c r="AT351" s="11">
        <v>50825.983</v>
      </c>
      <c r="AU351" s="11">
        <v>0</v>
      </c>
      <c r="AV351" s="11">
        <v>0</v>
      </c>
    </row>
    <row r="352" spans="1:49" ht="14.5" hidden="1">
      <c r="A352" s="6">
        <v>352</v>
      </c>
      <c r="B352" s="7" t="s">
        <v>729</v>
      </c>
      <c r="C352" s="7" t="s">
        <v>49</v>
      </c>
      <c r="D352" s="6">
        <v>15063</v>
      </c>
      <c r="E352" s="6" t="s">
        <v>730</v>
      </c>
      <c r="F352" s="8"/>
      <c r="G352" s="8"/>
      <c r="H352" s="7" t="s">
        <v>49</v>
      </c>
      <c r="I352" s="7"/>
      <c r="J352" s="6" t="s">
        <v>49</v>
      </c>
      <c r="K352" s="9" t="s">
        <v>49</v>
      </c>
      <c r="L352" s="9" t="s">
        <v>49</v>
      </c>
      <c r="M352" s="8"/>
      <c r="N352" s="10">
        <v>43192</v>
      </c>
      <c r="O352" s="10">
        <v>43921</v>
      </c>
      <c r="P352" s="9" t="s">
        <v>49</v>
      </c>
      <c r="Q352" s="9" t="s">
        <v>49</v>
      </c>
      <c r="R352" s="8"/>
      <c r="S352" s="8"/>
      <c r="T352" s="8"/>
      <c r="U352" s="8"/>
      <c r="V352" s="9" t="s">
        <v>49</v>
      </c>
      <c r="W352" s="9" t="s">
        <v>49</v>
      </c>
      <c r="X352" s="8"/>
      <c r="Y352" s="8"/>
      <c r="Z352" s="8"/>
      <c r="AA352" s="8"/>
      <c r="AB352" s="8"/>
      <c r="AC352" s="8"/>
      <c r="AD352" s="8"/>
      <c r="AE352" s="8"/>
      <c r="AF352" s="8"/>
      <c r="AG352" s="8"/>
      <c r="AH352" s="7" t="s">
        <v>51</v>
      </c>
      <c r="AI352" s="6" t="s">
        <v>49</v>
      </c>
      <c r="AJ352" s="6" t="s">
        <v>49</v>
      </c>
      <c r="AK352" s="6" t="s">
        <v>49</v>
      </c>
      <c r="AL352" s="9" t="s">
        <v>49</v>
      </c>
      <c r="AM352" s="9" t="s">
        <v>380</v>
      </c>
      <c r="AN352" s="6" t="s">
        <v>49</v>
      </c>
      <c r="AO352" s="9" t="s">
        <v>222</v>
      </c>
      <c r="AP352" s="11">
        <v>0</v>
      </c>
      <c r="AQ352" s="11">
        <v>0</v>
      </c>
      <c r="AR352" s="11">
        <v>0</v>
      </c>
      <c r="AS352" s="11">
        <v>0</v>
      </c>
      <c r="AT352" s="11">
        <v>0</v>
      </c>
      <c r="AU352" s="11">
        <v>0</v>
      </c>
      <c r="AV352" s="11" t="s">
        <v>51</v>
      </c>
    </row>
    <row r="353" spans="1:48" ht="14.5" hidden="1">
      <c r="A353" s="6">
        <v>353</v>
      </c>
      <c r="B353" s="7" t="s">
        <v>731</v>
      </c>
      <c r="C353" s="7" t="s">
        <v>49</v>
      </c>
      <c r="D353" s="6">
        <v>15062</v>
      </c>
      <c r="E353" s="6" t="s">
        <v>732</v>
      </c>
      <c r="F353" s="8"/>
      <c r="G353" s="8"/>
      <c r="H353" s="7" t="s">
        <v>49</v>
      </c>
      <c r="I353" s="7"/>
      <c r="J353" s="6" t="s">
        <v>49</v>
      </c>
      <c r="K353" s="9" t="s">
        <v>49</v>
      </c>
      <c r="L353" s="9" t="s">
        <v>49</v>
      </c>
      <c r="M353" s="8"/>
      <c r="N353" s="10">
        <v>43010</v>
      </c>
      <c r="O353" s="10">
        <v>44196</v>
      </c>
      <c r="P353" s="9" t="s">
        <v>49</v>
      </c>
      <c r="Q353" s="9" t="s">
        <v>49</v>
      </c>
      <c r="R353" s="8"/>
      <c r="S353" s="8"/>
      <c r="T353" s="8"/>
      <c r="U353" s="8"/>
      <c r="V353" s="9" t="s">
        <v>49</v>
      </c>
      <c r="W353" s="9" t="s">
        <v>49</v>
      </c>
      <c r="X353" s="8"/>
      <c r="Y353" s="8"/>
      <c r="Z353" s="8"/>
      <c r="AA353" s="8"/>
      <c r="AB353" s="8"/>
      <c r="AC353" s="8"/>
      <c r="AD353" s="8"/>
      <c r="AE353" s="8"/>
      <c r="AF353" s="8"/>
      <c r="AG353" s="8"/>
      <c r="AH353" s="7" t="s">
        <v>51</v>
      </c>
      <c r="AI353" s="6" t="s">
        <v>49</v>
      </c>
      <c r="AJ353" s="6" t="s">
        <v>49</v>
      </c>
      <c r="AK353" s="6" t="s">
        <v>49</v>
      </c>
      <c r="AL353" s="9" t="s">
        <v>49</v>
      </c>
      <c r="AM353" s="9" t="s">
        <v>545</v>
      </c>
      <c r="AN353" s="6" t="s">
        <v>49</v>
      </c>
      <c r="AO353" s="9" t="s">
        <v>545</v>
      </c>
      <c r="AP353" s="11">
        <v>0</v>
      </c>
      <c r="AQ353" s="11">
        <v>0</v>
      </c>
      <c r="AR353" s="11">
        <v>0</v>
      </c>
      <c r="AS353" s="11">
        <v>0</v>
      </c>
      <c r="AT353" s="11">
        <v>0</v>
      </c>
      <c r="AU353" s="11">
        <v>0</v>
      </c>
      <c r="AV353" s="11" t="s">
        <v>51</v>
      </c>
    </row>
    <row r="354" spans="1:48" ht="14.5" hidden="1">
      <c r="A354" s="6">
        <v>354</v>
      </c>
      <c r="B354" s="7" t="s">
        <v>733</v>
      </c>
      <c r="C354" s="7" t="s">
        <v>86</v>
      </c>
      <c r="D354" s="6">
        <v>15383</v>
      </c>
      <c r="E354" s="6" t="s">
        <v>734</v>
      </c>
      <c r="F354" s="6">
        <v>72239</v>
      </c>
      <c r="G354" s="8"/>
      <c r="H354" s="7" t="s">
        <v>88</v>
      </c>
      <c r="I354" s="7"/>
      <c r="J354" s="6" t="s">
        <v>75</v>
      </c>
      <c r="K354" s="9" t="s">
        <v>76</v>
      </c>
      <c r="L354" s="9" t="s">
        <v>73</v>
      </c>
      <c r="M354" s="14">
        <v>350</v>
      </c>
      <c r="N354" s="10">
        <v>43768</v>
      </c>
      <c r="O354" s="10">
        <v>44196</v>
      </c>
      <c r="P354" s="9" t="s">
        <v>735</v>
      </c>
      <c r="Q354" s="9" t="s">
        <v>736</v>
      </c>
      <c r="R354" s="6">
        <v>4.46</v>
      </c>
      <c r="S354" s="6">
        <v>10.3</v>
      </c>
      <c r="T354" s="6">
        <v>12.4</v>
      </c>
      <c r="U354" s="6">
        <v>2.6</v>
      </c>
      <c r="V354" s="9" t="s">
        <v>737</v>
      </c>
      <c r="W354" s="9" t="s">
        <v>108</v>
      </c>
      <c r="X354" s="8"/>
      <c r="Y354" s="8"/>
      <c r="Z354" s="6">
        <v>0.35</v>
      </c>
      <c r="AA354" s="8"/>
      <c r="AB354" s="6">
        <v>0.35</v>
      </c>
      <c r="AC354" s="6">
        <v>1.355</v>
      </c>
      <c r="AD354" s="6">
        <v>1.7050000000000001</v>
      </c>
      <c r="AE354" s="6">
        <v>0.28000000000000003</v>
      </c>
      <c r="AF354" s="8"/>
      <c r="AG354" s="6">
        <v>0.28000000000000003</v>
      </c>
      <c r="AH354" s="7" t="s">
        <v>51</v>
      </c>
      <c r="AI354" s="6" t="s">
        <v>49</v>
      </c>
      <c r="AJ354" s="6" t="s">
        <v>49</v>
      </c>
      <c r="AK354" s="6" t="s">
        <v>49</v>
      </c>
      <c r="AL354" s="9" t="s">
        <v>49</v>
      </c>
      <c r="AM354" s="9" t="s">
        <v>92</v>
      </c>
      <c r="AN354" s="6" t="s">
        <v>73</v>
      </c>
      <c r="AO354" s="9" t="s">
        <v>92</v>
      </c>
      <c r="AP354" s="11">
        <v>23.52927</v>
      </c>
      <c r="AQ354" s="11">
        <v>40162.21</v>
      </c>
      <c r="AR354" s="11">
        <v>40162.197916666672</v>
      </c>
      <c r="AS354" s="11">
        <v>365.91237999999998</v>
      </c>
      <c r="AT354" s="11">
        <v>353.82400000000001</v>
      </c>
      <c r="AU354" s="11">
        <v>0</v>
      </c>
      <c r="AV354" s="11" t="s">
        <v>51</v>
      </c>
    </row>
    <row r="355" spans="1:48" ht="14.5" hidden="1">
      <c r="A355" s="6">
        <v>355</v>
      </c>
      <c r="B355" s="7" t="s">
        <v>738</v>
      </c>
      <c r="C355" s="7" t="s">
        <v>49</v>
      </c>
      <c r="D355" s="6">
        <v>12525</v>
      </c>
      <c r="E355" s="6" t="s">
        <v>49</v>
      </c>
      <c r="F355" s="8"/>
      <c r="G355" s="8"/>
      <c r="H355" s="7" t="s">
        <v>49</v>
      </c>
      <c r="I355" s="7"/>
      <c r="J355" s="6" t="s">
        <v>49</v>
      </c>
      <c r="K355" s="9" t="s">
        <v>49</v>
      </c>
      <c r="L355" s="9" t="s">
        <v>49</v>
      </c>
      <c r="M355" s="8"/>
      <c r="N355" s="10">
        <v>42933</v>
      </c>
      <c r="O355" s="10">
        <v>43830</v>
      </c>
      <c r="P355" s="9" t="s">
        <v>49</v>
      </c>
      <c r="Q355" s="9" t="s">
        <v>49</v>
      </c>
      <c r="R355" s="8"/>
      <c r="S355" s="8"/>
      <c r="T355" s="8"/>
      <c r="U355" s="8"/>
      <c r="V355" s="9" t="s">
        <v>49</v>
      </c>
      <c r="W355" s="9" t="s">
        <v>49</v>
      </c>
      <c r="X355" s="8"/>
      <c r="Y355" s="8"/>
      <c r="Z355" s="8"/>
      <c r="AA355" s="8"/>
      <c r="AB355" s="8"/>
      <c r="AC355" s="8"/>
      <c r="AD355" s="8"/>
      <c r="AE355" s="8"/>
      <c r="AF355" s="8"/>
      <c r="AG355" s="8"/>
      <c r="AH355" s="7" t="s">
        <v>51</v>
      </c>
      <c r="AI355" s="6" t="s">
        <v>71</v>
      </c>
      <c r="AJ355" s="6" t="s">
        <v>49</v>
      </c>
      <c r="AK355" s="6" t="s">
        <v>118</v>
      </c>
      <c r="AL355" s="9" t="s">
        <v>274</v>
      </c>
      <c r="AM355" s="9" t="s">
        <v>49</v>
      </c>
      <c r="AN355" s="6" t="s">
        <v>82</v>
      </c>
      <c r="AO355" s="9" t="s">
        <v>49</v>
      </c>
      <c r="AP355" s="11">
        <v>7248.8885899999996</v>
      </c>
      <c r="AQ355" s="11">
        <v>0</v>
      </c>
      <c r="AR355" s="11">
        <v>0</v>
      </c>
      <c r="AS355" s="11">
        <v>41681.266040000002</v>
      </c>
      <c r="AT355" s="11">
        <v>50825.983</v>
      </c>
      <c r="AU355" s="11">
        <v>0</v>
      </c>
      <c r="AV355" s="11">
        <v>0</v>
      </c>
    </row>
    <row r="356" spans="1:48" ht="14.5" hidden="1">
      <c r="A356" s="6">
        <v>356</v>
      </c>
      <c r="B356" s="7" t="s">
        <v>739</v>
      </c>
      <c r="C356" s="7" t="s">
        <v>49</v>
      </c>
      <c r="D356" s="6">
        <v>15063</v>
      </c>
      <c r="E356" s="6" t="s">
        <v>740</v>
      </c>
      <c r="F356" s="8"/>
      <c r="G356" s="8"/>
      <c r="H356" s="7" t="s">
        <v>49</v>
      </c>
      <c r="I356" s="7"/>
      <c r="J356" s="6" t="s">
        <v>49</v>
      </c>
      <c r="K356" s="9" t="s">
        <v>49</v>
      </c>
      <c r="L356" s="9" t="s">
        <v>49</v>
      </c>
      <c r="M356" s="8"/>
      <c r="N356" s="10">
        <v>43070</v>
      </c>
      <c r="O356" s="10">
        <v>43797</v>
      </c>
      <c r="P356" s="9" t="s">
        <v>49</v>
      </c>
      <c r="Q356" s="9" t="s">
        <v>49</v>
      </c>
      <c r="R356" s="8"/>
      <c r="S356" s="8"/>
      <c r="T356" s="8"/>
      <c r="U356" s="8"/>
      <c r="V356" s="9" t="s">
        <v>49</v>
      </c>
      <c r="W356" s="9" t="s">
        <v>49</v>
      </c>
      <c r="X356" s="8"/>
      <c r="Y356" s="8"/>
      <c r="Z356" s="8"/>
      <c r="AA356" s="8"/>
      <c r="AB356" s="8"/>
      <c r="AC356" s="8"/>
      <c r="AD356" s="8"/>
      <c r="AE356" s="8"/>
      <c r="AF356" s="8"/>
      <c r="AG356" s="8"/>
      <c r="AH356" s="7" t="s">
        <v>51</v>
      </c>
      <c r="AI356" s="6" t="s">
        <v>49</v>
      </c>
      <c r="AJ356" s="6" t="s">
        <v>49</v>
      </c>
      <c r="AK356" s="6" t="s">
        <v>49</v>
      </c>
      <c r="AL356" s="9" t="s">
        <v>49</v>
      </c>
      <c r="AM356" s="9" t="s">
        <v>626</v>
      </c>
      <c r="AN356" s="6" t="s">
        <v>49</v>
      </c>
      <c r="AO356" s="9" t="s">
        <v>222</v>
      </c>
      <c r="AP356" s="11">
        <v>0</v>
      </c>
      <c r="AQ356" s="11">
        <v>0</v>
      </c>
      <c r="AR356" s="11">
        <v>0</v>
      </c>
      <c r="AS356" s="11">
        <v>0</v>
      </c>
      <c r="AT356" s="11">
        <v>0</v>
      </c>
      <c r="AU356" s="11">
        <v>0</v>
      </c>
      <c r="AV356" s="11" t="s">
        <v>51</v>
      </c>
    </row>
    <row r="357" spans="1:48" ht="14.5" hidden="1">
      <c r="A357" s="6">
        <v>357</v>
      </c>
      <c r="B357" s="7" t="s">
        <v>741</v>
      </c>
      <c r="C357" s="7" t="s">
        <v>49</v>
      </c>
      <c r="D357" s="6">
        <v>15481</v>
      </c>
      <c r="E357" s="6" t="s">
        <v>742</v>
      </c>
      <c r="F357" s="8"/>
      <c r="G357" s="8"/>
      <c r="H357" s="7" t="s">
        <v>49</v>
      </c>
      <c r="I357" s="7"/>
      <c r="J357" s="6" t="s">
        <v>49</v>
      </c>
      <c r="K357" s="9" t="s">
        <v>49</v>
      </c>
      <c r="L357" s="9" t="s">
        <v>49</v>
      </c>
      <c r="M357" s="8"/>
      <c r="N357" s="10">
        <v>43434</v>
      </c>
      <c r="O357" s="10">
        <v>44561</v>
      </c>
      <c r="P357" s="9" t="s">
        <v>49</v>
      </c>
      <c r="Q357" s="9" t="s">
        <v>49</v>
      </c>
      <c r="R357" s="8"/>
      <c r="S357" s="8"/>
      <c r="T357" s="8"/>
      <c r="U357" s="8"/>
      <c r="V357" s="9" t="s">
        <v>49</v>
      </c>
      <c r="W357" s="9" t="s">
        <v>49</v>
      </c>
      <c r="X357" s="8"/>
      <c r="Y357" s="8"/>
      <c r="Z357" s="8"/>
      <c r="AA357" s="8"/>
      <c r="AB357" s="8"/>
      <c r="AC357" s="8"/>
      <c r="AD357" s="8"/>
      <c r="AE357" s="8"/>
      <c r="AF357" s="8"/>
      <c r="AG357" s="8"/>
      <c r="AH357" s="7" t="s">
        <v>57</v>
      </c>
      <c r="AI357" s="6" t="s">
        <v>49</v>
      </c>
      <c r="AJ357" s="6" t="s">
        <v>49</v>
      </c>
      <c r="AK357" s="6" t="s">
        <v>49</v>
      </c>
      <c r="AL357" s="9" t="s">
        <v>49</v>
      </c>
      <c r="AM357" s="9" t="s">
        <v>67</v>
      </c>
      <c r="AN357" s="6" t="s">
        <v>49</v>
      </c>
      <c r="AO357" s="9" t="s">
        <v>67</v>
      </c>
      <c r="AP357" s="11">
        <v>0</v>
      </c>
      <c r="AQ357" s="11">
        <v>0</v>
      </c>
      <c r="AR357" s="11">
        <v>0</v>
      </c>
      <c r="AS357" s="11">
        <v>0</v>
      </c>
      <c r="AT357" s="11">
        <v>0</v>
      </c>
      <c r="AU357" s="11">
        <v>0</v>
      </c>
      <c r="AV357" s="11" t="s">
        <v>57</v>
      </c>
    </row>
    <row r="358" spans="1:48" ht="14.5" hidden="1">
      <c r="A358" s="6">
        <v>358</v>
      </c>
      <c r="B358" s="7" t="s">
        <v>743</v>
      </c>
      <c r="C358" s="7" t="s">
        <v>49</v>
      </c>
      <c r="D358" s="6">
        <v>15481</v>
      </c>
      <c r="E358" s="6" t="s">
        <v>49</v>
      </c>
      <c r="F358" s="8"/>
      <c r="G358" s="8"/>
      <c r="H358" s="7" t="s">
        <v>49</v>
      </c>
      <c r="I358" s="7"/>
      <c r="J358" s="6" t="s">
        <v>49</v>
      </c>
      <c r="K358" s="9" t="s">
        <v>49</v>
      </c>
      <c r="L358" s="9" t="s">
        <v>49</v>
      </c>
      <c r="M358" s="8"/>
      <c r="N358" s="10">
        <v>43434</v>
      </c>
      <c r="O358" s="10">
        <v>44925</v>
      </c>
      <c r="P358" s="9" t="s">
        <v>49</v>
      </c>
      <c r="Q358" s="9" t="s">
        <v>49</v>
      </c>
      <c r="R358" s="8"/>
      <c r="S358" s="8"/>
      <c r="T358" s="8"/>
      <c r="U358" s="8"/>
      <c r="V358" s="9" t="s">
        <v>49</v>
      </c>
      <c r="W358" s="9" t="s">
        <v>49</v>
      </c>
      <c r="X358" s="8"/>
      <c r="Y358" s="8"/>
      <c r="Z358" s="8"/>
      <c r="AA358" s="8"/>
      <c r="AB358" s="8"/>
      <c r="AC358" s="8"/>
      <c r="AD358" s="8"/>
      <c r="AE358" s="8"/>
      <c r="AF358" s="8"/>
      <c r="AG358" s="8"/>
      <c r="AH358" s="7" t="s">
        <v>57</v>
      </c>
      <c r="AI358" s="6" t="s">
        <v>71</v>
      </c>
      <c r="AJ358" s="6" t="s">
        <v>49</v>
      </c>
      <c r="AK358" s="6" t="s">
        <v>49</v>
      </c>
      <c r="AL358" s="9" t="s">
        <v>67</v>
      </c>
      <c r="AM358" s="9" t="s">
        <v>49</v>
      </c>
      <c r="AN358" s="6" t="s">
        <v>85</v>
      </c>
      <c r="AO358" s="9" t="s">
        <v>49</v>
      </c>
      <c r="AP358" s="11">
        <v>7248.8885899999996</v>
      </c>
      <c r="AQ358" s="11">
        <v>0</v>
      </c>
      <c r="AR358" s="11">
        <v>0</v>
      </c>
      <c r="AS358" s="11">
        <v>41681.266040000002</v>
      </c>
      <c r="AT358" s="11">
        <v>50825.983</v>
      </c>
      <c r="AU358" s="11">
        <v>0</v>
      </c>
      <c r="AV358" s="11">
        <v>0</v>
      </c>
    </row>
    <row r="359" spans="1:48" ht="14.5" hidden="1">
      <c r="A359" s="6">
        <v>359</v>
      </c>
      <c r="B359" s="7" t="s">
        <v>744</v>
      </c>
      <c r="C359" s="7" t="s">
        <v>49</v>
      </c>
      <c r="D359" s="6">
        <v>15644</v>
      </c>
      <c r="E359" s="6" t="s">
        <v>49</v>
      </c>
      <c r="F359" s="8"/>
      <c r="G359" s="8"/>
      <c r="H359" s="7" t="s">
        <v>49</v>
      </c>
      <c r="I359" s="7"/>
      <c r="J359" s="6" t="s">
        <v>49</v>
      </c>
      <c r="K359" s="9" t="s">
        <v>49</v>
      </c>
      <c r="L359" s="9" t="s">
        <v>49</v>
      </c>
      <c r="M359" s="8"/>
      <c r="N359" s="12"/>
      <c r="O359" s="12"/>
      <c r="P359" s="9" t="s">
        <v>49</v>
      </c>
      <c r="Q359" s="9" t="s">
        <v>49</v>
      </c>
      <c r="R359" s="8"/>
      <c r="S359" s="8"/>
      <c r="T359" s="8"/>
      <c r="U359" s="8"/>
      <c r="V359" s="9" t="s">
        <v>49</v>
      </c>
      <c r="W359" s="9" t="s">
        <v>49</v>
      </c>
      <c r="X359" s="8"/>
      <c r="Y359" s="8"/>
      <c r="Z359" s="8"/>
      <c r="AA359" s="8"/>
      <c r="AB359" s="8"/>
      <c r="AC359" s="8"/>
      <c r="AD359" s="8"/>
      <c r="AE359" s="8"/>
      <c r="AF359" s="8"/>
      <c r="AG359" s="8"/>
      <c r="AH359" s="7" t="s">
        <v>79</v>
      </c>
      <c r="AI359" s="6" t="s">
        <v>110</v>
      </c>
      <c r="AJ359" s="6" t="s">
        <v>49</v>
      </c>
      <c r="AK359" s="6" t="s">
        <v>49</v>
      </c>
      <c r="AL359" s="9" t="s">
        <v>111</v>
      </c>
      <c r="AM359" s="9" t="s">
        <v>49</v>
      </c>
      <c r="AN359" s="6" t="s">
        <v>82</v>
      </c>
      <c r="AO359" s="9" t="s">
        <v>49</v>
      </c>
      <c r="AP359" s="11">
        <v>7248.8885899999996</v>
      </c>
      <c r="AQ359" s="11">
        <v>0</v>
      </c>
      <c r="AR359" s="11">
        <v>0</v>
      </c>
      <c r="AS359" s="11">
        <v>41681.266040000002</v>
      </c>
      <c r="AT359" s="11">
        <v>50825.983</v>
      </c>
      <c r="AU359" s="11">
        <v>0</v>
      </c>
      <c r="AV359" s="11">
        <v>0</v>
      </c>
    </row>
    <row r="360" spans="1:48" ht="14.5" hidden="1">
      <c r="A360" s="6">
        <v>360</v>
      </c>
      <c r="B360" s="7" t="s">
        <v>745</v>
      </c>
      <c r="C360" s="7" t="s">
        <v>49</v>
      </c>
      <c r="D360" s="6">
        <v>15644</v>
      </c>
      <c r="E360" s="6" t="s">
        <v>49</v>
      </c>
      <c r="F360" s="8"/>
      <c r="G360" s="8"/>
      <c r="H360" s="7" t="s">
        <v>49</v>
      </c>
      <c r="I360" s="7"/>
      <c r="J360" s="6" t="s">
        <v>49</v>
      </c>
      <c r="K360" s="9" t="s">
        <v>49</v>
      </c>
      <c r="L360" s="9" t="s">
        <v>49</v>
      </c>
      <c r="M360" s="8"/>
      <c r="N360" s="12"/>
      <c r="O360" s="12"/>
      <c r="P360" s="9" t="s">
        <v>49</v>
      </c>
      <c r="Q360" s="9" t="s">
        <v>49</v>
      </c>
      <c r="R360" s="8"/>
      <c r="S360" s="8"/>
      <c r="T360" s="8"/>
      <c r="U360" s="8"/>
      <c r="V360" s="9" t="s">
        <v>49</v>
      </c>
      <c r="W360" s="9" t="s">
        <v>49</v>
      </c>
      <c r="X360" s="8"/>
      <c r="Y360" s="8"/>
      <c r="Z360" s="8"/>
      <c r="AA360" s="8"/>
      <c r="AB360" s="8"/>
      <c r="AC360" s="8"/>
      <c r="AD360" s="8"/>
      <c r="AE360" s="8"/>
      <c r="AF360" s="8"/>
      <c r="AG360" s="8"/>
      <c r="AH360" s="7" t="s">
        <v>79</v>
      </c>
      <c r="AI360" s="6" t="s">
        <v>110</v>
      </c>
      <c r="AJ360" s="6" t="s">
        <v>49</v>
      </c>
      <c r="AK360" s="6" t="s">
        <v>49</v>
      </c>
      <c r="AL360" s="9" t="s">
        <v>111</v>
      </c>
      <c r="AM360" s="9" t="s">
        <v>49</v>
      </c>
      <c r="AN360" s="6" t="s">
        <v>82</v>
      </c>
      <c r="AO360" s="9" t="s">
        <v>49</v>
      </c>
      <c r="AP360" s="11">
        <v>7248.8885899999996</v>
      </c>
      <c r="AQ360" s="11">
        <v>0</v>
      </c>
      <c r="AR360" s="11">
        <v>0</v>
      </c>
      <c r="AS360" s="11">
        <v>41681.266040000002</v>
      </c>
      <c r="AT360" s="11">
        <v>50825.983</v>
      </c>
      <c r="AU360" s="11">
        <v>0</v>
      </c>
      <c r="AV360" s="11">
        <v>0</v>
      </c>
    </row>
    <row r="361" spans="1:48" ht="14.5" hidden="1">
      <c r="A361" s="6">
        <v>361</v>
      </c>
      <c r="B361" s="7" t="s">
        <v>746</v>
      </c>
      <c r="C361" s="7" t="s">
        <v>49</v>
      </c>
      <c r="D361" s="6">
        <v>15293</v>
      </c>
      <c r="E361" s="6" t="s">
        <v>49</v>
      </c>
      <c r="F361" s="8"/>
      <c r="G361" s="8"/>
      <c r="H361" s="7" t="s">
        <v>49</v>
      </c>
      <c r="I361" s="7"/>
      <c r="J361" s="6" t="s">
        <v>49</v>
      </c>
      <c r="K361" s="9" t="s">
        <v>49</v>
      </c>
      <c r="L361" s="9" t="s">
        <v>49</v>
      </c>
      <c r="M361" s="8"/>
      <c r="N361" s="10">
        <v>43318</v>
      </c>
      <c r="O361" s="10">
        <v>43738</v>
      </c>
      <c r="P361" s="9" t="s">
        <v>49</v>
      </c>
      <c r="Q361" s="9" t="s">
        <v>49</v>
      </c>
      <c r="R361" s="8"/>
      <c r="S361" s="8"/>
      <c r="T361" s="8"/>
      <c r="U361" s="8"/>
      <c r="V361" s="9" t="s">
        <v>49</v>
      </c>
      <c r="W361" s="9" t="s">
        <v>49</v>
      </c>
      <c r="X361" s="8"/>
      <c r="Y361" s="8"/>
      <c r="Z361" s="8"/>
      <c r="AA361" s="8"/>
      <c r="AB361" s="8"/>
      <c r="AC361" s="8"/>
      <c r="AD361" s="8"/>
      <c r="AE361" s="8"/>
      <c r="AF361" s="8"/>
      <c r="AG361" s="8"/>
      <c r="AH361" s="7" t="s">
        <v>57</v>
      </c>
      <c r="AI361" s="6" t="s">
        <v>71</v>
      </c>
      <c r="AJ361" s="6" t="s">
        <v>49</v>
      </c>
      <c r="AK361" s="6" t="s">
        <v>49</v>
      </c>
      <c r="AL361" s="9" t="s">
        <v>119</v>
      </c>
      <c r="AM361" s="9" t="s">
        <v>49</v>
      </c>
      <c r="AN361" s="6" t="s">
        <v>82</v>
      </c>
      <c r="AO361" s="9" t="s">
        <v>49</v>
      </c>
      <c r="AP361" s="11">
        <v>7248.8885899999996</v>
      </c>
      <c r="AQ361" s="11">
        <v>0</v>
      </c>
      <c r="AR361" s="11">
        <v>0</v>
      </c>
      <c r="AS361" s="11">
        <v>41681.266040000002</v>
      </c>
      <c r="AT361" s="11">
        <v>50825.983</v>
      </c>
      <c r="AU361" s="11">
        <v>0</v>
      </c>
      <c r="AV361" s="11">
        <v>0</v>
      </c>
    </row>
    <row r="362" spans="1:48" ht="14.5" hidden="1">
      <c r="A362" s="6">
        <v>362</v>
      </c>
      <c r="B362" s="7" t="s">
        <v>747</v>
      </c>
      <c r="C362" s="7" t="s">
        <v>49</v>
      </c>
      <c r="D362" s="6">
        <v>15293</v>
      </c>
      <c r="E362" s="6" t="s">
        <v>748</v>
      </c>
      <c r="F362" s="12"/>
      <c r="G362" s="8"/>
      <c r="H362" s="7" t="s">
        <v>49</v>
      </c>
      <c r="I362" s="7"/>
      <c r="J362" s="6" t="s">
        <v>49</v>
      </c>
      <c r="K362" s="9" t="s">
        <v>49</v>
      </c>
      <c r="L362" s="9" t="s">
        <v>49</v>
      </c>
      <c r="M362" s="12"/>
      <c r="N362" s="10">
        <v>43318</v>
      </c>
      <c r="O362" s="10">
        <v>43738</v>
      </c>
      <c r="P362" s="9" t="s">
        <v>49</v>
      </c>
      <c r="Q362" s="9" t="s">
        <v>49</v>
      </c>
      <c r="R362" s="12"/>
      <c r="S362" s="12"/>
      <c r="T362" s="12"/>
      <c r="U362" s="12"/>
      <c r="V362" s="9" t="s">
        <v>49</v>
      </c>
      <c r="W362" s="9" t="s">
        <v>49</v>
      </c>
      <c r="X362" s="12"/>
      <c r="Y362" s="8"/>
      <c r="Z362" s="8"/>
      <c r="AA362" s="8"/>
      <c r="AB362" s="12"/>
      <c r="AC362" s="12"/>
      <c r="AD362" s="12"/>
      <c r="AE362" s="12"/>
      <c r="AF362" s="8"/>
      <c r="AG362" s="12"/>
      <c r="AH362" s="7" t="s">
        <v>51</v>
      </c>
      <c r="AI362" s="6" t="s">
        <v>49</v>
      </c>
      <c r="AJ362" s="6" t="s">
        <v>49</v>
      </c>
      <c r="AK362" s="6" t="s">
        <v>49</v>
      </c>
      <c r="AL362" s="9" t="s">
        <v>49</v>
      </c>
      <c r="AM362" s="9" t="s">
        <v>122</v>
      </c>
      <c r="AN362" s="6" t="s">
        <v>49</v>
      </c>
      <c r="AO362" s="9" t="s">
        <v>122</v>
      </c>
      <c r="AP362" s="11">
        <v>0</v>
      </c>
      <c r="AQ362" s="11">
        <v>0</v>
      </c>
      <c r="AR362" s="11">
        <v>0</v>
      </c>
      <c r="AS362" s="11">
        <v>0</v>
      </c>
      <c r="AT362" s="11">
        <v>0</v>
      </c>
      <c r="AU362" s="11">
        <v>0</v>
      </c>
      <c r="AV362" s="11" t="s">
        <v>51</v>
      </c>
    </row>
    <row r="363" spans="1:48" ht="14.5" hidden="1">
      <c r="A363" s="6">
        <v>363</v>
      </c>
      <c r="B363" s="7" t="s">
        <v>749</v>
      </c>
      <c r="C363" s="7" t="s">
        <v>49</v>
      </c>
      <c r="D363" s="6">
        <v>15644</v>
      </c>
      <c r="E363" s="6" t="s">
        <v>49</v>
      </c>
      <c r="F363" s="8"/>
      <c r="G363" s="8"/>
      <c r="H363" s="7" t="s">
        <v>49</v>
      </c>
      <c r="I363" s="7"/>
      <c r="J363" s="6" t="s">
        <v>49</v>
      </c>
      <c r="K363" s="9" t="s">
        <v>49</v>
      </c>
      <c r="L363" s="9" t="s">
        <v>49</v>
      </c>
      <c r="M363" s="8"/>
      <c r="N363" s="12"/>
      <c r="O363" s="12"/>
      <c r="P363" s="9" t="s">
        <v>49</v>
      </c>
      <c r="Q363" s="9" t="s">
        <v>49</v>
      </c>
      <c r="R363" s="8"/>
      <c r="S363" s="8"/>
      <c r="T363" s="8"/>
      <c r="U363" s="8"/>
      <c r="V363" s="9" t="s">
        <v>49</v>
      </c>
      <c r="W363" s="9" t="s">
        <v>49</v>
      </c>
      <c r="X363" s="8"/>
      <c r="Y363" s="8"/>
      <c r="Z363" s="8"/>
      <c r="AA363" s="8"/>
      <c r="AB363" s="8"/>
      <c r="AC363" s="8"/>
      <c r="AD363" s="8"/>
      <c r="AE363" s="8"/>
      <c r="AF363" s="8"/>
      <c r="AG363" s="8"/>
      <c r="AH363" s="7" t="s">
        <v>79</v>
      </c>
      <c r="AI363" s="6" t="s">
        <v>110</v>
      </c>
      <c r="AJ363" s="6" t="s">
        <v>49</v>
      </c>
      <c r="AK363" s="6" t="s">
        <v>49</v>
      </c>
      <c r="AL363" s="9" t="s">
        <v>111</v>
      </c>
      <c r="AM363" s="9" t="s">
        <v>49</v>
      </c>
      <c r="AN363" s="6" t="s">
        <v>82</v>
      </c>
      <c r="AO363" s="9" t="s">
        <v>49</v>
      </c>
      <c r="AP363" s="11">
        <v>7248.8885899999996</v>
      </c>
      <c r="AQ363" s="11">
        <v>0</v>
      </c>
      <c r="AR363" s="11">
        <v>0</v>
      </c>
      <c r="AS363" s="11">
        <v>41681.266040000002</v>
      </c>
      <c r="AT363" s="11">
        <v>50825.983</v>
      </c>
      <c r="AU363" s="11">
        <v>0</v>
      </c>
      <c r="AV363" s="11">
        <v>0</v>
      </c>
    </row>
    <row r="364" spans="1:48" ht="14.5" hidden="1">
      <c r="A364" s="6">
        <v>364</v>
      </c>
      <c r="B364" s="7" t="s">
        <v>750</v>
      </c>
      <c r="C364" s="7" t="s">
        <v>49</v>
      </c>
      <c r="D364" s="6">
        <v>16039</v>
      </c>
      <c r="E364" s="6" t="s">
        <v>49</v>
      </c>
      <c r="F364" s="12"/>
      <c r="G364" s="8"/>
      <c r="H364" s="7" t="s">
        <v>49</v>
      </c>
      <c r="I364" s="7"/>
      <c r="J364" s="6" t="s">
        <v>49</v>
      </c>
      <c r="K364" s="9" t="s">
        <v>49</v>
      </c>
      <c r="L364" s="9" t="s">
        <v>49</v>
      </c>
      <c r="M364" s="12"/>
      <c r="N364" s="10">
        <v>43745</v>
      </c>
      <c r="O364" s="10">
        <v>43951</v>
      </c>
      <c r="P364" s="9" t="s">
        <v>49</v>
      </c>
      <c r="Q364" s="9" t="s">
        <v>49</v>
      </c>
      <c r="R364" s="8"/>
      <c r="S364" s="8"/>
      <c r="T364" s="8"/>
      <c r="U364" s="8"/>
      <c r="V364" s="9" t="s">
        <v>49</v>
      </c>
      <c r="W364" s="9" t="s">
        <v>49</v>
      </c>
      <c r="X364" s="8"/>
      <c r="Y364" s="8"/>
      <c r="Z364" s="12"/>
      <c r="AA364" s="8"/>
      <c r="AB364" s="12"/>
      <c r="AC364" s="12"/>
      <c r="AD364" s="12"/>
      <c r="AE364" s="12"/>
      <c r="AF364" s="8"/>
      <c r="AG364" s="12"/>
      <c r="AH364" s="7" t="s">
        <v>57</v>
      </c>
      <c r="AI364" s="6" t="s">
        <v>71</v>
      </c>
      <c r="AJ364" s="6" t="s">
        <v>49</v>
      </c>
      <c r="AK364" s="6" t="s">
        <v>49</v>
      </c>
      <c r="AL364" s="9" t="s">
        <v>222</v>
      </c>
      <c r="AM364" s="9" t="s">
        <v>49</v>
      </c>
      <c r="AN364" s="6" t="s">
        <v>85</v>
      </c>
      <c r="AO364" s="9" t="s">
        <v>49</v>
      </c>
      <c r="AP364" s="11">
        <v>7248.8885899999996</v>
      </c>
      <c r="AQ364" s="11">
        <v>0</v>
      </c>
      <c r="AR364" s="11">
        <v>0</v>
      </c>
      <c r="AS364" s="11">
        <v>41681.266040000002</v>
      </c>
      <c r="AT364" s="11">
        <v>50825.983</v>
      </c>
      <c r="AU364" s="11">
        <v>0</v>
      </c>
      <c r="AV364" s="11">
        <v>0</v>
      </c>
    </row>
    <row r="365" spans="1:48" ht="14.5" hidden="1">
      <c r="A365" s="6">
        <v>365</v>
      </c>
      <c r="B365" s="7" t="s">
        <v>751</v>
      </c>
      <c r="C365" s="7" t="s">
        <v>49</v>
      </c>
      <c r="D365" s="6">
        <v>16039</v>
      </c>
      <c r="E365" s="6" t="s">
        <v>752</v>
      </c>
      <c r="F365" s="8"/>
      <c r="G365" s="8"/>
      <c r="H365" s="7" t="s">
        <v>49</v>
      </c>
      <c r="I365" s="7"/>
      <c r="J365" s="6" t="s">
        <v>49</v>
      </c>
      <c r="K365" s="9" t="s">
        <v>49</v>
      </c>
      <c r="L365" s="9" t="s">
        <v>49</v>
      </c>
      <c r="M365" s="8"/>
      <c r="N365" s="10">
        <v>43745</v>
      </c>
      <c r="O365" s="10">
        <v>43951</v>
      </c>
      <c r="P365" s="9" t="s">
        <v>49</v>
      </c>
      <c r="Q365" s="9" t="s">
        <v>49</v>
      </c>
      <c r="R365" s="8"/>
      <c r="S365" s="8"/>
      <c r="T365" s="8"/>
      <c r="U365" s="8"/>
      <c r="V365" s="9" t="s">
        <v>49</v>
      </c>
      <c r="W365" s="9" t="s">
        <v>49</v>
      </c>
      <c r="X365" s="8"/>
      <c r="Y365" s="8"/>
      <c r="Z365" s="8"/>
      <c r="AA365" s="8"/>
      <c r="AB365" s="8"/>
      <c r="AC365" s="8"/>
      <c r="AD365" s="8"/>
      <c r="AE365" s="8"/>
      <c r="AF365" s="8"/>
      <c r="AG365" s="8"/>
      <c r="AH365" s="7" t="s">
        <v>51</v>
      </c>
      <c r="AI365" s="6" t="s">
        <v>49</v>
      </c>
      <c r="AJ365" s="6" t="s">
        <v>49</v>
      </c>
      <c r="AK365" s="6" t="s">
        <v>49</v>
      </c>
      <c r="AL365" s="9" t="s">
        <v>49</v>
      </c>
      <c r="AM365" s="9" t="s">
        <v>222</v>
      </c>
      <c r="AN365" s="6" t="s">
        <v>49</v>
      </c>
      <c r="AO365" s="9" t="s">
        <v>753</v>
      </c>
      <c r="AP365" s="11">
        <v>2496.2566299999999</v>
      </c>
      <c r="AQ365" s="11">
        <v>3730015.42</v>
      </c>
      <c r="AR365" s="11">
        <v>3730015.4091666662</v>
      </c>
      <c r="AS365" s="11">
        <v>5857.7130399999996</v>
      </c>
      <c r="AT365" s="11">
        <v>15246.257</v>
      </c>
      <c r="AU365" s="11">
        <v>0</v>
      </c>
      <c r="AV365" s="11" t="s">
        <v>51</v>
      </c>
    </row>
    <row r="366" spans="1:48" ht="14.5" hidden="1">
      <c r="A366" s="6">
        <v>366</v>
      </c>
      <c r="B366" s="7" t="s">
        <v>754</v>
      </c>
      <c r="C366" s="7" t="s">
        <v>49</v>
      </c>
      <c r="D366" s="6">
        <v>15644</v>
      </c>
      <c r="E366" s="6" t="s">
        <v>49</v>
      </c>
      <c r="F366" s="8"/>
      <c r="G366" s="8"/>
      <c r="H366" s="7" t="s">
        <v>49</v>
      </c>
      <c r="I366" s="7"/>
      <c r="J366" s="6" t="s">
        <v>49</v>
      </c>
      <c r="K366" s="9" t="s">
        <v>49</v>
      </c>
      <c r="L366" s="9" t="s">
        <v>49</v>
      </c>
      <c r="M366" s="8"/>
      <c r="N366" s="12"/>
      <c r="O366" s="12"/>
      <c r="P366" s="9" t="s">
        <v>49</v>
      </c>
      <c r="Q366" s="9" t="s">
        <v>49</v>
      </c>
      <c r="R366" s="8"/>
      <c r="S366" s="8"/>
      <c r="T366" s="8"/>
      <c r="U366" s="8"/>
      <c r="V366" s="9" t="s">
        <v>49</v>
      </c>
      <c r="W366" s="9" t="s">
        <v>49</v>
      </c>
      <c r="X366" s="8"/>
      <c r="Y366" s="8"/>
      <c r="Z366" s="8"/>
      <c r="AA366" s="8"/>
      <c r="AB366" s="8"/>
      <c r="AC366" s="8"/>
      <c r="AD366" s="8"/>
      <c r="AE366" s="8"/>
      <c r="AF366" s="8"/>
      <c r="AG366" s="8"/>
      <c r="AH366" s="7" t="s">
        <v>79</v>
      </c>
      <c r="AI366" s="6" t="s">
        <v>110</v>
      </c>
      <c r="AJ366" s="6" t="s">
        <v>49</v>
      </c>
      <c r="AK366" s="6" t="s">
        <v>49</v>
      </c>
      <c r="AL366" s="9" t="s">
        <v>111</v>
      </c>
      <c r="AM366" s="9" t="s">
        <v>49</v>
      </c>
      <c r="AN366" s="6" t="s">
        <v>82</v>
      </c>
      <c r="AO366" s="9" t="s">
        <v>49</v>
      </c>
      <c r="AP366" s="11">
        <v>7248.8885899999996</v>
      </c>
      <c r="AQ366" s="11">
        <v>0</v>
      </c>
      <c r="AR366" s="11">
        <v>0</v>
      </c>
      <c r="AS366" s="11">
        <v>41681.266040000002</v>
      </c>
      <c r="AT366" s="11">
        <v>50825.983</v>
      </c>
      <c r="AU366" s="11">
        <v>0</v>
      </c>
      <c r="AV366" s="11">
        <v>0</v>
      </c>
    </row>
    <row r="367" spans="1:48" ht="14.5" hidden="1">
      <c r="A367" s="6">
        <v>367</v>
      </c>
      <c r="B367" s="7" t="s">
        <v>754</v>
      </c>
      <c r="C367" s="7" t="s">
        <v>49</v>
      </c>
      <c r="D367" s="6">
        <v>15644</v>
      </c>
      <c r="E367" s="6" t="s">
        <v>49</v>
      </c>
      <c r="F367" s="12"/>
      <c r="G367" s="8"/>
      <c r="H367" s="7" t="s">
        <v>49</v>
      </c>
      <c r="I367" s="7"/>
      <c r="J367" s="6" t="s">
        <v>49</v>
      </c>
      <c r="K367" s="9" t="s">
        <v>49</v>
      </c>
      <c r="L367" s="9" t="s">
        <v>49</v>
      </c>
      <c r="M367" s="8"/>
      <c r="N367" s="12"/>
      <c r="O367" s="12"/>
      <c r="P367" s="9" t="s">
        <v>49</v>
      </c>
      <c r="Q367" s="9" t="s">
        <v>49</v>
      </c>
      <c r="R367" s="8"/>
      <c r="S367" s="8"/>
      <c r="T367" s="8"/>
      <c r="U367" s="8"/>
      <c r="V367" s="9" t="s">
        <v>49</v>
      </c>
      <c r="W367" s="9" t="s">
        <v>49</v>
      </c>
      <c r="X367" s="8"/>
      <c r="Y367" s="8"/>
      <c r="Z367" s="8"/>
      <c r="AA367" s="8"/>
      <c r="AB367" s="8"/>
      <c r="AC367" s="8"/>
      <c r="AD367" s="8"/>
      <c r="AE367" s="8"/>
      <c r="AF367" s="8"/>
      <c r="AG367" s="8"/>
      <c r="AH367" s="7" t="s">
        <v>79</v>
      </c>
      <c r="AI367" s="6" t="s">
        <v>110</v>
      </c>
      <c r="AJ367" s="6" t="s">
        <v>49</v>
      </c>
      <c r="AK367" s="6" t="s">
        <v>49</v>
      </c>
      <c r="AL367" s="9" t="s">
        <v>111</v>
      </c>
      <c r="AM367" s="9" t="s">
        <v>49</v>
      </c>
      <c r="AN367" s="6" t="s">
        <v>82</v>
      </c>
      <c r="AO367" s="9" t="s">
        <v>49</v>
      </c>
      <c r="AP367" s="11">
        <v>7248.8885899999996</v>
      </c>
      <c r="AQ367" s="11">
        <v>0</v>
      </c>
      <c r="AR367" s="11">
        <v>0</v>
      </c>
      <c r="AS367" s="11">
        <v>41681.266040000002</v>
      </c>
      <c r="AT367" s="11">
        <v>50825.983</v>
      </c>
      <c r="AU367" s="11">
        <v>0</v>
      </c>
      <c r="AV367" s="11">
        <v>0</v>
      </c>
    </row>
    <row r="368" spans="1:48" ht="14.5" hidden="1">
      <c r="A368" s="6">
        <v>369</v>
      </c>
      <c r="B368" s="7" t="s">
        <v>755</v>
      </c>
      <c r="C368" s="7" t="s">
        <v>49</v>
      </c>
      <c r="D368" s="6">
        <v>15524</v>
      </c>
      <c r="E368" s="6" t="s">
        <v>756</v>
      </c>
      <c r="F368" s="8"/>
      <c r="G368" s="8"/>
      <c r="H368" s="7" t="s">
        <v>49</v>
      </c>
      <c r="I368" s="7"/>
      <c r="J368" s="6" t="s">
        <v>49</v>
      </c>
      <c r="K368" s="9" t="s">
        <v>49</v>
      </c>
      <c r="L368" s="9" t="s">
        <v>49</v>
      </c>
      <c r="M368" s="8"/>
      <c r="N368" s="10">
        <v>43500</v>
      </c>
      <c r="O368" s="10">
        <v>43921</v>
      </c>
      <c r="P368" s="9" t="s">
        <v>49</v>
      </c>
      <c r="Q368" s="9" t="s">
        <v>49</v>
      </c>
      <c r="R368" s="8"/>
      <c r="S368" s="8"/>
      <c r="T368" s="8"/>
      <c r="U368" s="8"/>
      <c r="V368" s="9" t="s">
        <v>49</v>
      </c>
      <c r="W368" s="9" t="s">
        <v>49</v>
      </c>
      <c r="X368" s="8"/>
      <c r="Y368" s="8"/>
      <c r="Z368" s="8"/>
      <c r="AA368" s="8"/>
      <c r="AB368" s="8"/>
      <c r="AC368" s="8"/>
      <c r="AD368" s="8"/>
      <c r="AE368" s="8"/>
      <c r="AF368" s="8"/>
      <c r="AG368" s="8"/>
      <c r="AH368" s="7" t="s">
        <v>57</v>
      </c>
      <c r="AI368" s="6" t="s">
        <v>49</v>
      </c>
      <c r="AJ368" s="6" t="s">
        <v>49</v>
      </c>
      <c r="AK368" s="6" t="s">
        <v>49</v>
      </c>
      <c r="AL368" s="9" t="s">
        <v>49</v>
      </c>
      <c r="AM368" s="9" t="s">
        <v>386</v>
      </c>
      <c r="AN368" s="6" t="s">
        <v>49</v>
      </c>
      <c r="AO368" s="9" t="s">
        <v>386</v>
      </c>
      <c r="AP368" s="11">
        <v>0</v>
      </c>
      <c r="AQ368" s="11">
        <v>0</v>
      </c>
      <c r="AR368" s="11">
        <v>0</v>
      </c>
      <c r="AS368" s="11">
        <v>0</v>
      </c>
      <c r="AT368" s="11">
        <v>0</v>
      </c>
      <c r="AU368" s="11">
        <v>0</v>
      </c>
      <c r="AV368" s="11" t="s">
        <v>57</v>
      </c>
    </row>
    <row r="369" spans="1:49" ht="14.5" hidden="1">
      <c r="A369" s="6">
        <v>370</v>
      </c>
      <c r="B369" s="7" t="s">
        <v>757</v>
      </c>
      <c r="C369" s="7" t="s">
        <v>49</v>
      </c>
      <c r="D369" s="6">
        <v>12561</v>
      </c>
      <c r="E369" s="6" t="s">
        <v>758</v>
      </c>
      <c r="F369" s="12"/>
      <c r="G369" s="8"/>
      <c r="H369" s="7" t="s">
        <v>49</v>
      </c>
      <c r="I369" s="7"/>
      <c r="J369" s="6" t="s">
        <v>49</v>
      </c>
      <c r="K369" s="9" t="s">
        <v>49</v>
      </c>
      <c r="L369" s="9" t="s">
        <v>49</v>
      </c>
      <c r="M369" s="12"/>
      <c r="N369" s="12"/>
      <c r="O369" s="10">
        <v>44196</v>
      </c>
      <c r="P369" s="9" t="s">
        <v>49</v>
      </c>
      <c r="Q369" s="9" t="s">
        <v>49</v>
      </c>
      <c r="R369" s="8"/>
      <c r="S369" s="8"/>
      <c r="T369" s="8"/>
      <c r="U369" s="8"/>
      <c r="V369" s="9" t="s">
        <v>49</v>
      </c>
      <c r="W369" s="9" t="s">
        <v>49</v>
      </c>
      <c r="X369" s="8"/>
      <c r="Y369" s="8"/>
      <c r="Z369" s="12"/>
      <c r="AA369" s="8"/>
      <c r="AB369" s="12"/>
      <c r="AC369" s="12"/>
      <c r="AD369" s="12"/>
      <c r="AE369" s="12"/>
      <c r="AF369" s="8"/>
      <c r="AG369" s="12"/>
      <c r="AH369" s="7" t="s">
        <v>57</v>
      </c>
      <c r="AI369" s="6" t="s">
        <v>49</v>
      </c>
      <c r="AJ369" s="6" t="s">
        <v>49</v>
      </c>
      <c r="AK369" s="6" t="s">
        <v>49</v>
      </c>
      <c r="AL369" s="9" t="s">
        <v>49</v>
      </c>
      <c r="AM369" s="9" t="s">
        <v>187</v>
      </c>
      <c r="AN369" s="6" t="s">
        <v>49</v>
      </c>
      <c r="AO369" s="9" t="s">
        <v>187</v>
      </c>
      <c r="AP369" s="11">
        <v>0</v>
      </c>
      <c r="AQ369" s="11">
        <v>0</v>
      </c>
      <c r="AR369" s="11">
        <v>0</v>
      </c>
      <c r="AS369" s="11">
        <v>0</v>
      </c>
      <c r="AT369" s="11">
        <v>0</v>
      </c>
      <c r="AU369" s="11">
        <v>0</v>
      </c>
      <c r="AV369" s="11" t="s">
        <v>57</v>
      </c>
    </row>
    <row r="370" spans="1:49" ht="14.5" hidden="1">
      <c r="A370" s="6">
        <v>371</v>
      </c>
      <c r="B370" s="7" t="s">
        <v>759</v>
      </c>
      <c r="C370" s="7" t="s">
        <v>49</v>
      </c>
      <c r="D370" s="6">
        <v>12584</v>
      </c>
      <c r="E370" s="6" t="s">
        <v>49</v>
      </c>
      <c r="F370" s="8"/>
      <c r="G370" s="8"/>
      <c r="H370" s="7" t="s">
        <v>49</v>
      </c>
      <c r="I370" s="7"/>
      <c r="J370" s="6" t="s">
        <v>49</v>
      </c>
      <c r="K370" s="9" t="s">
        <v>49</v>
      </c>
      <c r="L370" s="9" t="s">
        <v>49</v>
      </c>
      <c r="M370" s="8"/>
      <c r="N370" s="10">
        <v>42917</v>
      </c>
      <c r="O370" s="10">
        <v>44196</v>
      </c>
      <c r="P370" s="9" t="s">
        <v>49</v>
      </c>
      <c r="Q370" s="9" t="s">
        <v>49</v>
      </c>
      <c r="R370" s="8"/>
      <c r="S370" s="8"/>
      <c r="T370" s="8"/>
      <c r="U370" s="8"/>
      <c r="V370" s="9" t="s">
        <v>49</v>
      </c>
      <c r="W370" s="9" t="s">
        <v>49</v>
      </c>
      <c r="X370" s="8"/>
      <c r="Y370" s="8"/>
      <c r="Z370" s="8"/>
      <c r="AA370" s="8"/>
      <c r="AB370" s="8"/>
      <c r="AC370" s="8"/>
      <c r="AD370" s="8"/>
      <c r="AE370" s="8"/>
      <c r="AF370" s="8"/>
      <c r="AG370" s="8"/>
      <c r="AH370" s="7" t="s">
        <v>51</v>
      </c>
      <c r="AI370" s="6" t="s">
        <v>71</v>
      </c>
      <c r="AJ370" s="6" t="s">
        <v>49</v>
      </c>
      <c r="AK370" s="6" t="s">
        <v>118</v>
      </c>
      <c r="AL370" s="9" t="s">
        <v>236</v>
      </c>
      <c r="AM370" s="9" t="s">
        <v>49</v>
      </c>
      <c r="AN370" s="6" t="s">
        <v>96</v>
      </c>
      <c r="AO370" s="9" t="s">
        <v>49</v>
      </c>
      <c r="AP370" s="11">
        <v>7248.8885899999996</v>
      </c>
      <c r="AQ370" s="11">
        <v>0</v>
      </c>
      <c r="AR370" s="11">
        <v>0</v>
      </c>
      <c r="AS370" s="11">
        <v>41681.266040000002</v>
      </c>
      <c r="AT370" s="11">
        <v>50825.983</v>
      </c>
      <c r="AU370" s="11">
        <v>0</v>
      </c>
      <c r="AV370" s="11">
        <v>0</v>
      </c>
    </row>
    <row r="371" spans="1:49" ht="14.5" hidden="1">
      <c r="A371" s="6">
        <v>372</v>
      </c>
      <c r="B371" s="7" t="s">
        <v>760</v>
      </c>
      <c r="C371" s="7" t="s">
        <v>49</v>
      </c>
      <c r="D371" s="6">
        <v>12584</v>
      </c>
      <c r="E371" s="6" t="s">
        <v>761</v>
      </c>
      <c r="F371" s="12"/>
      <c r="G371" s="8"/>
      <c r="H371" s="7" t="s">
        <v>49</v>
      </c>
      <c r="I371" s="7"/>
      <c r="J371" s="6" t="s">
        <v>49</v>
      </c>
      <c r="K371" s="9" t="s">
        <v>49</v>
      </c>
      <c r="L371" s="9" t="s">
        <v>49</v>
      </c>
      <c r="M371" s="8"/>
      <c r="N371" s="10">
        <v>42917</v>
      </c>
      <c r="O371" s="10">
        <v>44196</v>
      </c>
      <c r="P371" s="9" t="s">
        <v>49</v>
      </c>
      <c r="Q371" s="9" t="s">
        <v>49</v>
      </c>
      <c r="R371" s="8"/>
      <c r="S371" s="8"/>
      <c r="T371" s="8"/>
      <c r="U371" s="8"/>
      <c r="V371" s="9" t="s">
        <v>49</v>
      </c>
      <c r="W371" s="9" t="s">
        <v>49</v>
      </c>
      <c r="X371" s="8"/>
      <c r="Y371" s="8"/>
      <c r="Z371" s="8"/>
      <c r="AA371" s="8"/>
      <c r="AB371" s="8"/>
      <c r="AC371" s="8"/>
      <c r="AD371" s="8"/>
      <c r="AE371" s="8"/>
      <c r="AF371" s="8"/>
      <c r="AG371" s="8"/>
      <c r="AH371" s="7" t="s">
        <v>51</v>
      </c>
      <c r="AI371" s="6" t="s">
        <v>49</v>
      </c>
      <c r="AJ371" s="6" t="s">
        <v>49</v>
      </c>
      <c r="AK371" s="6" t="s">
        <v>49</v>
      </c>
      <c r="AL371" s="9" t="s">
        <v>49</v>
      </c>
      <c r="AM371" s="9" t="s">
        <v>236</v>
      </c>
      <c r="AN371" s="6" t="s">
        <v>49</v>
      </c>
      <c r="AO371" s="9" t="s">
        <v>162</v>
      </c>
      <c r="AP371" s="11">
        <v>0</v>
      </c>
      <c r="AQ371" s="11">
        <v>0</v>
      </c>
      <c r="AR371" s="11">
        <v>0</v>
      </c>
      <c r="AS371" s="11">
        <v>0</v>
      </c>
      <c r="AT371" s="11">
        <v>0</v>
      </c>
      <c r="AU371" s="11">
        <v>0</v>
      </c>
      <c r="AV371" s="11" t="s">
        <v>51</v>
      </c>
    </row>
    <row r="372" spans="1:49" ht="14.5" hidden="1">
      <c r="A372" s="6">
        <v>373</v>
      </c>
      <c r="B372" s="7" t="s">
        <v>762</v>
      </c>
      <c r="C372" s="7" t="s">
        <v>569</v>
      </c>
      <c r="D372" s="6">
        <v>15367</v>
      </c>
      <c r="E372" s="6" t="s">
        <v>49</v>
      </c>
      <c r="F372" s="8"/>
      <c r="G372" s="8"/>
      <c r="H372" s="7" t="s">
        <v>49</v>
      </c>
      <c r="I372" s="7"/>
      <c r="J372" s="6" t="s">
        <v>49</v>
      </c>
      <c r="K372" s="9" t="s">
        <v>49</v>
      </c>
      <c r="L372" s="9" t="s">
        <v>49</v>
      </c>
      <c r="M372" s="8"/>
      <c r="N372" s="10">
        <v>42917</v>
      </c>
      <c r="O372" s="10">
        <v>45994</v>
      </c>
      <c r="P372" s="9" t="s">
        <v>763</v>
      </c>
      <c r="Q372" s="9" t="s">
        <v>764</v>
      </c>
      <c r="R372" s="8"/>
      <c r="S372" s="8"/>
      <c r="T372" s="8"/>
      <c r="U372" s="8"/>
      <c r="V372" s="9" t="s">
        <v>49</v>
      </c>
      <c r="W372" s="9" t="s">
        <v>49</v>
      </c>
      <c r="X372" s="8"/>
      <c r="Y372" s="8"/>
      <c r="Z372" s="8"/>
      <c r="AA372" s="8"/>
      <c r="AB372" s="8"/>
      <c r="AC372" s="8"/>
      <c r="AD372" s="8"/>
      <c r="AE372" s="8"/>
      <c r="AF372" s="8"/>
      <c r="AG372" s="8"/>
      <c r="AH372" s="7" t="s">
        <v>57</v>
      </c>
      <c r="AI372" s="6" t="s">
        <v>71</v>
      </c>
      <c r="AJ372" s="6" t="s">
        <v>49</v>
      </c>
      <c r="AK372" s="6" t="s">
        <v>49</v>
      </c>
      <c r="AL372" s="9" t="s">
        <v>765</v>
      </c>
      <c r="AM372" s="9" t="s">
        <v>49</v>
      </c>
      <c r="AN372" s="6" t="s">
        <v>96</v>
      </c>
      <c r="AO372" s="9" t="s">
        <v>49</v>
      </c>
      <c r="AP372" s="11">
        <v>7248.8885899999996</v>
      </c>
      <c r="AQ372" s="11">
        <v>0</v>
      </c>
      <c r="AR372" s="11">
        <v>0</v>
      </c>
      <c r="AS372" s="11">
        <v>41681.266040000002</v>
      </c>
      <c r="AT372" s="11">
        <v>50825.983</v>
      </c>
      <c r="AU372" s="11">
        <v>0</v>
      </c>
      <c r="AV372" s="11">
        <v>0</v>
      </c>
    </row>
    <row r="373" spans="1:49" ht="14.5">
      <c r="A373" s="6">
        <v>374</v>
      </c>
      <c r="B373" s="7" t="s">
        <v>762</v>
      </c>
      <c r="C373" s="7" t="s">
        <v>569</v>
      </c>
      <c r="D373" s="6">
        <v>15367</v>
      </c>
      <c r="E373" s="6" t="s">
        <v>766</v>
      </c>
      <c r="F373" s="6">
        <v>33106</v>
      </c>
      <c r="G373" s="8"/>
      <c r="H373" s="7" t="s">
        <v>70</v>
      </c>
      <c r="I373" s="7"/>
      <c r="J373" s="6" t="s">
        <v>75</v>
      </c>
      <c r="K373" s="9" t="s">
        <v>76</v>
      </c>
      <c r="L373" s="9" t="s">
        <v>73</v>
      </c>
      <c r="M373" s="28">
        <v>3347</v>
      </c>
      <c r="N373" s="10">
        <v>42917</v>
      </c>
      <c r="O373" s="10">
        <v>44196</v>
      </c>
      <c r="P373" s="9" t="s">
        <v>49</v>
      </c>
      <c r="Q373" s="9" t="s">
        <v>49</v>
      </c>
      <c r="R373" s="6">
        <v>5.0999999999999996</v>
      </c>
      <c r="S373" s="6">
        <v>133.1</v>
      </c>
      <c r="T373" s="6">
        <v>669</v>
      </c>
      <c r="U373" s="6">
        <v>55.1</v>
      </c>
      <c r="V373" s="9" t="s">
        <v>737</v>
      </c>
      <c r="W373" s="9" t="s">
        <v>108</v>
      </c>
      <c r="X373" s="6">
        <v>3.347</v>
      </c>
      <c r="Y373" s="8"/>
      <c r="Z373" s="8"/>
      <c r="AA373" s="8"/>
      <c r="AB373" s="6">
        <v>3.347</v>
      </c>
      <c r="AC373" s="6">
        <v>5.05</v>
      </c>
      <c r="AD373" s="6">
        <v>8.3970000000000002</v>
      </c>
      <c r="AE373" s="6">
        <v>2.677</v>
      </c>
      <c r="AF373" s="8"/>
      <c r="AG373" s="6">
        <v>2.677</v>
      </c>
      <c r="AH373" s="7" t="s">
        <v>51</v>
      </c>
      <c r="AI373" s="6" t="s">
        <v>49</v>
      </c>
      <c r="AJ373" s="6" t="s">
        <v>49</v>
      </c>
      <c r="AK373" s="6" t="s">
        <v>49</v>
      </c>
      <c r="AL373" s="9" t="s">
        <v>49</v>
      </c>
      <c r="AM373" s="9" t="s">
        <v>767</v>
      </c>
      <c r="AN373" s="6" t="s">
        <v>49</v>
      </c>
      <c r="AO373" s="9" t="s">
        <v>767</v>
      </c>
      <c r="AP373" s="11">
        <v>577.16502000000003</v>
      </c>
      <c r="AQ373" s="11">
        <v>697277.26</v>
      </c>
      <c r="AR373" s="11">
        <v>697277.27166666684</v>
      </c>
      <c r="AS373" s="11">
        <v>4150.3641900000002</v>
      </c>
      <c r="AT373" s="11">
        <v>577.16499999999996</v>
      </c>
      <c r="AU373" s="11">
        <v>3250</v>
      </c>
      <c r="AV373" s="11" t="s">
        <v>51</v>
      </c>
      <c r="AW373" t="s">
        <v>306</v>
      </c>
    </row>
    <row r="374" spans="1:49" ht="14.5" hidden="1">
      <c r="A374" s="6">
        <v>375</v>
      </c>
      <c r="B374" s="7" t="s">
        <v>768</v>
      </c>
      <c r="C374" s="7" t="s">
        <v>81</v>
      </c>
      <c r="D374" s="6">
        <v>15368</v>
      </c>
      <c r="E374" s="6" t="s">
        <v>49</v>
      </c>
      <c r="F374" s="12"/>
      <c r="G374" s="8"/>
      <c r="H374" s="7" t="s">
        <v>49</v>
      </c>
      <c r="I374" s="7"/>
      <c r="J374" s="6" t="s">
        <v>49</v>
      </c>
      <c r="K374" s="9" t="s">
        <v>49</v>
      </c>
      <c r="L374" s="9" t="s">
        <v>49</v>
      </c>
      <c r="M374" s="12"/>
      <c r="N374" s="10">
        <v>42917</v>
      </c>
      <c r="O374" s="10">
        <v>44196</v>
      </c>
      <c r="P374" s="9" t="s">
        <v>49</v>
      </c>
      <c r="Q374" s="9" t="s">
        <v>49</v>
      </c>
      <c r="R374" s="8"/>
      <c r="S374" s="8"/>
      <c r="T374" s="8"/>
      <c r="U374" s="8"/>
      <c r="V374" s="9" t="s">
        <v>49</v>
      </c>
      <c r="W374" s="9" t="s">
        <v>49</v>
      </c>
      <c r="X374" s="8"/>
      <c r="Y374" s="8"/>
      <c r="Z374" s="12"/>
      <c r="AA374" s="8"/>
      <c r="AB374" s="12"/>
      <c r="AC374" s="12"/>
      <c r="AD374" s="12"/>
      <c r="AE374" s="12"/>
      <c r="AF374" s="8"/>
      <c r="AG374" s="12"/>
      <c r="AH374" s="7" t="s">
        <v>57</v>
      </c>
      <c r="AI374" s="6" t="s">
        <v>71</v>
      </c>
      <c r="AJ374" s="6" t="s">
        <v>49</v>
      </c>
      <c r="AK374" s="6" t="s">
        <v>49</v>
      </c>
      <c r="AL374" s="9" t="s">
        <v>769</v>
      </c>
      <c r="AM374" s="9" t="s">
        <v>49</v>
      </c>
      <c r="AN374" s="6" t="s">
        <v>73</v>
      </c>
      <c r="AO374" s="9" t="s">
        <v>49</v>
      </c>
      <c r="AP374" s="11">
        <v>7248.8885899999996</v>
      </c>
      <c r="AQ374" s="11">
        <v>0</v>
      </c>
      <c r="AR374" s="11">
        <v>0</v>
      </c>
      <c r="AS374" s="11">
        <v>41681.266040000002</v>
      </c>
      <c r="AT374" s="11">
        <v>50825.983</v>
      </c>
      <c r="AU374" s="11"/>
      <c r="AV374" s="11">
        <v>0</v>
      </c>
    </row>
    <row r="375" spans="1:49" ht="14.5">
      <c r="A375" s="6">
        <v>376</v>
      </c>
      <c r="B375" s="7" t="s">
        <v>770</v>
      </c>
      <c r="C375" s="7" t="s">
        <v>81</v>
      </c>
      <c r="D375" s="6">
        <v>15368</v>
      </c>
      <c r="E375" s="6" t="s">
        <v>771</v>
      </c>
      <c r="F375" s="6">
        <v>17352</v>
      </c>
      <c r="G375" s="8"/>
      <c r="H375" s="7" t="s">
        <v>49</v>
      </c>
      <c r="I375" s="7"/>
      <c r="J375" s="6" t="s">
        <v>75</v>
      </c>
      <c r="K375" s="9" t="s">
        <v>89</v>
      </c>
      <c r="L375" s="9" t="s">
        <v>73</v>
      </c>
      <c r="M375" s="17">
        <v>272</v>
      </c>
      <c r="N375" s="10">
        <v>42917</v>
      </c>
      <c r="O375" s="10">
        <v>44196</v>
      </c>
      <c r="P375" s="9" t="s">
        <v>770</v>
      </c>
      <c r="Q375" s="9" t="s">
        <v>772</v>
      </c>
      <c r="R375" s="8"/>
      <c r="S375" s="8"/>
      <c r="T375" s="8"/>
      <c r="U375" s="8"/>
      <c r="V375" s="9" t="s">
        <v>49</v>
      </c>
      <c r="W375" s="9" t="s">
        <v>49</v>
      </c>
      <c r="X375" s="8"/>
      <c r="Y375" s="8"/>
      <c r="Z375" s="6">
        <v>0.27200000000000002</v>
      </c>
      <c r="AA375" s="8"/>
      <c r="AB375" s="6">
        <v>0.27200000000000002</v>
      </c>
      <c r="AC375" s="6">
        <v>0.378</v>
      </c>
      <c r="AD375" s="6">
        <v>0.65</v>
      </c>
      <c r="AE375" s="6">
        <v>0.218</v>
      </c>
      <c r="AF375" s="8"/>
      <c r="AG375" s="6">
        <v>0.218</v>
      </c>
      <c r="AH375" s="7" t="s">
        <v>51</v>
      </c>
      <c r="AI375" s="6" t="s">
        <v>49</v>
      </c>
      <c r="AJ375" s="6" t="s">
        <v>49</v>
      </c>
      <c r="AK375" s="6" t="s">
        <v>49</v>
      </c>
      <c r="AL375" s="9" t="s">
        <v>49</v>
      </c>
      <c r="AM375" s="9" t="s">
        <v>769</v>
      </c>
      <c r="AN375" s="6" t="s">
        <v>73</v>
      </c>
      <c r="AO375" s="9" t="s">
        <v>769</v>
      </c>
      <c r="AP375" s="11">
        <v>44.020980000000002</v>
      </c>
      <c r="AQ375" s="11">
        <v>115206.84</v>
      </c>
      <c r="AR375" s="11">
        <v>115206.83208333336</v>
      </c>
      <c r="AS375" s="11">
        <v>1366.7491399999999</v>
      </c>
      <c r="AT375" s="11">
        <v>270.98099999999999</v>
      </c>
      <c r="AU375" s="11">
        <v>0</v>
      </c>
      <c r="AV375" s="11" t="s">
        <v>51</v>
      </c>
    </row>
    <row r="376" spans="1:49" ht="14.5" hidden="1">
      <c r="A376" s="6">
        <v>377</v>
      </c>
      <c r="B376" s="7" t="s">
        <v>773</v>
      </c>
      <c r="C376" s="7" t="s">
        <v>49</v>
      </c>
      <c r="D376" s="6">
        <v>15369</v>
      </c>
      <c r="E376" s="6" t="s">
        <v>49</v>
      </c>
      <c r="F376" s="8"/>
      <c r="G376" s="8"/>
      <c r="H376" s="7" t="s">
        <v>49</v>
      </c>
      <c r="I376" s="7"/>
      <c r="J376" s="6" t="s">
        <v>49</v>
      </c>
      <c r="K376" s="9" t="s">
        <v>49</v>
      </c>
      <c r="L376" s="9" t="s">
        <v>49</v>
      </c>
      <c r="M376" s="8"/>
      <c r="N376" s="10">
        <v>42916</v>
      </c>
      <c r="O376" s="10">
        <v>43860</v>
      </c>
      <c r="P376" s="9" t="s">
        <v>49</v>
      </c>
      <c r="Q376" s="9" t="s">
        <v>49</v>
      </c>
      <c r="R376" s="8"/>
      <c r="S376" s="8"/>
      <c r="T376" s="8"/>
      <c r="U376" s="8"/>
      <c r="V376" s="9" t="s">
        <v>49</v>
      </c>
      <c r="W376" s="9" t="s">
        <v>49</v>
      </c>
      <c r="X376" s="8"/>
      <c r="Y376" s="8"/>
      <c r="Z376" s="8"/>
      <c r="AA376" s="8"/>
      <c r="AB376" s="8"/>
      <c r="AC376" s="8"/>
      <c r="AD376" s="8"/>
      <c r="AE376" s="8"/>
      <c r="AF376" s="8"/>
      <c r="AG376" s="8"/>
      <c r="AH376" s="7" t="s">
        <v>57</v>
      </c>
      <c r="AI376" s="6" t="s">
        <v>71</v>
      </c>
      <c r="AJ376" s="6" t="s">
        <v>49</v>
      </c>
      <c r="AK376" s="6" t="s">
        <v>49</v>
      </c>
      <c r="AL376" s="9" t="s">
        <v>213</v>
      </c>
      <c r="AM376" s="9" t="s">
        <v>49</v>
      </c>
      <c r="AN376" s="6" t="s">
        <v>96</v>
      </c>
      <c r="AO376" s="9" t="s">
        <v>49</v>
      </c>
      <c r="AP376" s="11">
        <v>7248.8885899999996</v>
      </c>
      <c r="AQ376" s="11">
        <v>0</v>
      </c>
      <c r="AR376" s="11">
        <v>0</v>
      </c>
      <c r="AS376" s="11">
        <v>41681.266040000002</v>
      </c>
      <c r="AT376" s="11">
        <v>50825.983</v>
      </c>
      <c r="AU376" s="11">
        <v>0</v>
      </c>
      <c r="AV376" s="11">
        <v>0</v>
      </c>
    </row>
    <row r="377" spans="1:49" ht="14.5" hidden="1">
      <c r="A377" s="6">
        <v>378</v>
      </c>
      <c r="B377" s="7" t="s">
        <v>773</v>
      </c>
      <c r="C377" s="7" t="s">
        <v>81</v>
      </c>
      <c r="D377" s="6">
        <v>15369</v>
      </c>
      <c r="E377" s="6" t="s">
        <v>774</v>
      </c>
      <c r="F377" s="6">
        <v>83604</v>
      </c>
      <c r="G377" s="8"/>
      <c r="H377" s="7" t="s">
        <v>49</v>
      </c>
      <c r="I377" s="7"/>
      <c r="J377" s="6" t="s">
        <v>49</v>
      </c>
      <c r="K377" s="9" t="s">
        <v>49</v>
      </c>
      <c r="L377" s="9" t="s">
        <v>218</v>
      </c>
      <c r="M377" s="8"/>
      <c r="N377" s="10">
        <v>42916</v>
      </c>
      <c r="O377" s="10">
        <v>43860</v>
      </c>
      <c r="P377" s="9" t="s">
        <v>775</v>
      </c>
      <c r="Q377" s="9" t="s">
        <v>776</v>
      </c>
      <c r="R377" s="8"/>
      <c r="S377" s="8"/>
      <c r="T377" s="8"/>
      <c r="U377" s="8"/>
      <c r="V377" s="9" t="s">
        <v>49</v>
      </c>
      <c r="W377" s="9" t="s">
        <v>199</v>
      </c>
      <c r="X377" s="8"/>
      <c r="Y377" s="8"/>
      <c r="Z377" s="8"/>
      <c r="AA377" s="8"/>
      <c r="AB377" s="8"/>
      <c r="AC377" s="8"/>
      <c r="AD377" s="8"/>
      <c r="AE377" s="8"/>
      <c r="AF377" s="8"/>
      <c r="AG377" s="8"/>
      <c r="AH377" s="7" t="s">
        <v>51</v>
      </c>
      <c r="AI377" s="6" t="s">
        <v>49</v>
      </c>
      <c r="AJ377" s="6" t="s">
        <v>49</v>
      </c>
      <c r="AK377" s="6" t="s">
        <v>49</v>
      </c>
      <c r="AL377" s="9" t="s">
        <v>49</v>
      </c>
      <c r="AM377" s="9" t="s">
        <v>270</v>
      </c>
      <c r="AN377" s="6" t="s">
        <v>49</v>
      </c>
      <c r="AO377" s="9" t="s">
        <v>201</v>
      </c>
      <c r="AP377" s="11">
        <v>-0.7809299999999999</v>
      </c>
      <c r="AQ377" s="11">
        <v>-14094.76</v>
      </c>
      <c r="AR377" s="11">
        <v>-14094.750000000002</v>
      </c>
      <c r="AS377" s="11">
        <v>494.68790999999999</v>
      </c>
      <c r="AT377" s="11">
        <v>-0.78100000000000003</v>
      </c>
      <c r="AU377" s="11">
        <v>0</v>
      </c>
      <c r="AV377" s="11" t="s">
        <v>51</v>
      </c>
    </row>
    <row r="378" spans="1:49" ht="14.5" hidden="1">
      <c r="A378" s="6">
        <v>379</v>
      </c>
      <c r="B378" s="7" t="s">
        <v>777</v>
      </c>
      <c r="C378" s="7" t="s">
        <v>49</v>
      </c>
      <c r="D378" s="6">
        <v>15370</v>
      </c>
      <c r="E378" s="6" t="s">
        <v>49</v>
      </c>
      <c r="F378" s="12"/>
      <c r="G378" s="8"/>
      <c r="H378" s="7" t="s">
        <v>49</v>
      </c>
      <c r="I378" s="7"/>
      <c r="J378" s="6" t="s">
        <v>49</v>
      </c>
      <c r="K378" s="9" t="s">
        <v>49</v>
      </c>
      <c r="L378" s="9" t="s">
        <v>49</v>
      </c>
      <c r="M378" s="12"/>
      <c r="N378" s="10">
        <v>42917</v>
      </c>
      <c r="O378" s="10">
        <v>43831</v>
      </c>
      <c r="P378" s="9" t="s">
        <v>49</v>
      </c>
      <c r="Q378" s="9" t="s">
        <v>49</v>
      </c>
      <c r="R378" s="12"/>
      <c r="S378" s="12"/>
      <c r="T378" s="12"/>
      <c r="U378" s="12"/>
      <c r="V378" s="9" t="s">
        <v>49</v>
      </c>
      <c r="W378" s="9" t="s">
        <v>49</v>
      </c>
      <c r="X378" s="12"/>
      <c r="Y378" s="8"/>
      <c r="Z378" s="12"/>
      <c r="AA378" s="8"/>
      <c r="AB378" s="12"/>
      <c r="AC378" s="12"/>
      <c r="AD378" s="12"/>
      <c r="AE378" s="12"/>
      <c r="AF378" s="8"/>
      <c r="AG378" s="12"/>
      <c r="AH378" s="7" t="s">
        <v>57</v>
      </c>
      <c r="AI378" s="6" t="s">
        <v>71</v>
      </c>
      <c r="AJ378" s="6" t="s">
        <v>49</v>
      </c>
      <c r="AK378" s="6" t="s">
        <v>49</v>
      </c>
      <c r="AL378" s="9" t="s">
        <v>213</v>
      </c>
      <c r="AM378" s="9" t="s">
        <v>49</v>
      </c>
      <c r="AN378" s="6" t="s">
        <v>210</v>
      </c>
      <c r="AO378" s="9" t="s">
        <v>49</v>
      </c>
      <c r="AP378" s="11">
        <v>7248.8885899999996</v>
      </c>
      <c r="AQ378" s="11">
        <v>0</v>
      </c>
      <c r="AR378" s="11">
        <v>0</v>
      </c>
      <c r="AS378" s="11">
        <v>41681.266040000002</v>
      </c>
      <c r="AT378" s="11">
        <v>50825.983</v>
      </c>
      <c r="AU378" s="11">
        <v>0</v>
      </c>
      <c r="AV378" s="11">
        <v>0</v>
      </c>
    </row>
    <row r="379" spans="1:49" ht="14.5">
      <c r="A379" s="6">
        <v>380</v>
      </c>
      <c r="B379" s="7" t="s">
        <v>778</v>
      </c>
      <c r="C379" s="7" t="s">
        <v>81</v>
      </c>
      <c r="D379" s="6">
        <v>15370</v>
      </c>
      <c r="E379" s="6" t="s">
        <v>779</v>
      </c>
      <c r="F379" s="6">
        <v>65808</v>
      </c>
      <c r="G379" s="8"/>
      <c r="H379" s="7" t="s">
        <v>49</v>
      </c>
      <c r="I379" s="7"/>
      <c r="J379" s="6" t="s">
        <v>75</v>
      </c>
      <c r="K379" s="9" t="s">
        <v>89</v>
      </c>
      <c r="L379" s="9" t="s">
        <v>73</v>
      </c>
      <c r="M379" s="17">
        <v>136</v>
      </c>
      <c r="N379" s="10">
        <v>42917</v>
      </c>
      <c r="O379" s="10">
        <v>43831</v>
      </c>
      <c r="P379" s="9" t="s">
        <v>778</v>
      </c>
      <c r="Q379" s="9" t="s">
        <v>780</v>
      </c>
      <c r="R379" s="8"/>
      <c r="S379" s="8"/>
      <c r="T379" s="8"/>
      <c r="U379" s="8"/>
      <c r="V379" s="9" t="s">
        <v>49</v>
      </c>
      <c r="W379" s="9" t="s">
        <v>49</v>
      </c>
      <c r="X379" s="8"/>
      <c r="Y379" s="8"/>
      <c r="Z379" s="6">
        <v>0.13600000000000001</v>
      </c>
      <c r="AA379" s="8"/>
      <c r="AB379" s="6">
        <v>0.13600000000000001</v>
      </c>
      <c r="AC379" s="6">
        <v>1.0569999999999999</v>
      </c>
      <c r="AD379" s="6">
        <v>1.194</v>
      </c>
      <c r="AE379" s="6">
        <v>0.109</v>
      </c>
      <c r="AF379" s="8"/>
      <c r="AG379" s="6">
        <v>0.109</v>
      </c>
      <c r="AH379" s="7" t="s">
        <v>51</v>
      </c>
      <c r="AI379" s="6" t="s">
        <v>49</v>
      </c>
      <c r="AJ379" s="6" t="s">
        <v>49</v>
      </c>
      <c r="AK379" s="6" t="s">
        <v>49</v>
      </c>
      <c r="AL379" s="9" t="s">
        <v>49</v>
      </c>
      <c r="AM379" s="9" t="s">
        <v>213</v>
      </c>
      <c r="AN379" s="6" t="s">
        <v>73</v>
      </c>
      <c r="AO379" s="9" t="s">
        <v>213</v>
      </c>
      <c r="AP379" s="11">
        <v>8.6596900000000012</v>
      </c>
      <c r="AQ379" s="11">
        <v>14579.82</v>
      </c>
      <c r="AR379" s="11">
        <v>14579.802083333334</v>
      </c>
      <c r="AS379" s="11">
        <v>158.84165999999999</v>
      </c>
      <c r="AT379" s="11">
        <v>122.04</v>
      </c>
      <c r="AU379" s="11">
        <v>0</v>
      </c>
      <c r="AV379" s="11" t="s">
        <v>51</v>
      </c>
    </row>
    <row r="380" spans="1:49" ht="14.5" hidden="1">
      <c r="A380" s="6">
        <v>381</v>
      </c>
      <c r="B380" s="7" t="s">
        <v>781</v>
      </c>
      <c r="C380" s="7" t="s">
        <v>49</v>
      </c>
      <c r="D380" s="6">
        <v>12584</v>
      </c>
      <c r="E380" s="6" t="s">
        <v>782</v>
      </c>
      <c r="F380" s="12"/>
      <c r="G380" s="8"/>
      <c r="H380" s="7" t="s">
        <v>49</v>
      </c>
      <c r="I380" s="7"/>
      <c r="J380" s="6" t="s">
        <v>49</v>
      </c>
      <c r="K380" s="9" t="s">
        <v>49</v>
      </c>
      <c r="L380" s="9" t="s">
        <v>49</v>
      </c>
      <c r="M380" s="12"/>
      <c r="N380" s="10">
        <v>43004</v>
      </c>
      <c r="O380" s="10">
        <v>43399</v>
      </c>
      <c r="P380" s="9" t="s">
        <v>49</v>
      </c>
      <c r="Q380" s="9" t="s">
        <v>49</v>
      </c>
      <c r="R380" s="8"/>
      <c r="S380" s="8"/>
      <c r="T380" s="8"/>
      <c r="U380" s="8"/>
      <c r="V380" s="9" t="s">
        <v>49</v>
      </c>
      <c r="W380" s="9" t="s">
        <v>49</v>
      </c>
      <c r="X380" s="12"/>
      <c r="Y380" s="8"/>
      <c r="Z380" s="12"/>
      <c r="AA380" s="8"/>
      <c r="AB380" s="12"/>
      <c r="AC380" s="8"/>
      <c r="AD380" s="12"/>
      <c r="AE380" s="12"/>
      <c r="AF380" s="8"/>
      <c r="AG380" s="12"/>
      <c r="AH380" s="7" t="s">
        <v>57</v>
      </c>
      <c r="AI380" s="6" t="s">
        <v>49</v>
      </c>
      <c r="AJ380" s="6" t="s">
        <v>49</v>
      </c>
      <c r="AK380" s="6" t="s">
        <v>49</v>
      </c>
      <c r="AL380" s="9" t="s">
        <v>49</v>
      </c>
      <c r="AM380" s="9" t="s">
        <v>236</v>
      </c>
      <c r="AN380" s="6" t="s">
        <v>49</v>
      </c>
      <c r="AO380" s="9" t="s">
        <v>99</v>
      </c>
      <c r="AP380" s="11">
        <v>0</v>
      </c>
      <c r="AQ380" s="11">
        <v>0</v>
      </c>
      <c r="AR380" s="11">
        <v>0</v>
      </c>
      <c r="AS380" s="11">
        <v>0</v>
      </c>
      <c r="AT380" s="11">
        <v>0</v>
      </c>
      <c r="AU380" s="11">
        <v>0</v>
      </c>
      <c r="AV380" s="11" t="s">
        <v>57</v>
      </c>
    </row>
    <row r="381" spans="1:49" ht="14.5" hidden="1">
      <c r="A381" s="6">
        <v>382</v>
      </c>
      <c r="B381" s="7" t="s">
        <v>783</v>
      </c>
      <c r="C381" s="7" t="s">
        <v>337</v>
      </c>
      <c r="D381" s="6">
        <v>15374</v>
      </c>
      <c r="E381" s="6"/>
      <c r="F381" s="6">
        <v>83285</v>
      </c>
      <c r="G381" s="8"/>
      <c r="H381" s="7" t="s">
        <v>49</v>
      </c>
      <c r="I381" s="7"/>
      <c r="J381" s="6" t="s">
        <v>49</v>
      </c>
      <c r="K381" s="9" t="s">
        <v>49</v>
      </c>
      <c r="L381" s="9" t="s">
        <v>218</v>
      </c>
      <c r="M381" s="8"/>
      <c r="N381" s="10">
        <v>42401</v>
      </c>
      <c r="O381" s="10">
        <v>44561</v>
      </c>
      <c r="P381" s="9" t="s">
        <v>784</v>
      </c>
      <c r="Q381" s="9" t="s">
        <v>785</v>
      </c>
      <c r="R381" s="8"/>
      <c r="S381" s="8"/>
      <c r="T381" s="8"/>
      <c r="U381" s="8"/>
      <c r="V381" s="9" t="s">
        <v>49</v>
      </c>
      <c r="W381" s="9" t="s">
        <v>49</v>
      </c>
      <c r="X381" s="8"/>
      <c r="Y381" s="8"/>
      <c r="Z381" s="8"/>
      <c r="AA381" s="8"/>
      <c r="AB381" s="8"/>
      <c r="AC381" s="8"/>
      <c r="AD381" s="8"/>
      <c r="AE381" s="8"/>
      <c r="AF381" s="8"/>
      <c r="AG381" s="8"/>
      <c r="AH381" s="7" t="s">
        <v>57</v>
      </c>
      <c r="AI381" s="6" t="s">
        <v>71</v>
      </c>
      <c r="AJ381" s="6" t="s">
        <v>49</v>
      </c>
      <c r="AK381" s="6" t="s">
        <v>49</v>
      </c>
      <c r="AL381" s="9" t="s">
        <v>607</v>
      </c>
      <c r="AM381" s="9" t="s">
        <v>49</v>
      </c>
      <c r="AN381" s="6" t="s">
        <v>210</v>
      </c>
      <c r="AO381" s="9" t="s">
        <v>162</v>
      </c>
      <c r="AP381" s="11">
        <v>0</v>
      </c>
      <c r="AQ381" s="11">
        <v>0</v>
      </c>
      <c r="AR381" s="11">
        <v>0</v>
      </c>
      <c r="AS381" s="11">
        <v>0</v>
      </c>
      <c r="AT381" s="11">
        <v>0</v>
      </c>
      <c r="AU381" s="11">
        <v>0</v>
      </c>
      <c r="AV381" s="11">
        <v>0</v>
      </c>
    </row>
    <row r="382" spans="1:49" ht="14.5" hidden="1">
      <c r="A382" s="6">
        <v>383</v>
      </c>
      <c r="B382" s="7" t="s">
        <v>786</v>
      </c>
      <c r="C382" s="7" t="s">
        <v>81</v>
      </c>
      <c r="D382" s="6">
        <v>15371</v>
      </c>
      <c r="E382" s="6" t="s">
        <v>49</v>
      </c>
      <c r="F382" s="12"/>
      <c r="G382" s="8"/>
      <c r="H382" s="7" t="s">
        <v>88</v>
      </c>
      <c r="I382" s="7" t="s">
        <v>217</v>
      </c>
      <c r="J382" s="6" t="s">
        <v>49</v>
      </c>
      <c r="K382" s="9" t="s">
        <v>49</v>
      </c>
      <c r="L382" s="9" t="s">
        <v>49</v>
      </c>
      <c r="M382" s="8"/>
      <c r="N382" s="10">
        <v>42918</v>
      </c>
      <c r="O382" s="10">
        <v>44012</v>
      </c>
      <c r="P382" s="9" t="s">
        <v>49</v>
      </c>
      <c r="Q382" s="9" t="s">
        <v>49</v>
      </c>
      <c r="R382" s="8"/>
      <c r="S382" s="8"/>
      <c r="T382" s="8"/>
      <c r="U382" s="8"/>
      <c r="V382" s="9" t="s">
        <v>49</v>
      </c>
      <c r="W382" s="9" t="s">
        <v>199</v>
      </c>
      <c r="X382" s="8"/>
      <c r="Y382" s="8"/>
      <c r="Z382" s="8"/>
      <c r="AA382" s="8"/>
      <c r="AB382" s="8"/>
      <c r="AC382" s="12"/>
      <c r="AD382" s="12"/>
      <c r="AE382" s="8"/>
      <c r="AF382" s="8"/>
      <c r="AG382" s="8"/>
      <c r="AH382" s="7" t="s">
        <v>57</v>
      </c>
      <c r="AI382" s="6" t="s">
        <v>71</v>
      </c>
      <c r="AJ382" s="6" t="s">
        <v>49</v>
      </c>
      <c r="AK382" s="6" t="s">
        <v>49</v>
      </c>
      <c r="AL382" s="9" t="s">
        <v>322</v>
      </c>
      <c r="AM382" s="9" t="s">
        <v>49</v>
      </c>
      <c r="AN382" s="6" t="s">
        <v>73</v>
      </c>
      <c r="AO382" s="9" t="s">
        <v>49</v>
      </c>
      <c r="AP382" s="11">
        <v>7248.8885899999996</v>
      </c>
      <c r="AQ382" s="11">
        <v>0</v>
      </c>
      <c r="AR382" s="11">
        <v>0</v>
      </c>
      <c r="AS382" s="11">
        <v>41681.266040000002</v>
      </c>
      <c r="AT382" s="11">
        <v>50825.983</v>
      </c>
      <c r="AU382" s="11"/>
      <c r="AV382" s="11">
        <v>0</v>
      </c>
    </row>
    <row r="383" spans="1:49" ht="14.5" hidden="1">
      <c r="A383" s="6">
        <v>384</v>
      </c>
      <c r="B383" s="7" t="s">
        <v>786</v>
      </c>
      <c r="C383" s="7" t="s">
        <v>81</v>
      </c>
      <c r="D383" s="6">
        <v>15371</v>
      </c>
      <c r="E383" s="6" t="s">
        <v>787</v>
      </c>
      <c r="F383" s="6">
        <v>62044</v>
      </c>
      <c r="G383" s="8"/>
      <c r="H383" s="7" t="s">
        <v>88</v>
      </c>
      <c r="I383" s="7" t="s">
        <v>217</v>
      </c>
      <c r="J383" s="6" t="s">
        <v>75</v>
      </c>
      <c r="K383" s="9" t="s">
        <v>89</v>
      </c>
      <c r="L383" s="9" t="s">
        <v>73</v>
      </c>
      <c r="M383" s="17">
        <v>1656</v>
      </c>
      <c r="N383" s="10">
        <v>42918</v>
      </c>
      <c r="O383" s="10">
        <v>44012</v>
      </c>
      <c r="P383" s="9" t="s">
        <v>786</v>
      </c>
      <c r="Q383" s="9" t="s">
        <v>788</v>
      </c>
      <c r="R383" s="8"/>
      <c r="S383" s="8"/>
      <c r="T383" s="8"/>
      <c r="U383" s="8"/>
      <c r="V383" s="9" t="s">
        <v>49</v>
      </c>
      <c r="W383" s="9" t="s">
        <v>199</v>
      </c>
      <c r="X383" s="8"/>
      <c r="Y383" s="8"/>
      <c r="Z383" s="6">
        <v>1.6559999999999999</v>
      </c>
      <c r="AA383" s="8"/>
      <c r="AB383" s="6">
        <v>1.6559999999999999</v>
      </c>
      <c r="AC383" s="6">
        <v>0.64400000000000002</v>
      </c>
      <c r="AD383" s="6">
        <v>2.33</v>
      </c>
      <c r="AE383" s="6">
        <v>1.325</v>
      </c>
      <c r="AF383" s="8"/>
      <c r="AG383" s="6">
        <v>1.325</v>
      </c>
      <c r="AH383" s="7" t="s">
        <v>51</v>
      </c>
      <c r="AI383" s="6" t="s">
        <v>49</v>
      </c>
      <c r="AJ383" s="6" t="s">
        <v>49</v>
      </c>
      <c r="AK383" s="6" t="s">
        <v>49</v>
      </c>
      <c r="AL383" s="9" t="s">
        <v>49</v>
      </c>
      <c r="AM383" s="9" t="s">
        <v>322</v>
      </c>
      <c r="AN383" s="6" t="s">
        <v>73</v>
      </c>
      <c r="AO383" s="9" t="s">
        <v>322</v>
      </c>
      <c r="AP383" s="11">
        <v>189.44135999999997</v>
      </c>
      <c r="AQ383" s="11">
        <v>236698.36</v>
      </c>
      <c r="AR383" s="11">
        <v>236698.37166666667</v>
      </c>
      <c r="AS383" s="11">
        <v>1831.0536599999998</v>
      </c>
      <c r="AT383" s="11">
        <v>1431.441</v>
      </c>
      <c r="AU383" s="11">
        <v>0</v>
      </c>
      <c r="AV383" s="11" t="s">
        <v>51</v>
      </c>
    </row>
    <row r="384" spans="1:49" ht="14.5" hidden="1">
      <c r="A384" s="6">
        <v>385</v>
      </c>
      <c r="B384" s="7" t="s">
        <v>789</v>
      </c>
      <c r="C384" s="7" t="s">
        <v>569</v>
      </c>
      <c r="D384" s="6">
        <v>15372</v>
      </c>
      <c r="E384" s="6" t="s">
        <v>49</v>
      </c>
      <c r="F384" s="8"/>
      <c r="G384" s="8"/>
      <c r="H384" s="7" t="s">
        <v>49</v>
      </c>
      <c r="I384" s="7"/>
      <c r="J384" s="6" t="s">
        <v>49</v>
      </c>
      <c r="K384" s="9" t="s">
        <v>49</v>
      </c>
      <c r="L384" s="9" t="s">
        <v>49</v>
      </c>
      <c r="M384" s="8"/>
      <c r="N384" s="10">
        <v>42917</v>
      </c>
      <c r="O384" s="10">
        <v>44196</v>
      </c>
      <c r="P384" s="9" t="s">
        <v>49</v>
      </c>
      <c r="Q384" s="9" t="s">
        <v>49</v>
      </c>
      <c r="R384" s="8"/>
      <c r="S384" s="8"/>
      <c r="T384" s="8"/>
      <c r="U384" s="8"/>
      <c r="V384" s="9" t="s">
        <v>49</v>
      </c>
      <c r="W384" s="9" t="s">
        <v>49</v>
      </c>
      <c r="X384" s="8"/>
      <c r="Y384" s="8"/>
      <c r="Z384" s="8"/>
      <c r="AA384" s="8"/>
      <c r="AB384" s="8"/>
      <c r="AC384" s="12"/>
      <c r="AD384" s="12"/>
      <c r="AE384" s="8"/>
      <c r="AF384" s="8"/>
      <c r="AG384" s="8"/>
      <c r="AH384" s="7" t="s">
        <v>57</v>
      </c>
      <c r="AI384" s="6" t="s">
        <v>71</v>
      </c>
      <c r="AJ384" s="6" t="s">
        <v>49</v>
      </c>
      <c r="AK384" s="6" t="s">
        <v>49</v>
      </c>
      <c r="AL384" s="9" t="s">
        <v>213</v>
      </c>
      <c r="AM384" s="9" t="s">
        <v>49</v>
      </c>
      <c r="AN384" s="6" t="s">
        <v>96</v>
      </c>
      <c r="AO384" s="9" t="s">
        <v>49</v>
      </c>
      <c r="AP384" s="11">
        <v>7248.8885899999996</v>
      </c>
      <c r="AQ384" s="11">
        <v>0</v>
      </c>
      <c r="AR384" s="11">
        <v>0</v>
      </c>
      <c r="AS384" s="11">
        <v>41681.266040000002</v>
      </c>
      <c r="AT384" s="11">
        <v>50825.983</v>
      </c>
      <c r="AU384" s="11">
        <v>0</v>
      </c>
      <c r="AV384" s="11">
        <v>0</v>
      </c>
    </row>
    <row r="385" spans="1:49" ht="14.5" hidden="1">
      <c r="A385" s="6">
        <v>386</v>
      </c>
      <c r="B385" s="7" t="s">
        <v>789</v>
      </c>
      <c r="C385" s="7" t="s">
        <v>569</v>
      </c>
      <c r="D385" s="6">
        <v>15372</v>
      </c>
      <c r="E385" s="6" t="s">
        <v>790</v>
      </c>
      <c r="F385" s="6">
        <v>72263</v>
      </c>
      <c r="G385" s="8"/>
      <c r="H385" s="7" t="s">
        <v>88</v>
      </c>
      <c r="I385" s="7" t="s">
        <v>217</v>
      </c>
      <c r="J385" s="6" t="s">
        <v>75</v>
      </c>
      <c r="K385" s="9" t="s">
        <v>76</v>
      </c>
      <c r="L385" s="9" t="s">
        <v>73</v>
      </c>
      <c r="M385" s="28">
        <v>8701</v>
      </c>
      <c r="N385" s="10">
        <v>42917</v>
      </c>
      <c r="O385" s="10">
        <v>44196</v>
      </c>
      <c r="P385" s="9" t="s">
        <v>791</v>
      </c>
      <c r="Q385" s="9" t="s">
        <v>792</v>
      </c>
      <c r="R385" s="6">
        <v>5.29</v>
      </c>
      <c r="S385" s="6">
        <v>40.5</v>
      </c>
      <c r="T385" s="6">
        <v>264.60000000000002</v>
      </c>
      <c r="U385" s="6">
        <v>22.3</v>
      </c>
      <c r="V385" s="9" t="s">
        <v>793</v>
      </c>
      <c r="W385" s="9" t="s">
        <v>108</v>
      </c>
      <c r="X385" s="6">
        <v>5.4870000000000001</v>
      </c>
      <c r="Y385" s="8"/>
      <c r="Z385" s="6">
        <v>3.214</v>
      </c>
      <c r="AA385" s="8"/>
      <c r="AB385" s="6">
        <v>8.7010000000000005</v>
      </c>
      <c r="AC385" s="6">
        <v>3.121</v>
      </c>
      <c r="AD385" s="6">
        <v>11.821999999999999</v>
      </c>
      <c r="AE385" s="6">
        <v>6.9610000000000003</v>
      </c>
      <c r="AF385" s="8"/>
      <c r="AG385" s="6">
        <v>6.9610000000000003</v>
      </c>
      <c r="AH385" s="7" t="s">
        <v>51</v>
      </c>
      <c r="AI385" s="6" t="s">
        <v>49</v>
      </c>
      <c r="AJ385" s="6" t="s">
        <v>49</v>
      </c>
      <c r="AK385" s="6" t="s">
        <v>49</v>
      </c>
      <c r="AL385" s="9" t="s">
        <v>49</v>
      </c>
      <c r="AM385" s="9" t="s">
        <v>213</v>
      </c>
      <c r="AN385" s="6" t="s">
        <v>49</v>
      </c>
      <c r="AO385" s="9" t="s">
        <v>213</v>
      </c>
      <c r="AP385" s="11">
        <v>779.01295999999991</v>
      </c>
      <c r="AQ385" s="11">
        <v>1057983.1299999999</v>
      </c>
      <c r="AR385" s="11">
        <v>1057983.1216666666</v>
      </c>
      <c r="AS385" s="11">
        <v>7942.51566</v>
      </c>
      <c r="AT385" s="11">
        <v>3898.7190000000001</v>
      </c>
      <c r="AU385" s="11">
        <v>8860</v>
      </c>
      <c r="AV385" s="11" t="s">
        <v>51</v>
      </c>
      <c r="AW385" t="s">
        <v>306</v>
      </c>
    </row>
    <row r="386" spans="1:49" ht="14.5">
      <c r="A386" s="6">
        <v>387</v>
      </c>
      <c r="B386" s="7" t="s">
        <v>794</v>
      </c>
      <c r="C386" s="7" t="s">
        <v>569</v>
      </c>
      <c r="D386" s="6">
        <v>16025</v>
      </c>
      <c r="E386" s="6" t="s">
        <v>795</v>
      </c>
      <c r="F386" s="6">
        <v>82740</v>
      </c>
      <c r="G386" s="8"/>
      <c r="H386" s="7" t="s">
        <v>245</v>
      </c>
      <c r="I386" s="7"/>
      <c r="J386" s="6" t="s">
        <v>75</v>
      </c>
      <c r="K386" s="9" t="s">
        <v>89</v>
      </c>
      <c r="L386" s="9" t="s">
        <v>73</v>
      </c>
      <c r="M386" s="28">
        <v>1102</v>
      </c>
      <c r="N386" s="10">
        <v>43472</v>
      </c>
      <c r="O386" s="10">
        <v>43860</v>
      </c>
      <c r="P386" s="9" t="s">
        <v>791</v>
      </c>
      <c r="Q386" s="9" t="s">
        <v>677</v>
      </c>
      <c r="R386" s="8"/>
      <c r="S386" s="8"/>
      <c r="T386" s="8"/>
      <c r="U386" s="8"/>
      <c r="V386" s="9" t="s">
        <v>49</v>
      </c>
      <c r="W386" s="9" t="s">
        <v>49</v>
      </c>
      <c r="X386" s="6">
        <v>0.60299999999999998</v>
      </c>
      <c r="Y386" s="8"/>
      <c r="Z386" s="6">
        <v>0.499</v>
      </c>
      <c r="AA386" s="8"/>
      <c r="AB386" s="6">
        <v>1.1020000000000001</v>
      </c>
      <c r="AC386" s="8"/>
      <c r="AD386" s="6">
        <v>1.1020000000000001</v>
      </c>
      <c r="AE386" s="6">
        <v>0.88100000000000001</v>
      </c>
      <c r="AF386" s="8"/>
      <c r="AG386" s="6">
        <v>0.88100000000000001</v>
      </c>
      <c r="AH386" s="7" t="s">
        <v>57</v>
      </c>
      <c r="AI386" s="6" t="s">
        <v>49</v>
      </c>
      <c r="AJ386" s="6" t="s">
        <v>49</v>
      </c>
      <c r="AK386" s="6" t="s">
        <v>49</v>
      </c>
      <c r="AL386" s="9" t="s">
        <v>49</v>
      </c>
      <c r="AM386" s="9" t="s">
        <v>122</v>
      </c>
      <c r="AN386" s="6" t="s">
        <v>49</v>
      </c>
      <c r="AO386" s="9" t="s">
        <v>122</v>
      </c>
      <c r="AP386" s="11">
        <v>157.65294</v>
      </c>
      <c r="AQ386" s="11">
        <v>211156.96</v>
      </c>
      <c r="AR386" s="11">
        <v>211156.96583333338</v>
      </c>
      <c r="AS386" s="11">
        <v>215.64103</v>
      </c>
      <c r="AT386" s="11">
        <v>157.65299999999999</v>
      </c>
      <c r="AU386" s="11">
        <v>572</v>
      </c>
      <c r="AV386" s="11" t="s">
        <v>57</v>
      </c>
      <c r="AW386" t="s">
        <v>306</v>
      </c>
    </row>
    <row r="387" spans="1:49" ht="14.5">
      <c r="A387" s="6">
        <v>388</v>
      </c>
      <c r="B387" s="7" t="s">
        <v>796</v>
      </c>
      <c r="C387" s="7" t="s">
        <v>81</v>
      </c>
      <c r="D387" s="6">
        <v>15373</v>
      </c>
      <c r="E387" s="6" t="s">
        <v>797</v>
      </c>
      <c r="F387" s="6">
        <v>66435</v>
      </c>
      <c r="G387" s="8"/>
      <c r="H387" s="7" t="s">
        <v>245</v>
      </c>
      <c r="I387" s="7"/>
      <c r="J387" s="6" t="s">
        <v>75</v>
      </c>
      <c r="K387" s="9" t="s">
        <v>89</v>
      </c>
      <c r="L387" s="9" t="s">
        <v>73</v>
      </c>
      <c r="M387" s="8"/>
      <c r="N387" s="10">
        <v>42919</v>
      </c>
      <c r="O387" s="10">
        <v>44196</v>
      </c>
      <c r="P387" s="9" t="s">
        <v>798</v>
      </c>
      <c r="Q387" s="9" t="s">
        <v>799</v>
      </c>
      <c r="R387" s="8"/>
      <c r="S387" s="8"/>
      <c r="T387" s="8"/>
      <c r="U387" s="12"/>
      <c r="V387" s="9" t="s">
        <v>49</v>
      </c>
      <c r="W387" s="9" t="s">
        <v>49</v>
      </c>
      <c r="X387" s="8"/>
      <c r="Y387" s="8"/>
      <c r="Z387" s="8"/>
      <c r="AA387" s="8"/>
      <c r="AB387" s="8"/>
      <c r="AC387" s="6">
        <v>2.6709999999999998</v>
      </c>
      <c r="AD387" s="6">
        <v>2.6709999999999998</v>
      </c>
      <c r="AE387" s="8"/>
      <c r="AF387" s="8"/>
      <c r="AG387" s="8"/>
      <c r="AH387" s="7" t="s">
        <v>51</v>
      </c>
      <c r="AI387" s="6" t="s">
        <v>49</v>
      </c>
      <c r="AJ387" s="6" t="s">
        <v>49</v>
      </c>
      <c r="AK387" s="6" t="s">
        <v>49</v>
      </c>
      <c r="AL387" s="9" t="s">
        <v>49</v>
      </c>
      <c r="AM387" s="9" t="s">
        <v>769</v>
      </c>
      <c r="AN387" s="6" t="s">
        <v>49</v>
      </c>
      <c r="AO387" s="9" t="s">
        <v>769</v>
      </c>
      <c r="AP387" s="11">
        <v>0</v>
      </c>
      <c r="AQ387" s="11">
        <v>0</v>
      </c>
      <c r="AR387" s="11">
        <v>0</v>
      </c>
      <c r="AS387" s="11">
        <v>0</v>
      </c>
      <c r="AT387" s="11">
        <v>0</v>
      </c>
      <c r="AU387" s="11">
        <v>0</v>
      </c>
      <c r="AV387" s="11" t="s">
        <v>51</v>
      </c>
    </row>
    <row r="388" spans="1:49" ht="14.5">
      <c r="A388" s="6">
        <v>389</v>
      </c>
      <c r="B388" s="7" t="s">
        <v>798</v>
      </c>
      <c r="C388" s="7" t="s">
        <v>81</v>
      </c>
      <c r="D388" s="6">
        <v>15373</v>
      </c>
      <c r="E388" s="6" t="s">
        <v>49</v>
      </c>
      <c r="F388" s="8"/>
      <c r="G388" s="8"/>
      <c r="H388" s="7" t="s">
        <v>49</v>
      </c>
      <c r="I388" s="7"/>
      <c r="J388" s="6" t="s">
        <v>49</v>
      </c>
      <c r="K388" s="9" t="s">
        <v>49</v>
      </c>
      <c r="L388" s="9" t="s">
        <v>49</v>
      </c>
      <c r="M388" s="8"/>
      <c r="N388" s="10">
        <v>42919</v>
      </c>
      <c r="O388" s="10">
        <v>44196</v>
      </c>
      <c r="P388" s="9" t="s">
        <v>49</v>
      </c>
      <c r="Q388" s="9" t="s">
        <v>49</v>
      </c>
      <c r="R388" s="8"/>
      <c r="S388" s="8"/>
      <c r="T388" s="8"/>
      <c r="U388" s="8"/>
      <c r="V388" s="9" t="s">
        <v>49</v>
      </c>
      <c r="W388" s="9" t="s">
        <v>49</v>
      </c>
      <c r="X388" s="8"/>
      <c r="Y388" s="8"/>
      <c r="Z388" s="8"/>
      <c r="AA388" s="8"/>
      <c r="AB388" s="8"/>
      <c r="AC388" s="6">
        <v>4</v>
      </c>
      <c r="AD388" s="6">
        <v>4</v>
      </c>
      <c r="AE388" s="8"/>
      <c r="AF388" s="8"/>
      <c r="AG388" s="8"/>
      <c r="AH388" s="7" t="s">
        <v>57</v>
      </c>
      <c r="AI388" s="6" t="s">
        <v>71</v>
      </c>
      <c r="AJ388" s="6" t="s">
        <v>49</v>
      </c>
      <c r="AK388" s="6" t="s">
        <v>49</v>
      </c>
      <c r="AL388" s="9" t="s">
        <v>769</v>
      </c>
      <c r="AM388" s="9" t="s">
        <v>49</v>
      </c>
      <c r="AN388" s="6" t="s">
        <v>73</v>
      </c>
      <c r="AO388" s="9" t="s">
        <v>49</v>
      </c>
      <c r="AP388" s="11">
        <v>7248.8885899999996</v>
      </c>
      <c r="AQ388" s="11">
        <v>0</v>
      </c>
      <c r="AR388" s="11">
        <v>0</v>
      </c>
      <c r="AS388" s="11">
        <v>41681.266040000002</v>
      </c>
      <c r="AT388" s="11">
        <v>50825.983</v>
      </c>
      <c r="AU388" s="11">
        <v>0</v>
      </c>
      <c r="AV388" s="11">
        <v>0</v>
      </c>
    </row>
    <row r="389" spans="1:49" ht="14.5" hidden="1">
      <c r="A389" s="6">
        <v>390</v>
      </c>
      <c r="B389" s="7" t="s">
        <v>800</v>
      </c>
      <c r="C389" s="7" t="s">
        <v>569</v>
      </c>
      <c r="D389" s="6">
        <v>15374</v>
      </c>
      <c r="E389" s="6" t="s">
        <v>801</v>
      </c>
      <c r="F389" s="6">
        <v>33106</v>
      </c>
      <c r="G389" s="8"/>
      <c r="H389" s="7" t="s">
        <v>49</v>
      </c>
      <c r="I389" s="7"/>
      <c r="J389" s="6" t="s">
        <v>49</v>
      </c>
      <c r="K389" s="9" t="s">
        <v>49</v>
      </c>
      <c r="L389" s="9" t="s">
        <v>73</v>
      </c>
      <c r="M389" s="8"/>
      <c r="N389" s="10">
        <v>42401</v>
      </c>
      <c r="O389" s="10">
        <v>44196</v>
      </c>
      <c r="P389" s="9" t="s">
        <v>802</v>
      </c>
      <c r="Q389" s="9" t="s">
        <v>764</v>
      </c>
      <c r="R389" s="8"/>
      <c r="S389" s="8"/>
      <c r="T389" s="8"/>
      <c r="U389" s="6">
        <v>55</v>
      </c>
      <c r="V389" s="9" t="s">
        <v>49</v>
      </c>
      <c r="W389" s="9" t="s">
        <v>108</v>
      </c>
      <c r="X389" s="8"/>
      <c r="Y389" s="8"/>
      <c r="Z389" s="8"/>
      <c r="AA389" s="8"/>
      <c r="AB389" s="8"/>
      <c r="AC389" s="8"/>
      <c r="AD389" s="8"/>
      <c r="AE389" s="8"/>
      <c r="AF389" s="8"/>
      <c r="AG389" s="8"/>
      <c r="AH389" s="7" t="s">
        <v>51</v>
      </c>
      <c r="AI389" s="6" t="s">
        <v>49</v>
      </c>
      <c r="AJ389" s="6" t="s">
        <v>49</v>
      </c>
      <c r="AK389" s="6" t="s">
        <v>49</v>
      </c>
      <c r="AL389" s="9" t="s">
        <v>49</v>
      </c>
      <c r="AM389" s="9" t="s">
        <v>607</v>
      </c>
      <c r="AN389" s="6" t="s">
        <v>49</v>
      </c>
      <c r="AO389" s="9" t="s">
        <v>162</v>
      </c>
      <c r="AP389" s="11">
        <v>2.0704600000000002</v>
      </c>
      <c r="AQ389" s="11">
        <v>12281.76</v>
      </c>
      <c r="AR389" s="11">
        <v>12281.760416666675</v>
      </c>
      <c r="AS389" s="11">
        <v>507.09330999999997</v>
      </c>
      <c r="AT389" s="11">
        <v>2.0699999999999998</v>
      </c>
      <c r="AU389" s="11">
        <v>0</v>
      </c>
      <c r="AV389" s="11" t="s">
        <v>51</v>
      </c>
    </row>
    <row r="390" spans="1:49" ht="14.5" hidden="1">
      <c r="A390" s="6">
        <v>391</v>
      </c>
      <c r="B390" s="7" t="s">
        <v>803</v>
      </c>
      <c r="C390" s="7" t="s">
        <v>49</v>
      </c>
      <c r="D390" s="6">
        <v>15644</v>
      </c>
      <c r="E390" s="6" t="s">
        <v>49</v>
      </c>
      <c r="F390" s="8"/>
      <c r="G390" s="8"/>
      <c r="H390" s="7" t="s">
        <v>49</v>
      </c>
      <c r="I390" s="7"/>
      <c r="J390" s="6" t="s">
        <v>49</v>
      </c>
      <c r="K390" s="9" t="s">
        <v>49</v>
      </c>
      <c r="L390" s="9" t="s">
        <v>49</v>
      </c>
      <c r="M390" s="8"/>
      <c r="N390" s="12"/>
      <c r="O390" s="12"/>
      <c r="P390" s="9" t="s">
        <v>49</v>
      </c>
      <c r="Q390" s="9" t="s">
        <v>49</v>
      </c>
      <c r="R390" s="8"/>
      <c r="S390" s="8"/>
      <c r="T390" s="8"/>
      <c r="U390" s="8"/>
      <c r="V390" s="9" t="s">
        <v>49</v>
      </c>
      <c r="W390" s="9" t="s">
        <v>49</v>
      </c>
      <c r="X390" s="8"/>
      <c r="Y390" s="8"/>
      <c r="Z390" s="8"/>
      <c r="AA390" s="8"/>
      <c r="AB390" s="8"/>
      <c r="AC390" s="8"/>
      <c r="AD390" s="8"/>
      <c r="AE390" s="8"/>
      <c r="AF390" s="8"/>
      <c r="AG390" s="8"/>
      <c r="AH390" s="7" t="s">
        <v>79</v>
      </c>
      <c r="AI390" s="6" t="s">
        <v>110</v>
      </c>
      <c r="AJ390" s="6" t="s">
        <v>49</v>
      </c>
      <c r="AK390" s="6" t="s">
        <v>49</v>
      </c>
      <c r="AL390" s="9" t="s">
        <v>111</v>
      </c>
      <c r="AM390" s="9" t="s">
        <v>49</v>
      </c>
      <c r="AN390" s="6" t="s">
        <v>82</v>
      </c>
      <c r="AO390" s="9" t="s">
        <v>49</v>
      </c>
      <c r="AP390" s="11">
        <v>7248.8885899999996</v>
      </c>
      <c r="AQ390" s="11">
        <v>0</v>
      </c>
      <c r="AR390" s="11">
        <v>0</v>
      </c>
      <c r="AS390" s="11">
        <v>41681.266040000002</v>
      </c>
      <c r="AT390" s="11">
        <v>50825.983</v>
      </c>
      <c r="AU390" s="11">
        <v>0</v>
      </c>
      <c r="AV390" s="11">
        <v>0</v>
      </c>
    </row>
    <row r="391" spans="1:49" ht="14.5" hidden="1">
      <c r="A391" s="6">
        <v>392</v>
      </c>
      <c r="B391" s="7" t="s">
        <v>804</v>
      </c>
      <c r="C391" s="7" t="s">
        <v>49</v>
      </c>
      <c r="D391" s="6">
        <v>15367</v>
      </c>
      <c r="E391" s="6" t="s">
        <v>805</v>
      </c>
      <c r="F391" s="8"/>
      <c r="G391" s="8"/>
      <c r="H391" s="7" t="s">
        <v>49</v>
      </c>
      <c r="I391" s="7"/>
      <c r="J391" s="6" t="s">
        <v>49</v>
      </c>
      <c r="K391" s="9" t="s">
        <v>49</v>
      </c>
      <c r="L391" s="9" t="s">
        <v>49</v>
      </c>
      <c r="M391" s="8"/>
      <c r="N391" s="10">
        <v>43556</v>
      </c>
      <c r="O391" s="10">
        <v>45994</v>
      </c>
      <c r="P391" s="9" t="s">
        <v>49</v>
      </c>
      <c r="Q391" s="9" t="s">
        <v>49</v>
      </c>
      <c r="R391" s="8"/>
      <c r="S391" s="8"/>
      <c r="T391" s="8"/>
      <c r="U391" s="8"/>
      <c r="V391" s="9" t="s">
        <v>49</v>
      </c>
      <c r="W391" s="9" t="s">
        <v>49</v>
      </c>
      <c r="X391" s="8"/>
      <c r="Y391" s="8"/>
      <c r="Z391" s="8"/>
      <c r="AA391" s="8"/>
      <c r="AB391" s="8"/>
      <c r="AC391" s="8"/>
      <c r="AD391" s="8"/>
      <c r="AE391" s="8"/>
      <c r="AF391" s="8"/>
      <c r="AG391" s="8"/>
      <c r="AH391" s="7" t="s">
        <v>57</v>
      </c>
      <c r="AI391" s="6" t="s">
        <v>49</v>
      </c>
      <c r="AJ391" s="6" t="s">
        <v>49</v>
      </c>
      <c r="AK391" s="6" t="s">
        <v>49</v>
      </c>
      <c r="AL391" s="9" t="s">
        <v>49</v>
      </c>
      <c r="AM391" s="9" t="s">
        <v>122</v>
      </c>
      <c r="AN391" s="6" t="s">
        <v>49</v>
      </c>
      <c r="AO391" s="9" t="s">
        <v>122</v>
      </c>
      <c r="AP391" s="11">
        <v>0</v>
      </c>
      <c r="AQ391" s="11">
        <v>0</v>
      </c>
      <c r="AR391" s="11">
        <v>0</v>
      </c>
      <c r="AS391" s="11">
        <v>0</v>
      </c>
      <c r="AT391" s="11">
        <v>0</v>
      </c>
      <c r="AU391" s="11">
        <v>0</v>
      </c>
      <c r="AV391" s="11" t="s">
        <v>57</v>
      </c>
    </row>
    <row r="392" spans="1:49" ht="14.5" hidden="1">
      <c r="A392" s="6">
        <v>393</v>
      </c>
      <c r="B392" s="7" t="s">
        <v>806</v>
      </c>
      <c r="C392" s="7" t="s">
        <v>49</v>
      </c>
      <c r="D392" s="6">
        <v>15289</v>
      </c>
      <c r="E392" s="6" t="s">
        <v>807</v>
      </c>
      <c r="F392" s="8"/>
      <c r="G392" s="8"/>
      <c r="H392" s="7" t="s">
        <v>49</v>
      </c>
      <c r="I392" s="7"/>
      <c r="J392" s="6" t="s">
        <v>49</v>
      </c>
      <c r="K392" s="9" t="s">
        <v>49</v>
      </c>
      <c r="L392" s="9" t="s">
        <v>49</v>
      </c>
      <c r="M392" s="8"/>
      <c r="N392" s="10">
        <v>43131</v>
      </c>
      <c r="O392" s="10">
        <v>43858</v>
      </c>
      <c r="P392" s="9" t="s">
        <v>49</v>
      </c>
      <c r="Q392" s="9" t="s">
        <v>49</v>
      </c>
      <c r="R392" s="8"/>
      <c r="S392" s="8"/>
      <c r="T392" s="8"/>
      <c r="U392" s="8"/>
      <c r="V392" s="9" t="s">
        <v>49</v>
      </c>
      <c r="W392" s="9" t="s">
        <v>49</v>
      </c>
      <c r="X392" s="8"/>
      <c r="Y392" s="8"/>
      <c r="Z392" s="8"/>
      <c r="AA392" s="8"/>
      <c r="AB392" s="8"/>
      <c r="AC392" s="8"/>
      <c r="AD392" s="8"/>
      <c r="AE392" s="8"/>
      <c r="AF392" s="8"/>
      <c r="AG392" s="8"/>
      <c r="AH392" s="7" t="s">
        <v>51</v>
      </c>
      <c r="AI392" s="6" t="s">
        <v>49</v>
      </c>
      <c r="AJ392" s="6" t="s">
        <v>49</v>
      </c>
      <c r="AK392" s="6" t="s">
        <v>49</v>
      </c>
      <c r="AL392" s="9" t="s">
        <v>49</v>
      </c>
      <c r="AM392" s="9" t="s">
        <v>200</v>
      </c>
      <c r="AN392" s="6" t="s">
        <v>49</v>
      </c>
      <c r="AO392" s="9" t="s">
        <v>200</v>
      </c>
      <c r="AP392" s="11">
        <v>0</v>
      </c>
      <c r="AQ392" s="11">
        <v>0</v>
      </c>
      <c r="AR392" s="11">
        <v>0</v>
      </c>
      <c r="AS392" s="11">
        <v>0</v>
      </c>
      <c r="AT392" s="11">
        <v>0</v>
      </c>
      <c r="AU392" s="11">
        <v>0</v>
      </c>
      <c r="AV392" s="11" t="s">
        <v>51</v>
      </c>
    </row>
    <row r="393" spans="1:49" ht="14.5" hidden="1">
      <c r="A393" s="6">
        <v>394</v>
      </c>
      <c r="B393" s="7" t="s">
        <v>808</v>
      </c>
      <c r="C393" s="7" t="s">
        <v>49</v>
      </c>
      <c r="D393" s="6">
        <v>15289</v>
      </c>
      <c r="E393" s="6" t="s">
        <v>49</v>
      </c>
      <c r="F393" s="8"/>
      <c r="G393" s="8"/>
      <c r="H393" s="7" t="s">
        <v>49</v>
      </c>
      <c r="I393" s="7"/>
      <c r="J393" s="6" t="s">
        <v>49</v>
      </c>
      <c r="K393" s="9" t="s">
        <v>49</v>
      </c>
      <c r="L393" s="9" t="s">
        <v>49</v>
      </c>
      <c r="M393" s="8"/>
      <c r="N393" s="10">
        <v>43131</v>
      </c>
      <c r="O393" s="10">
        <v>43858</v>
      </c>
      <c r="P393" s="9" t="s">
        <v>49</v>
      </c>
      <c r="Q393" s="9" t="s">
        <v>49</v>
      </c>
      <c r="R393" s="8"/>
      <c r="S393" s="8"/>
      <c r="T393" s="8"/>
      <c r="U393" s="8"/>
      <c r="V393" s="9" t="s">
        <v>49</v>
      </c>
      <c r="W393" s="9" t="s">
        <v>49</v>
      </c>
      <c r="X393" s="8"/>
      <c r="Y393" s="8"/>
      <c r="Z393" s="8"/>
      <c r="AA393" s="8"/>
      <c r="AB393" s="8"/>
      <c r="AC393" s="8"/>
      <c r="AD393" s="8"/>
      <c r="AE393" s="8"/>
      <c r="AF393" s="8"/>
      <c r="AG393" s="8"/>
      <c r="AH393" s="7" t="s">
        <v>51</v>
      </c>
      <c r="AI393" s="6" t="s">
        <v>71</v>
      </c>
      <c r="AJ393" s="6" t="s">
        <v>49</v>
      </c>
      <c r="AK393" s="6" t="s">
        <v>49</v>
      </c>
      <c r="AL393" s="9" t="s">
        <v>200</v>
      </c>
      <c r="AM393" s="9" t="s">
        <v>49</v>
      </c>
      <c r="AN393" s="6" t="s">
        <v>96</v>
      </c>
      <c r="AO393" s="9" t="s">
        <v>49</v>
      </c>
      <c r="AP393" s="11">
        <v>7248.8885899999996</v>
      </c>
      <c r="AQ393" s="11">
        <v>0</v>
      </c>
      <c r="AR393" s="11">
        <v>0</v>
      </c>
      <c r="AS393" s="11">
        <v>41681.266040000002</v>
      </c>
      <c r="AT393" s="11">
        <v>50825.983</v>
      </c>
      <c r="AU393" s="11">
        <v>0</v>
      </c>
      <c r="AV393" s="11">
        <v>0</v>
      </c>
    </row>
    <row r="394" spans="1:49" ht="14.5" hidden="1">
      <c r="A394" s="6">
        <v>395</v>
      </c>
      <c r="B394" s="7" t="s">
        <v>809</v>
      </c>
      <c r="C394" s="7" t="s">
        <v>49</v>
      </c>
      <c r="D394" s="6">
        <v>15508</v>
      </c>
      <c r="E394" s="6" t="s">
        <v>49</v>
      </c>
      <c r="F394" s="8"/>
      <c r="G394" s="8"/>
      <c r="H394" s="7" t="s">
        <v>49</v>
      </c>
      <c r="I394" s="7"/>
      <c r="J394" s="6" t="s">
        <v>49</v>
      </c>
      <c r="K394" s="9" t="s">
        <v>49</v>
      </c>
      <c r="L394" s="9" t="s">
        <v>49</v>
      </c>
      <c r="M394" s="8"/>
      <c r="N394" s="10">
        <v>43536</v>
      </c>
      <c r="O394" s="10">
        <v>43879</v>
      </c>
      <c r="P394" s="9" t="s">
        <v>49</v>
      </c>
      <c r="Q394" s="9" t="s">
        <v>49</v>
      </c>
      <c r="R394" s="8"/>
      <c r="S394" s="8"/>
      <c r="T394" s="8"/>
      <c r="U394" s="8"/>
      <c r="V394" s="9" t="s">
        <v>49</v>
      </c>
      <c r="W394" s="9" t="s">
        <v>49</v>
      </c>
      <c r="X394" s="8"/>
      <c r="Y394" s="8"/>
      <c r="Z394" s="8"/>
      <c r="AA394" s="8"/>
      <c r="AB394" s="8"/>
      <c r="AC394" s="8"/>
      <c r="AD394" s="8"/>
      <c r="AE394" s="8"/>
      <c r="AF394" s="8"/>
      <c r="AG394" s="8"/>
      <c r="AH394" s="7" t="s">
        <v>79</v>
      </c>
      <c r="AI394" s="6" t="s">
        <v>810</v>
      </c>
      <c r="AJ394" s="6" t="s">
        <v>49</v>
      </c>
      <c r="AK394" s="6" t="s">
        <v>49</v>
      </c>
      <c r="AL394" s="9" t="s">
        <v>811</v>
      </c>
      <c r="AM394" s="9" t="s">
        <v>49</v>
      </c>
      <c r="AN394" s="6" t="s">
        <v>812</v>
      </c>
      <c r="AO394" s="9" t="s">
        <v>49</v>
      </c>
      <c r="AP394" s="11">
        <v>7248.8885899999996</v>
      </c>
      <c r="AQ394" s="11">
        <v>0</v>
      </c>
      <c r="AR394" s="11">
        <v>0</v>
      </c>
      <c r="AS394" s="11">
        <v>41681.266040000002</v>
      </c>
      <c r="AT394" s="11">
        <v>50825.983</v>
      </c>
      <c r="AU394" s="11">
        <v>0</v>
      </c>
      <c r="AV394" s="11">
        <v>0</v>
      </c>
    </row>
    <row r="395" spans="1:49" ht="14.5" hidden="1">
      <c r="A395" s="6">
        <v>396</v>
      </c>
      <c r="B395" s="7" t="s">
        <v>809</v>
      </c>
      <c r="C395" s="7" t="s">
        <v>49</v>
      </c>
      <c r="D395" s="6">
        <v>15508</v>
      </c>
      <c r="E395" s="6" t="s">
        <v>813</v>
      </c>
      <c r="F395" s="8"/>
      <c r="G395" s="8"/>
      <c r="H395" s="7" t="s">
        <v>49</v>
      </c>
      <c r="I395" s="7"/>
      <c r="J395" s="6" t="s">
        <v>49</v>
      </c>
      <c r="K395" s="9" t="s">
        <v>49</v>
      </c>
      <c r="L395" s="9" t="s">
        <v>49</v>
      </c>
      <c r="M395" s="8"/>
      <c r="N395" s="10">
        <v>43536</v>
      </c>
      <c r="O395" s="10">
        <v>43879</v>
      </c>
      <c r="P395" s="9" t="s">
        <v>49</v>
      </c>
      <c r="Q395" s="9" t="s">
        <v>49</v>
      </c>
      <c r="R395" s="8"/>
      <c r="S395" s="8"/>
      <c r="T395" s="8"/>
      <c r="U395" s="8"/>
      <c r="V395" s="9" t="s">
        <v>49</v>
      </c>
      <c r="W395" s="9" t="s">
        <v>49</v>
      </c>
      <c r="X395" s="8"/>
      <c r="Y395" s="8"/>
      <c r="Z395" s="8"/>
      <c r="AA395" s="8"/>
      <c r="AB395" s="8"/>
      <c r="AC395" s="8"/>
      <c r="AD395" s="8"/>
      <c r="AE395" s="8"/>
      <c r="AF395" s="8"/>
      <c r="AG395" s="8"/>
      <c r="AH395" s="7" t="s">
        <v>57</v>
      </c>
      <c r="AI395" s="6" t="s">
        <v>49</v>
      </c>
      <c r="AJ395" s="6" t="s">
        <v>49</v>
      </c>
      <c r="AK395" s="6" t="s">
        <v>49</v>
      </c>
      <c r="AL395" s="9" t="s">
        <v>49</v>
      </c>
      <c r="AM395" s="9" t="s">
        <v>811</v>
      </c>
      <c r="AN395" s="6" t="s">
        <v>49</v>
      </c>
      <c r="AO395" s="9" t="s">
        <v>811</v>
      </c>
      <c r="AP395" s="11">
        <v>0</v>
      </c>
      <c r="AQ395" s="11">
        <v>0</v>
      </c>
      <c r="AR395" s="11">
        <v>0</v>
      </c>
      <c r="AS395" s="11">
        <v>0</v>
      </c>
      <c r="AT395" s="11">
        <v>0</v>
      </c>
      <c r="AU395" s="11">
        <v>0</v>
      </c>
      <c r="AV395" s="11" t="s">
        <v>57</v>
      </c>
    </row>
    <row r="396" spans="1:49" ht="14.5" hidden="1">
      <c r="A396" s="6">
        <v>397</v>
      </c>
      <c r="B396" s="7" t="s">
        <v>814</v>
      </c>
      <c r="C396" s="7" t="s">
        <v>49</v>
      </c>
      <c r="D396" s="6">
        <v>15490</v>
      </c>
      <c r="E396" s="6" t="s">
        <v>49</v>
      </c>
      <c r="F396" s="8"/>
      <c r="G396" s="8"/>
      <c r="H396" s="7" t="s">
        <v>49</v>
      </c>
      <c r="I396" s="7"/>
      <c r="J396" s="6" t="s">
        <v>49</v>
      </c>
      <c r="K396" s="9" t="s">
        <v>49</v>
      </c>
      <c r="L396" s="9" t="s">
        <v>49</v>
      </c>
      <c r="M396" s="8"/>
      <c r="N396" s="8"/>
      <c r="O396" s="10">
        <v>43525</v>
      </c>
      <c r="P396" s="9" t="s">
        <v>49</v>
      </c>
      <c r="Q396" s="9" t="s">
        <v>49</v>
      </c>
      <c r="R396" s="8"/>
      <c r="S396" s="8"/>
      <c r="T396" s="8"/>
      <c r="U396" s="8"/>
      <c r="V396" s="9" t="s">
        <v>49</v>
      </c>
      <c r="W396" s="9" t="s">
        <v>49</v>
      </c>
      <c r="X396" s="8"/>
      <c r="Y396" s="8"/>
      <c r="Z396" s="8"/>
      <c r="AA396" s="8"/>
      <c r="AB396" s="8"/>
      <c r="AC396" s="8"/>
      <c r="AD396" s="8"/>
      <c r="AE396" s="8"/>
      <c r="AF396" s="8"/>
      <c r="AG396" s="8"/>
      <c r="AH396" s="7" t="s">
        <v>57</v>
      </c>
      <c r="AI396" s="6" t="s">
        <v>71</v>
      </c>
      <c r="AJ396" s="6" t="s">
        <v>49</v>
      </c>
      <c r="AK396" s="6" t="s">
        <v>49</v>
      </c>
      <c r="AL396" s="9" t="s">
        <v>67</v>
      </c>
      <c r="AM396" s="9" t="s">
        <v>49</v>
      </c>
      <c r="AN396" s="6" t="s">
        <v>85</v>
      </c>
      <c r="AO396" s="9" t="s">
        <v>49</v>
      </c>
      <c r="AP396" s="11">
        <v>7248.8885899999996</v>
      </c>
      <c r="AQ396" s="11">
        <v>0</v>
      </c>
      <c r="AR396" s="11">
        <v>0</v>
      </c>
      <c r="AS396" s="11">
        <v>41681.266040000002</v>
      </c>
      <c r="AT396" s="11">
        <v>50825.983</v>
      </c>
      <c r="AU396" s="11">
        <v>0</v>
      </c>
      <c r="AV396" s="11">
        <v>0</v>
      </c>
    </row>
    <row r="397" spans="1:49" ht="14.5" hidden="1">
      <c r="A397" s="6">
        <v>398</v>
      </c>
      <c r="B397" s="7" t="s">
        <v>815</v>
      </c>
      <c r="C397" s="7" t="s">
        <v>49</v>
      </c>
      <c r="D397" s="6">
        <v>15490</v>
      </c>
      <c r="E397" s="6" t="s">
        <v>816</v>
      </c>
      <c r="F397" s="8"/>
      <c r="G397" s="8"/>
      <c r="H397" s="7" t="s">
        <v>49</v>
      </c>
      <c r="I397" s="7"/>
      <c r="J397" s="6" t="s">
        <v>49</v>
      </c>
      <c r="K397" s="9" t="s">
        <v>49</v>
      </c>
      <c r="L397" s="9" t="s">
        <v>49</v>
      </c>
      <c r="M397" s="8"/>
      <c r="N397" s="12"/>
      <c r="O397" s="10">
        <v>43525</v>
      </c>
      <c r="P397" s="9" t="s">
        <v>49</v>
      </c>
      <c r="Q397" s="9" t="s">
        <v>49</v>
      </c>
      <c r="R397" s="8"/>
      <c r="S397" s="8"/>
      <c r="T397" s="8"/>
      <c r="U397" s="8"/>
      <c r="V397" s="9" t="s">
        <v>49</v>
      </c>
      <c r="W397" s="9" t="s">
        <v>49</v>
      </c>
      <c r="X397" s="8"/>
      <c r="Y397" s="8"/>
      <c r="Z397" s="8"/>
      <c r="AA397" s="8"/>
      <c r="AB397" s="8"/>
      <c r="AC397" s="8"/>
      <c r="AD397" s="8"/>
      <c r="AE397" s="8"/>
      <c r="AF397" s="8"/>
      <c r="AG397" s="8"/>
      <c r="AH397" s="7" t="s">
        <v>57</v>
      </c>
      <c r="AI397" s="6" t="s">
        <v>49</v>
      </c>
      <c r="AJ397" s="6" t="s">
        <v>49</v>
      </c>
      <c r="AK397" s="6" t="s">
        <v>49</v>
      </c>
      <c r="AL397" s="9" t="s">
        <v>49</v>
      </c>
      <c r="AM397" s="9" t="s">
        <v>67</v>
      </c>
      <c r="AN397" s="6" t="s">
        <v>49</v>
      </c>
      <c r="AO397" s="9" t="s">
        <v>67</v>
      </c>
      <c r="AP397" s="11">
        <v>0</v>
      </c>
      <c r="AQ397" s="11">
        <v>0</v>
      </c>
      <c r="AR397" s="11">
        <v>0</v>
      </c>
      <c r="AS397" s="11">
        <v>0</v>
      </c>
      <c r="AT397" s="11">
        <v>0</v>
      </c>
      <c r="AU397" s="11">
        <v>0</v>
      </c>
      <c r="AV397" s="11" t="s">
        <v>57</v>
      </c>
    </row>
    <row r="398" spans="1:49" ht="14.5" hidden="1">
      <c r="A398" s="6">
        <v>399</v>
      </c>
      <c r="B398" s="7" t="s">
        <v>817</v>
      </c>
      <c r="C398" s="7" t="s">
        <v>49</v>
      </c>
      <c r="D398" s="6">
        <v>12511</v>
      </c>
      <c r="E398" s="6" t="s">
        <v>49</v>
      </c>
      <c r="F398" s="8"/>
      <c r="G398" s="8"/>
      <c r="H398" s="7" t="s">
        <v>49</v>
      </c>
      <c r="I398" s="7"/>
      <c r="J398" s="6" t="s">
        <v>49</v>
      </c>
      <c r="K398" s="9" t="s">
        <v>49</v>
      </c>
      <c r="L398" s="9" t="s">
        <v>49</v>
      </c>
      <c r="M398" s="8"/>
      <c r="N398" s="10">
        <v>42942</v>
      </c>
      <c r="O398" s="10">
        <v>44285</v>
      </c>
      <c r="P398" s="9" t="s">
        <v>49</v>
      </c>
      <c r="Q398" s="9" t="s">
        <v>49</v>
      </c>
      <c r="R398" s="8"/>
      <c r="S398" s="8"/>
      <c r="T398" s="8"/>
      <c r="U398" s="8"/>
      <c r="V398" s="9" t="s">
        <v>49</v>
      </c>
      <c r="W398" s="9" t="s">
        <v>49</v>
      </c>
      <c r="X398" s="8"/>
      <c r="Y398" s="8"/>
      <c r="Z398" s="8"/>
      <c r="AA398" s="8"/>
      <c r="AB398" s="8"/>
      <c r="AC398" s="8"/>
      <c r="AD398" s="8"/>
      <c r="AE398" s="8"/>
      <c r="AF398" s="8"/>
      <c r="AG398" s="8"/>
      <c r="AH398" s="7" t="s">
        <v>51</v>
      </c>
      <c r="AI398" s="6" t="s">
        <v>71</v>
      </c>
      <c r="AJ398" s="6" t="s">
        <v>49</v>
      </c>
      <c r="AK398" s="6" t="s">
        <v>118</v>
      </c>
      <c r="AL398" s="9" t="s">
        <v>455</v>
      </c>
      <c r="AM398" s="9" t="s">
        <v>49</v>
      </c>
      <c r="AN398" s="6" t="s">
        <v>96</v>
      </c>
      <c r="AO398" s="9" t="s">
        <v>49</v>
      </c>
      <c r="AP398" s="11">
        <v>7248.8885899999996</v>
      </c>
      <c r="AQ398" s="11">
        <v>0</v>
      </c>
      <c r="AR398" s="11">
        <v>0</v>
      </c>
      <c r="AS398" s="11">
        <v>41681.266040000002</v>
      </c>
      <c r="AT398" s="11">
        <v>50825.983</v>
      </c>
      <c r="AU398" s="11">
        <v>0</v>
      </c>
      <c r="AV398" s="11">
        <v>0</v>
      </c>
    </row>
    <row r="399" spans="1:49" ht="14.5" hidden="1">
      <c r="A399" s="6">
        <v>400</v>
      </c>
      <c r="B399" s="7" t="s">
        <v>818</v>
      </c>
      <c r="C399" s="7" t="s">
        <v>49</v>
      </c>
      <c r="D399" s="6">
        <v>12511</v>
      </c>
      <c r="E399" s="6" t="s">
        <v>819</v>
      </c>
      <c r="F399" s="8"/>
      <c r="G399" s="8"/>
      <c r="H399" s="7" t="s">
        <v>49</v>
      </c>
      <c r="I399" s="7"/>
      <c r="J399" s="6" t="s">
        <v>49</v>
      </c>
      <c r="K399" s="9" t="s">
        <v>49</v>
      </c>
      <c r="L399" s="9" t="s">
        <v>49</v>
      </c>
      <c r="M399" s="8"/>
      <c r="N399" s="10">
        <v>42942</v>
      </c>
      <c r="O399" s="10">
        <v>44285</v>
      </c>
      <c r="P399" s="9" t="s">
        <v>49</v>
      </c>
      <c r="Q399" s="9" t="s">
        <v>49</v>
      </c>
      <c r="R399" s="8"/>
      <c r="S399" s="8"/>
      <c r="T399" s="8"/>
      <c r="U399" s="8"/>
      <c r="V399" s="9" t="s">
        <v>49</v>
      </c>
      <c r="W399" s="9" t="s">
        <v>49</v>
      </c>
      <c r="X399" s="8"/>
      <c r="Y399" s="8"/>
      <c r="Z399" s="8"/>
      <c r="AA399" s="8"/>
      <c r="AB399" s="8"/>
      <c r="AC399" s="8"/>
      <c r="AD399" s="8"/>
      <c r="AE399" s="8"/>
      <c r="AF399" s="8"/>
      <c r="AG399" s="8"/>
      <c r="AH399" s="7" t="s">
        <v>51</v>
      </c>
      <c r="AI399" s="6" t="s">
        <v>49</v>
      </c>
      <c r="AJ399" s="6" t="s">
        <v>49</v>
      </c>
      <c r="AK399" s="6" t="s">
        <v>49</v>
      </c>
      <c r="AL399" s="9" t="s">
        <v>49</v>
      </c>
      <c r="AM399" s="9" t="s">
        <v>455</v>
      </c>
      <c r="AN399" s="6" t="s">
        <v>49</v>
      </c>
      <c r="AO399" s="9" t="s">
        <v>242</v>
      </c>
      <c r="AP399" s="11">
        <v>0</v>
      </c>
      <c r="AQ399" s="11">
        <v>0</v>
      </c>
      <c r="AR399" s="11">
        <v>0</v>
      </c>
      <c r="AS399" s="11">
        <v>0</v>
      </c>
      <c r="AT399" s="11">
        <v>0</v>
      </c>
      <c r="AU399" s="11">
        <v>0</v>
      </c>
      <c r="AV399" s="11" t="s">
        <v>51</v>
      </c>
    </row>
    <row r="400" spans="1:49" ht="14.5" hidden="1">
      <c r="A400" s="6">
        <v>401</v>
      </c>
      <c r="B400" s="7" t="s">
        <v>820</v>
      </c>
      <c r="C400" s="7" t="s">
        <v>49</v>
      </c>
      <c r="D400" s="6">
        <v>15439</v>
      </c>
      <c r="E400" s="6" t="s">
        <v>49</v>
      </c>
      <c r="F400" s="8"/>
      <c r="G400" s="8"/>
      <c r="H400" s="7" t="s">
        <v>49</v>
      </c>
      <c r="I400" s="7"/>
      <c r="J400" s="6" t="s">
        <v>49</v>
      </c>
      <c r="K400" s="9" t="s">
        <v>49</v>
      </c>
      <c r="L400" s="9" t="s">
        <v>49</v>
      </c>
      <c r="M400" s="8"/>
      <c r="N400" s="10">
        <v>43676</v>
      </c>
      <c r="O400" s="10">
        <v>43860</v>
      </c>
      <c r="P400" s="9" t="s">
        <v>49</v>
      </c>
      <c r="Q400" s="9" t="s">
        <v>49</v>
      </c>
      <c r="R400" s="8"/>
      <c r="S400" s="8"/>
      <c r="T400" s="8"/>
      <c r="U400" s="8"/>
      <c r="V400" s="9" t="s">
        <v>49</v>
      </c>
      <c r="W400" s="9" t="s">
        <v>49</v>
      </c>
      <c r="X400" s="8"/>
      <c r="Y400" s="8"/>
      <c r="Z400" s="8"/>
      <c r="AA400" s="8"/>
      <c r="AB400" s="8"/>
      <c r="AC400" s="8"/>
      <c r="AD400" s="8"/>
      <c r="AE400" s="8"/>
      <c r="AF400" s="8"/>
      <c r="AG400" s="8"/>
      <c r="AH400" s="7" t="s">
        <v>57</v>
      </c>
      <c r="AI400" s="6" t="s">
        <v>71</v>
      </c>
      <c r="AJ400" s="6" t="s">
        <v>49</v>
      </c>
      <c r="AK400" s="6" t="s">
        <v>49</v>
      </c>
      <c r="AL400" s="9" t="s">
        <v>213</v>
      </c>
      <c r="AM400" s="9" t="s">
        <v>49</v>
      </c>
      <c r="AN400" s="6" t="s">
        <v>96</v>
      </c>
      <c r="AO400" s="9" t="s">
        <v>49</v>
      </c>
      <c r="AP400" s="11">
        <v>7248.8885899999996</v>
      </c>
      <c r="AQ400" s="11">
        <v>0</v>
      </c>
      <c r="AR400" s="11">
        <v>0</v>
      </c>
      <c r="AS400" s="11">
        <v>41681.266040000002</v>
      </c>
      <c r="AT400" s="11">
        <v>50825.983</v>
      </c>
      <c r="AU400" s="11">
        <v>0</v>
      </c>
      <c r="AV400" s="11">
        <v>0</v>
      </c>
    </row>
    <row r="401" spans="1:48" ht="14.5" hidden="1">
      <c r="A401" s="6">
        <v>402</v>
      </c>
      <c r="B401" s="7" t="s">
        <v>821</v>
      </c>
      <c r="C401" s="7" t="s">
        <v>49</v>
      </c>
      <c r="D401" s="6">
        <v>15439</v>
      </c>
      <c r="E401" s="6" t="s">
        <v>822</v>
      </c>
      <c r="F401" s="8"/>
      <c r="G401" s="8"/>
      <c r="H401" s="7" t="s">
        <v>49</v>
      </c>
      <c r="I401" s="7"/>
      <c r="J401" s="6" t="s">
        <v>49</v>
      </c>
      <c r="K401" s="9" t="s">
        <v>49</v>
      </c>
      <c r="L401" s="9" t="s">
        <v>49</v>
      </c>
      <c r="M401" s="8"/>
      <c r="N401" s="10">
        <v>43676</v>
      </c>
      <c r="O401" s="10">
        <v>43860</v>
      </c>
      <c r="P401" s="9" t="s">
        <v>49</v>
      </c>
      <c r="Q401" s="9" t="s">
        <v>49</v>
      </c>
      <c r="R401" s="8"/>
      <c r="S401" s="8"/>
      <c r="T401" s="8"/>
      <c r="U401" s="8"/>
      <c r="V401" s="9" t="s">
        <v>49</v>
      </c>
      <c r="W401" s="9" t="s">
        <v>49</v>
      </c>
      <c r="X401" s="8"/>
      <c r="Y401" s="8"/>
      <c r="Z401" s="8"/>
      <c r="AA401" s="8"/>
      <c r="AB401" s="8"/>
      <c r="AC401" s="8"/>
      <c r="AD401" s="8"/>
      <c r="AE401" s="8"/>
      <c r="AF401" s="8"/>
      <c r="AG401" s="8"/>
      <c r="AH401" s="7" t="s">
        <v>57</v>
      </c>
      <c r="AI401" s="6" t="s">
        <v>49</v>
      </c>
      <c r="AJ401" s="6" t="s">
        <v>49</v>
      </c>
      <c r="AK401" s="6" t="s">
        <v>49</v>
      </c>
      <c r="AL401" s="9" t="s">
        <v>49</v>
      </c>
      <c r="AM401" s="9" t="s">
        <v>823</v>
      </c>
      <c r="AN401" s="6" t="s">
        <v>49</v>
      </c>
      <c r="AO401" s="9" t="s">
        <v>201</v>
      </c>
      <c r="AP401" s="11">
        <v>0</v>
      </c>
      <c r="AQ401" s="11">
        <v>0</v>
      </c>
      <c r="AR401" s="11">
        <v>0</v>
      </c>
      <c r="AS401" s="11">
        <v>0</v>
      </c>
      <c r="AT401" s="11">
        <v>1300</v>
      </c>
      <c r="AU401" s="11">
        <v>0</v>
      </c>
      <c r="AV401" s="11" t="s">
        <v>57</v>
      </c>
    </row>
    <row r="402" spans="1:48" ht="14.5" hidden="1">
      <c r="A402" s="6">
        <v>403</v>
      </c>
      <c r="B402" s="7" t="s">
        <v>824</v>
      </c>
      <c r="C402" s="7" t="s">
        <v>49</v>
      </c>
      <c r="D402" s="6">
        <v>15644</v>
      </c>
      <c r="E402" s="6" t="s">
        <v>49</v>
      </c>
      <c r="F402" s="8"/>
      <c r="G402" s="8"/>
      <c r="H402" s="7" t="s">
        <v>49</v>
      </c>
      <c r="I402" s="7"/>
      <c r="J402" s="6" t="s">
        <v>49</v>
      </c>
      <c r="K402" s="9" t="s">
        <v>49</v>
      </c>
      <c r="L402" s="9" t="s">
        <v>49</v>
      </c>
      <c r="M402" s="8"/>
      <c r="N402" s="8"/>
      <c r="O402" s="8"/>
      <c r="P402" s="9" t="s">
        <v>49</v>
      </c>
      <c r="Q402" s="9" t="s">
        <v>49</v>
      </c>
      <c r="R402" s="8"/>
      <c r="S402" s="8"/>
      <c r="T402" s="8"/>
      <c r="U402" s="8"/>
      <c r="V402" s="9" t="s">
        <v>49</v>
      </c>
      <c r="W402" s="9" t="s">
        <v>49</v>
      </c>
      <c r="X402" s="8"/>
      <c r="Y402" s="8"/>
      <c r="Z402" s="8"/>
      <c r="AA402" s="8"/>
      <c r="AB402" s="8"/>
      <c r="AC402" s="8"/>
      <c r="AD402" s="8"/>
      <c r="AE402" s="8"/>
      <c r="AF402" s="8"/>
      <c r="AG402" s="8"/>
      <c r="AH402" s="7" t="s">
        <v>79</v>
      </c>
      <c r="AI402" s="6" t="s">
        <v>110</v>
      </c>
      <c r="AJ402" s="6" t="s">
        <v>49</v>
      </c>
      <c r="AK402" s="6" t="s">
        <v>49</v>
      </c>
      <c r="AL402" s="9" t="s">
        <v>111</v>
      </c>
      <c r="AM402" s="9" t="s">
        <v>49</v>
      </c>
      <c r="AN402" s="6" t="s">
        <v>82</v>
      </c>
      <c r="AO402" s="9" t="s">
        <v>49</v>
      </c>
      <c r="AP402" s="11">
        <v>7248.8885899999996</v>
      </c>
      <c r="AQ402" s="11">
        <v>0</v>
      </c>
      <c r="AR402" s="11">
        <v>0</v>
      </c>
      <c r="AS402" s="11">
        <v>41681.266040000002</v>
      </c>
      <c r="AT402" s="11">
        <v>50825.983</v>
      </c>
      <c r="AU402" s="11">
        <v>0</v>
      </c>
      <c r="AV402" s="11">
        <v>0</v>
      </c>
    </row>
    <row r="403" spans="1:48" ht="14.5" hidden="1">
      <c r="A403" s="6">
        <v>404</v>
      </c>
      <c r="B403" s="7" t="s">
        <v>825</v>
      </c>
      <c r="C403" s="7" t="s">
        <v>49</v>
      </c>
      <c r="D403" s="6">
        <v>15644</v>
      </c>
      <c r="E403" s="6" t="s">
        <v>49</v>
      </c>
      <c r="F403" s="8"/>
      <c r="G403" s="8"/>
      <c r="H403" s="7" t="s">
        <v>49</v>
      </c>
      <c r="I403" s="7"/>
      <c r="J403" s="6" t="s">
        <v>49</v>
      </c>
      <c r="K403" s="9" t="s">
        <v>49</v>
      </c>
      <c r="L403" s="9" t="s">
        <v>49</v>
      </c>
      <c r="M403" s="8"/>
      <c r="N403" s="12"/>
      <c r="O403" s="12"/>
      <c r="P403" s="9" t="s">
        <v>49</v>
      </c>
      <c r="Q403" s="9" t="s">
        <v>49</v>
      </c>
      <c r="R403" s="8"/>
      <c r="S403" s="8"/>
      <c r="T403" s="8"/>
      <c r="U403" s="8"/>
      <c r="V403" s="9" t="s">
        <v>49</v>
      </c>
      <c r="W403" s="9" t="s">
        <v>49</v>
      </c>
      <c r="X403" s="8"/>
      <c r="Y403" s="8"/>
      <c r="Z403" s="8"/>
      <c r="AA403" s="8"/>
      <c r="AB403" s="8"/>
      <c r="AC403" s="8"/>
      <c r="AD403" s="8"/>
      <c r="AE403" s="8"/>
      <c r="AF403" s="8"/>
      <c r="AG403" s="8"/>
      <c r="AH403" s="7" t="s">
        <v>79</v>
      </c>
      <c r="AI403" s="6" t="s">
        <v>110</v>
      </c>
      <c r="AJ403" s="6" t="s">
        <v>49</v>
      </c>
      <c r="AK403" s="6" t="s">
        <v>49</v>
      </c>
      <c r="AL403" s="9" t="s">
        <v>111</v>
      </c>
      <c r="AM403" s="9" t="s">
        <v>49</v>
      </c>
      <c r="AN403" s="6" t="s">
        <v>82</v>
      </c>
      <c r="AO403" s="9" t="s">
        <v>49</v>
      </c>
      <c r="AP403" s="11">
        <v>7248.8885899999996</v>
      </c>
      <c r="AQ403" s="11">
        <v>0</v>
      </c>
      <c r="AR403" s="11">
        <v>0</v>
      </c>
      <c r="AS403" s="11">
        <v>41681.266040000002</v>
      </c>
      <c r="AT403" s="11">
        <v>50825.983</v>
      </c>
      <c r="AU403" s="11">
        <v>0</v>
      </c>
      <c r="AV403" s="11">
        <v>0</v>
      </c>
    </row>
    <row r="404" spans="1:48" ht="14.5" hidden="1">
      <c r="A404" s="6">
        <v>405</v>
      </c>
      <c r="B404" s="7" t="s">
        <v>826</v>
      </c>
      <c r="C404" s="7" t="s">
        <v>49</v>
      </c>
      <c r="D404" s="6">
        <v>15221</v>
      </c>
      <c r="E404" s="6" t="s">
        <v>49</v>
      </c>
      <c r="F404" s="8"/>
      <c r="G404" s="8"/>
      <c r="H404" s="7" t="s">
        <v>49</v>
      </c>
      <c r="I404" s="7"/>
      <c r="J404" s="6" t="s">
        <v>49</v>
      </c>
      <c r="K404" s="9" t="s">
        <v>49</v>
      </c>
      <c r="L404" s="9" t="s">
        <v>49</v>
      </c>
      <c r="M404" s="8"/>
      <c r="N404" s="10">
        <v>42887</v>
      </c>
      <c r="O404" s="10">
        <v>44196</v>
      </c>
      <c r="P404" s="9" t="s">
        <v>49</v>
      </c>
      <c r="Q404" s="9" t="s">
        <v>49</v>
      </c>
      <c r="R404" s="8"/>
      <c r="S404" s="8"/>
      <c r="T404" s="8"/>
      <c r="U404" s="8"/>
      <c r="V404" s="9" t="s">
        <v>49</v>
      </c>
      <c r="W404" s="9" t="s">
        <v>49</v>
      </c>
      <c r="X404" s="8"/>
      <c r="Y404" s="8"/>
      <c r="Z404" s="8"/>
      <c r="AA404" s="8"/>
      <c r="AB404" s="8"/>
      <c r="AC404" s="8"/>
      <c r="AD404" s="8"/>
      <c r="AE404" s="8"/>
      <c r="AF404" s="8"/>
      <c r="AG404" s="8"/>
      <c r="AH404" s="7" t="s">
        <v>51</v>
      </c>
      <c r="AI404" s="6" t="s">
        <v>71</v>
      </c>
      <c r="AJ404" s="6" t="s">
        <v>49</v>
      </c>
      <c r="AK404" s="6" t="s">
        <v>49</v>
      </c>
      <c r="AL404" s="9" t="s">
        <v>236</v>
      </c>
      <c r="AM404" s="9" t="s">
        <v>49</v>
      </c>
      <c r="AN404" s="6" t="s">
        <v>96</v>
      </c>
      <c r="AO404" s="9" t="s">
        <v>49</v>
      </c>
      <c r="AP404" s="11">
        <v>7248.8885899999996</v>
      </c>
      <c r="AQ404" s="11">
        <v>0</v>
      </c>
      <c r="AR404" s="11">
        <v>0</v>
      </c>
      <c r="AS404" s="11">
        <v>41681.266040000002</v>
      </c>
      <c r="AT404" s="11">
        <v>50825.983</v>
      </c>
      <c r="AU404" s="11">
        <v>0</v>
      </c>
      <c r="AV404" s="11">
        <v>0</v>
      </c>
    </row>
    <row r="405" spans="1:48" ht="14.5" hidden="1">
      <c r="A405" s="6">
        <v>406</v>
      </c>
      <c r="B405" s="7" t="s">
        <v>827</v>
      </c>
      <c r="C405" s="7" t="s">
        <v>49</v>
      </c>
      <c r="D405" s="6">
        <v>15221</v>
      </c>
      <c r="E405" s="6" t="s">
        <v>828</v>
      </c>
      <c r="F405" s="8"/>
      <c r="G405" s="8"/>
      <c r="H405" s="7" t="s">
        <v>49</v>
      </c>
      <c r="I405" s="7"/>
      <c r="J405" s="6" t="s">
        <v>49</v>
      </c>
      <c r="K405" s="9" t="s">
        <v>49</v>
      </c>
      <c r="L405" s="9" t="s">
        <v>49</v>
      </c>
      <c r="M405" s="8"/>
      <c r="N405" s="10">
        <v>42887</v>
      </c>
      <c r="O405" s="10">
        <v>44196</v>
      </c>
      <c r="P405" s="9" t="s">
        <v>49</v>
      </c>
      <c r="Q405" s="9" t="s">
        <v>49</v>
      </c>
      <c r="R405" s="8"/>
      <c r="S405" s="8"/>
      <c r="T405" s="8"/>
      <c r="U405" s="8"/>
      <c r="V405" s="9" t="s">
        <v>49</v>
      </c>
      <c r="W405" s="9" t="s">
        <v>49</v>
      </c>
      <c r="X405" s="8"/>
      <c r="Y405" s="8"/>
      <c r="Z405" s="8"/>
      <c r="AA405" s="8"/>
      <c r="AB405" s="8"/>
      <c r="AC405" s="8"/>
      <c r="AD405" s="8"/>
      <c r="AE405" s="8"/>
      <c r="AF405" s="8"/>
      <c r="AG405" s="8"/>
      <c r="AH405" s="7" t="s">
        <v>51</v>
      </c>
      <c r="AI405" s="6" t="s">
        <v>49</v>
      </c>
      <c r="AJ405" s="6" t="s">
        <v>49</v>
      </c>
      <c r="AK405" s="6" t="s">
        <v>49</v>
      </c>
      <c r="AL405" s="9" t="s">
        <v>49</v>
      </c>
      <c r="AM405" s="9" t="s">
        <v>236</v>
      </c>
      <c r="AN405" s="6" t="s">
        <v>49</v>
      </c>
      <c r="AO405" s="9" t="s">
        <v>236</v>
      </c>
      <c r="AP405" s="11">
        <v>0</v>
      </c>
      <c r="AQ405" s="11">
        <v>0</v>
      </c>
      <c r="AR405" s="11">
        <v>0</v>
      </c>
      <c r="AS405" s="11">
        <v>0</v>
      </c>
      <c r="AT405" s="11">
        <v>0</v>
      </c>
      <c r="AU405" s="11">
        <v>0</v>
      </c>
      <c r="AV405" s="11" t="s">
        <v>51</v>
      </c>
    </row>
    <row r="406" spans="1:48" ht="14.5" hidden="1">
      <c r="A406" s="6">
        <v>407</v>
      </c>
      <c r="B406" s="7" t="s">
        <v>829</v>
      </c>
      <c r="C406" s="7" t="s">
        <v>49</v>
      </c>
      <c r="D406" s="6">
        <v>15221</v>
      </c>
      <c r="E406" s="6" t="s">
        <v>830</v>
      </c>
      <c r="F406" s="8"/>
      <c r="G406" s="8"/>
      <c r="H406" s="7" t="s">
        <v>49</v>
      </c>
      <c r="I406" s="7"/>
      <c r="J406" s="6" t="s">
        <v>49</v>
      </c>
      <c r="K406" s="9" t="s">
        <v>49</v>
      </c>
      <c r="L406" s="9" t="s">
        <v>49</v>
      </c>
      <c r="M406" s="8"/>
      <c r="N406" s="10">
        <v>42916</v>
      </c>
      <c r="O406" s="10">
        <v>44196</v>
      </c>
      <c r="P406" s="9" t="s">
        <v>49</v>
      </c>
      <c r="Q406" s="9" t="s">
        <v>49</v>
      </c>
      <c r="R406" s="8"/>
      <c r="S406" s="8"/>
      <c r="T406" s="8"/>
      <c r="U406" s="8"/>
      <c r="V406" s="9" t="s">
        <v>49</v>
      </c>
      <c r="W406" s="9" t="s">
        <v>49</v>
      </c>
      <c r="X406" s="8"/>
      <c r="Y406" s="8"/>
      <c r="Z406" s="8"/>
      <c r="AA406" s="8"/>
      <c r="AB406" s="8"/>
      <c r="AC406" s="8"/>
      <c r="AD406" s="8"/>
      <c r="AE406" s="8"/>
      <c r="AF406" s="8"/>
      <c r="AG406" s="8"/>
      <c r="AH406" s="7" t="s">
        <v>51</v>
      </c>
      <c r="AI406" s="6" t="s">
        <v>49</v>
      </c>
      <c r="AJ406" s="6" t="s">
        <v>49</v>
      </c>
      <c r="AK406" s="6" t="s">
        <v>49</v>
      </c>
      <c r="AL406" s="9" t="s">
        <v>49</v>
      </c>
      <c r="AM406" s="9" t="s">
        <v>236</v>
      </c>
      <c r="AN406" s="6" t="s">
        <v>49</v>
      </c>
      <c r="AO406" s="9" t="s">
        <v>236</v>
      </c>
      <c r="AP406" s="11">
        <v>0</v>
      </c>
      <c r="AQ406" s="11">
        <v>0</v>
      </c>
      <c r="AR406" s="11">
        <v>0</v>
      </c>
      <c r="AS406" s="11">
        <v>0</v>
      </c>
      <c r="AT406" s="11">
        <v>0</v>
      </c>
      <c r="AU406" s="11">
        <v>0</v>
      </c>
      <c r="AV406" s="11" t="s">
        <v>51</v>
      </c>
    </row>
    <row r="407" spans="1:48" ht="14.5" hidden="1">
      <c r="A407" s="6">
        <v>408</v>
      </c>
      <c r="B407" s="7" t="s">
        <v>831</v>
      </c>
      <c r="C407" s="7" t="s">
        <v>49</v>
      </c>
      <c r="D407" s="6">
        <v>15070</v>
      </c>
      <c r="E407" s="6" t="s">
        <v>832</v>
      </c>
      <c r="F407" s="12"/>
      <c r="G407" s="8"/>
      <c r="H407" s="7" t="s">
        <v>49</v>
      </c>
      <c r="I407" s="7"/>
      <c r="J407" s="6" t="s">
        <v>49</v>
      </c>
      <c r="K407" s="9" t="s">
        <v>49</v>
      </c>
      <c r="L407" s="9" t="s">
        <v>49</v>
      </c>
      <c r="M407" s="8"/>
      <c r="N407" s="12"/>
      <c r="O407" s="10">
        <v>43830</v>
      </c>
      <c r="P407" s="9" t="s">
        <v>49</v>
      </c>
      <c r="Q407" s="9" t="s">
        <v>49</v>
      </c>
      <c r="R407" s="8"/>
      <c r="S407" s="8"/>
      <c r="T407" s="8"/>
      <c r="U407" s="8"/>
      <c r="V407" s="9" t="s">
        <v>49</v>
      </c>
      <c r="W407" s="9" t="s">
        <v>49</v>
      </c>
      <c r="X407" s="8"/>
      <c r="Y407" s="8"/>
      <c r="Z407" s="8"/>
      <c r="AA407" s="8"/>
      <c r="AB407" s="8"/>
      <c r="AC407" s="8"/>
      <c r="AD407" s="8"/>
      <c r="AE407" s="8"/>
      <c r="AF407" s="8"/>
      <c r="AG407" s="8"/>
      <c r="AH407" s="7" t="s">
        <v>57</v>
      </c>
      <c r="AI407" s="6" t="s">
        <v>49</v>
      </c>
      <c r="AJ407" s="6" t="s">
        <v>49</v>
      </c>
      <c r="AK407" s="6" t="s">
        <v>49</v>
      </c>
      <c r="AL407" s="9" t="s">
        <v>49</v>
      </c>
      <c r="AM407" s="9" t="s">
        <v>134</v>
      </c>
      <c r="AN407" s="6" t="s">
        <v>49</v>
      </c>
      <c r="AO407" s="9" t="s">
        <v>134</v>
      </c>
      <c r="AP407" s="11">
        <v>0</v>
      </c>
      <c r="AQ407" s="11">
        <v>0</v>
      </c>
      <c r="AR407" s="11">
        <v>0</v>
      </c>
      <c r="AS407" s="11">
        <v>0</v>
      </c>
      <c r="AT407" s="11">
        <v>0</v>
      </c>
      <c r="AU407" s="11">
        <v>0</v>
      </c>
      <c r="AV407" s="11" t="s">
        <v>57</v>
      </c>
    </row>
    <row r="408" spans="1:48" ht="14.5" hidden="1">
      <c r="A408" s="6">
        <v>409</v>
      </c>
      <c r="B408" s="7" t="s">
        <v>833</v>
      </c>
      <c r="C408" s="7" t="s">
        <v>49</v>
      </c>
      <c r="D408" s="6">
        <v>16026</v>
      </c>
      <c r="E408" s="6" t="s">
        <v>834</v>
      </c>
      <c r="F408" s="6">
        <v>83551</v>
      </c>
      <c r="G408" s="8"/>
      <c r="H408" s="7" t="s">
        <v>49</v>
      </c>
      <c r="I408" s="7"/>
      <c r="J408" s="6" t="s">
        <v>49</v>
      </c>
      <c r="K408" s="9" t="s">
        <v>49</v>
      </c>
      <c r="L408" s="9" t="s">
        <v>73</v>
      </c>
      <c r="M408" s="8"/>
      <c r="N408" s="10">
        <v>42949</v>
      </c>
      <c r="O408" s="10">
        <v>44196</v>
      </c>
      <c r="P408" s="9" t="s">
        <v>835</v>
      </c>
      <c r="Q408" s="9" t="s">
        <v>836</v>
      </c>
      <c r="R408" s="8"/>
      <c r="S408" s="8"/>
      <c r="T408" s="8"/>
      <c r="U408" s="8"/>
      <c r="V408" s="9" t="s">
        <v>49</v>
      </c>
      <c r="W408" s="9" t="s">
        <v>49</v>
      </c>
      <c r="X408" s="8"/>
      <c r="Y408" s="8"/>
      <c r="Z408" s="8"/>
      <c r="AA408" s="8"/>
      <c r="AB408" s="8"/>
      <c r="AC408" s="8"/>
      <c r="AD408" s="8"/>
      <c r="AE408" s="8"/>
      <c r="AF408" s="8"/>
      <c r="AG408" s="8"/>
      <c r="AH408" s="7" t="s">
        <v>51</v>
      </c>
      <c r="AI408" s="6" t="s">
        <v>49</v>
      </c>
      <c r="AJ408" s="6" t="s">
        <v>49</v>
      </c>
      <c r="AK408" s="6" t="s">
        <v>49</v>
      </c>
      <c r="AL408" s="9" t="s">
        <v>49</v>
      </c>
      <c r="AM408" s="9" t="s">
        <v>134</v>
      </c>
      <c r="AN408" s="6" t="s">
        <v>49</v>
      </c>
      <c r="AO408" s="9" t="s">
        <v>837</v>
      </c>
      <c r="AP408" s="11">
        <v>0</v>
      </c>
      <c r="AQ408" s="11">
        <v>0</v>
      </c>
      <c r="AR408" s="11">
        <v>0</v>
      </c>
      <c r="AS408" s="11">
        <v>0</v>
      </c>
      <c r="AT408" s="11">
        <v>0</v>
      </c>
      <c r="AU408" s="11">
        <v>0</v>
      </c>
      <c r="AV408" s="11" t="s">
        <v>51</v>
      </c>
    </row>
    <row r="409" spans="1:48" ht="14.5" hidden="1">
      <c r="A409" s="6">
        <v>410</v>
      </c>
      <c r="B409" s="7" t="s">
        <v>838</v>
      </c>
      <c r="C409" s="7" t="s">
        <v>49</v>
      </c>
      <c r="D409" s="6">
        <v>15070</v>
      </c>
      <c r="E409" s="6" t="s">
        <v>839</v>
      </c>
      <c r="F409" s="12"/>
      <c r="G409" s="8"/>
      <c r="H409" s="7" t="s">
        <v>49</v>
      </c>
      <c r="I409" s="7"/>
      <c r="J409" s="6" t="s">
        <v>49</v>
      </c>
      <c r="K409" s="9" t="s">
        <v>49</v>
      </c>
      <c r="L409" s="9" t="s">
        <v>49</v>
      </c>
      <c r="M409" s="8"/>
      <c r="N409" s="12"/>
      <c r="O409" s="10">
        <v>44155</v>
      </c>
      <c r="P409" s="9" t="s">
        <v>49</v>
      </c>
      <c r="Q409" s="9" t="s">
        <v>49</v>
      </c>
      <c r="R409" s="8"/>
      <c r="S409" s="8"/>
      <c r="T409" s="8"/>
      <c r="U409" s="8"/>
      <c r="V409" s="9" t="s">
        <v>49</v>
      </c>
      <c r="W409" s="9" t="s">
        <v>49</v>
      </c>
      <c r="X409" s="8"/>
      <c r="Y409" s="8"/>
      <c r="Z409" s="8"/>
      <c r="AA409" s="8"/>
      <c r="AB409" s="8"/>
      <c r="AC409" s="8"/>
      <c r="AD409" s="8"/>
      <c r="AE409" s="8"/>
      <c r="AF409" s="8"/>
      <c r="AG409" s="8"/>
      <c r="AH409" s="7" t="s">
        <v>57</v>
      </c>
      <c r="AI409" s="6" t="s">
        <v>49</v>
      </c>
      <c r="AJ409" s="6" t="s">
        <v>49</v>
      </c>
      <c r="AK409" s="6" t="s">
        <v>49</v>
      </c>
      <c r="AL409" s="9" t="s">
        <v>49</v>
      </c>
      <c r="AM409" s="9" t="s">
        <v>134</v>
      </c>
      <c r="AN409" s="6" t="s">
        <v>49</v>
      </c>
      <c r="AO409" s="9" t="s">
        <v>134</v>
      </c>
      <c r="AP409" s="11">
        <v>0</v>
      </c>
      <c r="AQ409" s="11">
        <v>0</v>
      </c>
      <c r="AR409" s="11">
        <v>0</v>
      </c>
      <c r="AS409" s="11">
        <v>0</v>
      </c>
      <c r="AT409" s="11">
        <v>0</v>
      </c>
      <c r="AU409" s="11">
        <v>0</v>
      </c>
      <c r="AV409" s="11" t="s">
        <v>57</v>
      </c>
    </row>
    <row r="410" spans="1:48" ht="14.5" hidden="1">
      <c r="A410" s="6">
        <v>411</v>
      </c>
      <c r="B410" s="7" t="s">
        <v>840</v>
      </c>
      <c r="C410" s="7" t="s">
        <v>131</v>
      </c>
      <c r="D410" s="6">
        <v>15070</v>
      </c>
      <c r="E410" s="6" t="s">
        <v>841</v>
      </c>
      <c r="F410" s="6">
        <v>84581</v>
      </c>
      <c r="G410" s="8"/>
      <c r="H410" s="7" t="s">
        <v>49</v>
      </c>
      <c r="I410" s="7"/>
      <c r="J410" s="6" t="s">
        <v>49</v>
      </c>
      <c r="K410" s="9" t="s">
        <v>49</v>
      </c>
      <c r="L410" s="9" t="s">
        <v>73</v>
      </c>
      <c r="M410" s="12"/>
      <c r="N410" s="10">
        <v>43627</v>
      </c>
      <c r="O410" s="10">
        <v>44196</v>
      </c>
      <c r="P410" s="9" t="s">
        <v>403</v>
      </c>
      <c r="Q410" s="9" t="s">
        <v>842</v>
      </c>
      <c r="R410" s="8"/>
      <c r="S410" s="8"/>
      <c r="T410" s="8"/>
      <c r="U410" s="8"/>
      <c r="V410" s="9" t="s">
        <v>49</v>
      </c>
      <c r="W410" s="9" t="s">
        <v>49</v>
      </c>
      <c r="X410" s="8"/>
      <c r="Y410" s="8"/>
      <c r="Z410" s="12"/>
      <c r="AA410" s="12"/>
      <c r="AB410" s="12"/>
      <c r="AC410" s="8"/>
      <c r="AD410" s="12"/>
      <c r="AE410" s="12"/>
      <c r="AF410" s="12"/>
      <c r="AG410" s="12"/>
      <c r="AH410" s="7" t="s">
        <v>57</v>
      </c>
      <c r="AI410" s="6" t="s">
        <v>49</v>
      </c>
      <c r="AJ410" s="6" t="s">
        <v>49</v>
      </c>
      <c r="AK410" s="6" t="s">
        <v>49</v>
      </c>
      <c r="AL410" s="9" t="s">
        <v>49</v>
      </c>
      <c r="AM410" s="9" t="s">
        <v>134</v>
      </c>
      <c r="AN410" s="6" t="s">
        <v>49</v>
      </c>
      <c r="AO410" s="9" t="s">
        <v>134</v>
      </c>
      <c r="AP410" s="11">
        <v>0</v>
      </c>
      <c r="AQ410" s="11">
        <v>0</v>
      </c>
      <c r="AR410" s="11">
        <v>0</v>
      </c>
      <c r="AS410" s="11">
        <v>0</v>
      </c>
      <c r="AT410" s="11">
        <v>0</v>
      </c>
      <c r="AU410" s="11">
        <v>0</v>
      </c>
      <c r="AV410" s="11" t="s">
        <v>57</v>
      </c>
    </row>
    <row r="411" spans="1:48" ht="14.5" hidden="1">
      <c r="A411" s="6">
        <v>412</v>
      </c>
      <c r="B411" s="7" t="s">
        <v>843</v>
      </c>
      <c r="C411" s="7" t="s">
        <v>131</v>
      </c>
      <c r="D411" s="12"/>
      <c r="E411" s="6" t="s">
        <v>104</v>
      </c>
      <c r="F411" s="6">
        <v>87456</v>
      </c>
      <c r="G411" s="8"/>
      <c r="H411" s="7" t="s">
        <v>88</v>
      </c>
      <c r="I411" s="7" t="s">
        <v>217</v>
      </c>
      <c r="J411" s="6" t="s">
        <v>105</v>
      </c>
      <c r="K411" s="9" t="s">
        <v>106</v>
      </c>
      <c r="L411" s="9" t="s">
        <v>73</v>
      </c>
      <c r="M411" s="20">
        <v>347</v>
      </c>
      <c r="N411" s="8"/>
      <c r="O411" s="12"/>
      <c r="P411" s="9" t="s">
        <v>843</v>
      </c>
      <c r="Q411" s="9" t="s">
        <v>844</v>
      </c>
      <c r="R411" s="8"/>
      <c r="S411" s="8"/>
      <c r="T411" s="8"/>
      <c r="U411" s="8"/>
      <c r="V411" s="9" t="s">
        <v>49</v>
      </c>
      <c r="W411" s="9" t="s">
        <v>132</v>
      </c>
      <c r="X411" s="8"/>
      <c r="Y411" s="8"/>
      <c r="Z411" s="6">
        <v>0.34699999999999998</v>
      </c>
      <c r="AA411" s="6">
        <v>0.2</v>
      </c>
      <c r="AB411" s="6">
        <v>0.54700000000000004</v>
      </c>
      <c r="AC411" s="8"/>
      <c r="AD411" s="6">
        <v>0.54700000000000004</v>
      </c>
      <c r="AE411" s="6">
        <v>0.33</v>
      </c>
      <c r="AF411" s="6">
        <v>0.15</v>
      </c>
      <c r="AG411" s="6">
        <v>0.48</v>
      </c>
      <c r="AH411" s="7" t="s">
        <v>49</v>
      </c>
      <c r="AI411" s="6" t="s">
        <v>49</v>
      </c>
      <c r="AJ411" s="6" t="s">
        <v>49</v>
      </c>
      <c r="AK411" s="6" t="s">
        <v>49</v>
      </c>
      <c r="AL411" s="9" t="s">
        <v>49</v>
      </c>
      <c r="AM411" s="9" t="s">
        <v>49</v>
      </c>
      <c r="AN411" s="6" t="s">
        <v>49</v>
      </c>
      <c r="AO411" s="9" t="s">
        <v>49</v>
      </c>
      <c r="AP411" s="11">
        <v>0</v>
      </c>
      <c r="AQ411" s="11">
        <v>0</v>
      </c>
      <c r="AR411" s="11">
        <v>0</v>
      </c>
      <c r="AS411" s="11">
        <v>0</v>
      </c>
      <c r="AT411" s="11">
        <v>0</v>
      </c>
      <c r="AU411" s="11">
        <v>200.066</v>
      </c>
      <c r="AV411" s="11">
        <v>0</v>
      </c>
    </row>
    <row r="412" spans="1:48" ht="14.5" hidden="1">
      <c r="A412" s="6">
        <v>413</v>
      </c>
      <c r="B412" s="7" t="s">
        <v>845</v>
      </c>
      <c r="C412" s="7" t="s">
        <v>49</v>
      </c>
      <c r="D412" s="6">
        <v>16026</v>
      </c>
      <c r="E412" s="6" t="s">
        <v>846</v>
      </c>
      <c r="F412" s="12"/>
      <c r="G412" s="8"/>
      <c r="H412" s="7" t="s">
        <v>49</v>
      </c>
      <c r="I412" s="7"/>
      <c r="J412" s="6" t="s">
        <v>49</v>
      </c>
      <c r="K412" s="9" t="s">
        <v>49</v>
      </c>
      <c r="L412" s="9" t="s">
        <v>49</v>
      </c>
      <c r="M412" s="8"/>
      <c r="N412" s="12"/>
      <c r="O412" s="10">
        <v>43811</v>
      </c>
      <c r="P412" s="9" t="s">
        <v>49</v>
      </c>
      <c r="Q412" s="9" t="s">
        <v>49</v>
      </c>
      <c r="R412" s="8"/>
      <c r="S412" s="8"/>
      <c r="T412" s="8"/>
      <c r="U412" s="12"/>
      <c r="V412" s="9" t="s">
        <v>49</v>
      </c>
      <c r="W412" s="9" t="s">
        <v>49</v>
      </c>
      <c r="X412" s="8"/>
      <c r="Y412" s="8"/>
      <c r="Z412" s="8"/>
      <c r="AA412" s="8"/>
      <c r="AB412" s="8"/>
      <c r="AC412" s="8"/>
      <c r="AD412" s="8"/>
      <c r="AE412" s="8"/>
      <c r="AF412" s="8"/>
      <c r="AG412" s="8"/>
      <c r="AH412" s="7" t="s">
        <v>57</v>
      </c>
      <c r="AI412" s="6" t="s">
        <v>49</v>
      </c>
      <c r="AJ412" s="6" t="s">
        <v>49</v>
      </c>
      <c r="AK412" s="6" t="s">
        <v>49</v>
      </c>
      <c r="AL412" s="9" t="s">
        <v>49</v>
      </c>
      <c r="AM412" s="9" t="s">
        <v>134</v>
      </c>
      <c r="AN412" s="6" t="s">
        <v>49</v>
      </c>
      <c r="AO412" s="9" t="s">
        <v>134</v>
      </c>
      <c r="AP412" s="11">
        <v>0</v>
      </c>
      <c r="AQ412" s="11">
        <v>0</v>
      </c>
      <c r="AR412" s="11">
        <v>0</v>
      </c>
      <c r="AS412" s="11">
        <v>0</v>
      </c>
      <c r="AT412" s="11">
        <v>0</v>
      </c>
      <c r="AU412" s="11">
        <v>0</v>
      </c>
      <c r="AV412" s="11" t="s">
        <v>57</v>
      </c>
    </row>
    <row r="413" spans="1:48" ht="14.5" hidden="1">
      <c r="A413" s="6">
        <v>414</v>
      </c>
      <c r="B413" s="7" t="s">
        <v>403</v>
      </c>
      <c r="C413" s="7" t="s">
        <v>131</v>
      </c>
      <c r="D413" s="6">
        <v>15070</v>
      </c>
      <c r="E413" s="6"/>
      <c r="F413" s="6"/>
      <c r="G413" s="8"/>
      <c r="H413" s="7" t="s">
        <v>49</v>
      </c>
      <c r="I413" s="7"/>
      <c r="J413" s="6" t="s">
        <v>49</v>
      </c>
      <c r="K413" s="9" t="s">
        <v>49</v>
      </c>
      <c r="L413" s="9" t="s">
        <v>73</v>
      </c>
      <c r="M413" s="8"/>
      <c r="N413" s="10">
        <v>42919</v>
      </c>
      <c r="O413" s="10">
        <v>44925</v>
      </c>
      <c r="P413" s="9" t="s">
        <v>847</v>
      </c>
      <c r="Q413" s="9" t="s">
        <v>848</v>
      </c>
      <c r="R413" s="8"/>
      <c r="S413" s="8"/>
      <c r="T413" s="8"/>
      <c r="U413" s="6">
        <v>17.7</v>
      </c>
      <c r="V413" s="9" t="s">
        <v>49</v>
      </c>
      <c r="W413" s="9" t="s">
        <v>132</v>
      </c>
      <c r="X413" s="8"/>
      <c r="Y413" s="8"/>
      <c r="Z413" s="8"/>
      <c r="AA413" s="8"/>
      <c r="AB413" s="8"/>
      <c r="AC413" s="8"/>
      <c r="AD413" s="8"/>
      <c r="AE413" s="8"/>
      <c r="AF413" s="8"/>
      <c r="AG413" s="8"/>
      <c r="AH413" s="7" t="s">
        <v>51</v>
      </c>
      <c r="AI413" s="6" t="s">
        <v>71</v>
      </c>
      <c r="AJ413" s="6" t="s">
        <v>49</v>
      </c>
      <c r="AK413" s="6" t="s">
        <v>49</v>
      </c>
      <c r="AL413" s="9" t="s">
        <v>134</v>
      </c>
      <c r="AM413" s="9" t="s">
        <v>49</v>
      </c>
      <c r="AN413" s="6" t="s">
        <v>82</v>
      </c>
      <c r="AO413" s="9" t="s">
        <v>134</v>
      </c>
      <c r="AP413" s="11">
        <v>0</v>
      </c>
      <c r="AQ413" s="11">
        <v>0</v>
      </c>
      <c r="AR413" s="11">
        <v>0</v>
      </c>
      <c r="AS413" s="11">
        <v>0</v>
      </c>
      <c r="AT413" s="11">
        <v>0</v>
      </c>
      <c r="AU413" s="11">
        <v>1750</v>
      </c>
      <c r="AV413" s="11">
        <v>0</v>
      </c>
    </row>
    <row r="414" spans="1:48" ht="14.5" hidden="1">
      <c r="A414" s="6">
        <v>415</v>
      </c>
      <c r="B414" s="7" t="s">
        <v>849</v>
      </c>
      <c r="C414" s="7" t="s">
        <v>131</v>
      </c>
      <c r="D414" s="6">
        <v>15070</v>
      </c>
      <c r="E414" s="6" t="s">
        <v>850</v>
      </c>
      <c r="F414" s="6">
        <v>84965</v>
      </c>
      <c r="G414" s="8"/>
      <c r="H414" s="7" t="s">
        <v>88</v>
      </c>
      <c r="I414" s="7" t="s">
        <v>217</v>
      </c>
      <c r="J414" s="6" t="s">
        <v>75</v>
      </c>
      <c r="K414" s="9" t="s">
        <v>851</v>
      </c>
      <c r="L414" s="9" t="s">
        <v>73</v>
      </c>
      <c r="M414" s="20">
        <v>4181</v>
      </c>
      <c r="N414" s="10">
        <v>43467</v>
      </c>
      <c r="O414" s="10">
        <v>44924</v>
      </c>
      <c r="P414" s="9" t="s">
        <v>403</v>
      </c>
      <c r="Q414" s="9" t="s">
        <v>852</v>
      </c>
      <c r="R414" s="6">
        <v>5.24</v>
      </c>
      <c r="S414" s="6">
        <v>19.100000000000001</v>
      </c>
      <c r="T414" s="6">
        <v>48.6</v>
      </c>
      <c r="U414" s="6">
        <v>6.7</v>
      </c>
      <c r="V414" s="9" t="s">
        <v>269</v>
      </c>
      <c r="W414" s="9" t="s">
        <v>132</v>
      </c>
      <c r="X414" s="8"/>
      <c r="Y414" s="8"/>
      <c r="Z414" s="6">
        <v>0.69899999999999995</v>
      </c>
      <c r="AA414" s="8"/>
      <c r="AB414" s="6">
        <v>0.69899999999999995</v>
      </c>
      <c r="AC414" s="8"/>
      <c r="AD414" s="6">
        <v>0.69899999999999995</v>
      </c>
      <c r="AE414" s="6">
        <v>0.106</v>
      </c>
      <c r="AF414" s="8"/>
      <c r="AG414" s="6">
        <v>0.106</v>
      </c>
      <c r="AH414" s="7" t="s">
        <v>57</v>
      </c>
      <c r="AI414" s="6" t="s">
        <v>49</v>
      </c>
      <c r="AJ414" s="6" t="s">
        <v>49</v>
      </c>
      <c r="AK414" s="6" t="s">
        <v>49</v>
      </c>
      <c r="AL414" s="9" t="s">
        <v>49</v>
      </c>
      <c r="AM414" s="9" t="s">
        <v>134</v>
      </c>
      <c r="AN414" s="6" t="s">
        <v>49</v>
      </c>
      <c r="AO414" s="9" t="s">
        <v>134</v>
      </c>
      <c r="AP414" s="11">
        <v>0</v>
      </c>
      <c r="AQ414" s="11">
        <v>0</v>
      </c>
      <c r="AR414" s="11">
        <v>0</v>
      </c>
      <c r="AS414" s="11">
        <v>0</v>
      </c>
      <c r="AT414" s="11">
        <v>0</v>
      </c>
      <c r="AU414" s="11">
        <v>0</v>
      </c>
      <c r="AV414" s="11" t="s">
        <v>57</v>
      </c>
    </row>
    <row r="415" spans="1:48" ht="14.5" hidden="1">
      <c r="A415" s="6">
        <v>416</v>
      </c>
      <c r="B415" s="7" t="s">
        <v>853</v>
      </c>
      <c r="C415" s="7" t="s">
        <v>49</v>
      </c>
      <c r="D415" s="6">
        <v>16026</v>
      </c>
      <c r="E415" s="6" t="s">
        <v>854</v>
      </c>
      <c r="F415" s="8"/>
      <c r="G415" s="8"/>
      <c r="H415" s="7" t="s">
        <v>49</v>
      </c>
      <c r="I415" s="7"/>
      <c r="J415" s="6" t="s">
        <v>49</v>
      </c>
      <c r="K415" s="9" t="s">
        <v>49</v>
      </c>
      <c r="L415" s="9" t="s">
        <v>49</v>
      </c>
      <c r="M415" s="8"/>
      <c r="N415" s="8"/>
      <c r="O415" s="10">
        <v>43685</v>
      </c>
      <c r="P415" s="9" t="s">
        <v>49</v>
      </c>
      <c r="Q415" s="9" t="s">
        <v>49</v>
      </c>
      <c r="R415" s="8"/>
      <c r="S415" s="8"/>
      <c r="T415" s="8"/>
      <c r="U415" s="8"/>
      <c r="V415" s="9" t="s">
        <v>49</v>
      </c>
      <c r="W415" s="9" t="s">
        <v>49</v>
      </c>
      <c r="X415" s="8"/>
      <c r="Y415" s="8"/>
      <c r="Z415" s="8"/>
      <c r="AA415" s="8"/>
      <c r="AB415" s="8"/>
      <c r="AC415" s="8"/>
      <c r="AD415" s="8"/>
      <c r="AE415" s="8"/>
      <c r="AF415" s="8"/>
      <c r="AG415" s="8"/>
      <c r="AH415" s="7" t="s">
        <v>57</v>
      </c>
      <c r="AI415" s="6" t="s">
        <v>49</v>
      </c>
      <c r="AJ415" s="6" t="s">
        <v>49</v>
      </c>
      <c r="AK415" s="6" t="s">
        <v>49</v>
      </c>
      <c r="AL415" s="9" t="s">
        <v>49</v>
      </c>
      <c r="AM415" s="9" t="s">
        <v>134</v>
      </c>
      <c r="AN415" s="6" t="s">
        <v>49</v>
      </c>
      <c r="AO415" s="9" t="s">
        <v>134</v>
      </c>
      <c r="AP415" s="11">
        <v>0</v>
      </c>
      <c r="AQ415" s="11">
        <v>0</v>
      </c>
      <c r="AR415" s="11">
        <v>0</v>
      </c>
      <c r="AS415" s="11">
        <v>0</v>
      </c>
      <c r="AT415" s="11">
        <v>0</v>
      </c>
      <c r="AU415" s="11">
        <v>0</v>
      </c>
      <c r="AV415" s="11" t="s">
        <v>57</v>
      </c>
    </row>
    <row r="416" spans="1:48" ht="14.5" hidden="1">
      <c r="A416" s="6">
        <v>417</v>
      </c>
      <c r="B416" s="7" t="s">
        <v>855</v>
      </c>
      <c r="C416" s="7" t="s">
        <v>49</v>
      </c>
      <c r="D416" s="6">
        <v>15070</v>
      </c>
      <c r="E416" s="6" t="s">
        <v>856</v>
      </c>
      <c r="F416" s="8"/>
      <c r="G416" s="8"/>
      <c r="H416" s="7" t="s">
        <v>49</v>
      </c>
      <c r="I416" s="7"/>
      <c r="J416" s="6" t="s">
        <v>49</v>
      </c>
      <c r="K416" s="9" t="s">
        <v>49</v>
      </c>
      <c r="L416" s="9" t="s">
        <v>49</v>
      </c>
      <c r="M416" s="8"/>
      <c r="N416" s="10">
        <v>43650</v>
      </c>
      <c r="O416" s="10">
        <v>44925</v>
      </c>
      <c r="P416" s="9" t="s">
        <v>49</v>
      </c>
      <c r="Q416" s="9" t="s">
        <v>49</v>
      </c>
      <c r="R416" s="8"/>
      <c r="S416" s="8"/>
      <c r="T416" s="8"/>
      <c r="U416" s="8"/>
      <c r="V416" s="9" t="s">
        <v>49</v>
      </c>
      <c r="W416" s="9" t="s">
        <v>49</v>
      </c>
      <c r="X416" s="8"/>
      <c r="Y416" s="8"/>
      <c r="Z416" s="8"/>
      <c r="AA416" s="8"/>
      <c r="AB416" s="8"/>
      <c r="AC416" s="8"/>
      <c r="AD416" s="8"/>
      <c r="AE416" s="8"/>
      <c r="AF416" s="8"/>
      <c r="AG416" s="8"/>
      <c r="AH416" s="7" t="s">
        <v>57</v>
      </c>
      <c r="AI416" s="6" t="s">
        <v>49</v>
      </c>
      <c r="AJ416" s="6" t="s">
        <v>49</v>
      </c>
      <c r="AK416" s="6" t="s">
        <v>49</v>
      </c>
      <c r="AL416" s="9" t="s">
        <v>49</v>
      </c>
      <c r="AM416" s="9" t="s">
        <v>134</v>
      </c>
      <c r="AN416" s="6" t="s">
        <v>49</v>
      </c>
      <c r="AO416" s="9" t="s">
        <v>134</v>
      </c>
      <c r="AP416" s="11">
        <v>0</v>
      </c>
      <c r="AQ416" s="11">
        <v>0</v>
      </c>
      <c r="AR416" s="11">
        <v>0</v>
      </c>
      <c r="AS416" s="11">
        <v>0</v>
      </c>
      <c r="AT416" s="11">
        <v>0</v>
      </c>
      <c r="AU416" s="11">
        <v>0</v>
      </c>
      <c r="AV416" s="11" t="s">
        <v>57</v>
      </c>
    </row>
    <row r="417" spans="1:49" ht="14.5" hidden="1">
      <c r="A417" s="6">
        <v>418</v>
      </c>
      <c r="B417" s="7" t="s">
        <v>472</v>
      </c>
      <c r="C417" s="7" t="s">
        <v>131</v>
      </c>
      <c r="D417" s="6">
        <v>12528</v>
      </c>
      <c r="E417" s="19" t="s">
        <v>396</v>
      </c>
      <c r="F417" s="8"/>
      <c r="G417" s="8"/>
      <c r="H417" s="7" t="s">
        <v>49</v>
      </c>
      <c r="I417" s="7"/>
      <c r="J417" s="6" t="s">
        <v>49</v>
      </c>
      <c r="K417" s="9" t="s">
        <v>49</v>
      </c>
      <c r="L417" s="9" t="s">
        <v>49</v>
      </c>
      <c r="M417" s="20">
        <v>1938</v>
      </c>
      <c r="N417" s="10">
        <v>41639</v>
      </c>
      <c r="O417" s="10">
        <v>44196</v>
      </c>
      <c r="P417" s="9" t="s">
        <v>49</v>
      </c>
      <c r="Q417" s="9" t="s">
        <v>49</v>
      </c>
      <c r="R417" s="8"/>
      <c r="S417" s="8"/>
      <c r="T417" s="8"/>
      <c r="U417" s="8"/>
      <c r="V417" s="9" t="s">
        <v>49</v>
      </c>
      <c r="W417" s="9" t="s">
        <v>49</v>
      </c>
      <c r="X417" s="8"/>
      <c r="Y417" s="8"/>
      <c r="Z417" s="8"/>
      <c r="AA417" s="8"/>
      <c r="AB417" s="8"/>
      <c r="AC417" s="8"/>
      <c r="AD417" s="8"/>
      <c r="AE417" s="8"/>
      <c r="AF417" s="8"/>
      <c r="AG417" s="8"/>
      <c r="AH417" s="7" t="s">
        <v>51</v>
      </c>
      <c r="AI417" s="6" t="s">
        <v>71</v>
      </c>
      <c r="AJ417" s="6" t="s">
        <v>49</v>
      </c>
      <c r="AK417" s="6" t="s">
        <v>118</v>
      </c>
      <c r="AL417" s="9" t="s">
        <v>134</v>
      </c>
      <c r="AM417" s="9" t="s">
        <v>49</v>
      </c>
      <c r="AN417" s="6" t="s">
        <v>96</v>
      </c>
      <c r="AO417" s="9" t="s">
        <v>49</v>
      </c>
      <c r="AP417" s="11">
        <v>0</v>
      </c>
      <c r="AQ417" s="11">
        <v>0</v>
      </c>
      <c r="AR417" s="11">
        <v>0</v>
      </c>
      <c r="AS417" s="11">
        <v>0</v>
      </c>
      <c r="AT417" s="11">
        <v>0</v>
      </c>
      <c r="AU417" s="11">
        <v>1479.5170000000001</v>
      </c>
      <c r="AV417" s="11" t="s">
        <v>57</v>
      </c>
    </row>
    <row r="418" spans="1:49" ht="14.5" hidden="1">
      <c r="A418" s="6">
        <v>419</v>
      </c>
      <c r="B418" s="7" t="s">
        <v>857</v>
      </c>
      <c r="C418" s="7" t="s">
        <v>49</v>
      </c>
      <c r="D418" s="6">
        <v>12528</v>
      </c>
      <c r="E418" s="6" t="s">
        <v>858</v>
      </c>
      <c r="F418" s="8"/>
      <c r="G418" s="8"/>
      <c r="H418" s="7" t="s">
        <v>49</v>
      </c>
      <c r="I418" s="7"/>
      <c r="J418" s="6" t="s">
        <v>49</v>
      </c>
      <c r="K418" s="9" t="s">
        <v>49</v>
      </c>
      <c r="L418" s="9" t="s">
        <v>49</v>
      </c>
      <c r="M418" s="8"/>
      <c r="N418" s="10">
        <v>43497</v>
      </c>
      <c r="O418" s="10">
        <v>43843</v>
      </c>
      <c r="P418" s="9" t="s">
        <v>49</v>
      </c>
      <c r="Q418" s="9" t="s">
        <v>49</v>
      </c>
      <c r="R418" s="8"/>
      <c r="S418" s="8"/>
      <c r="T418" s="8"/>
      <c r="U418" s="8"/>
      <c r="V418" s="9" t="s">
        <v>49</v>
      </c>
      <c r="W418" s="9" t="s">
        <v>49</v>
      </c>
      <c r="X418" s="8"/>
      <c r="Y418" s="8"/>
      <c r="Z418" s="8"/>
      <c r="AA418" s="8"/>
      <c r="AB418" s="8"/>
      <c r="AC418" s="8"/>
      <c r="AD418" s="8"/>
      <c r="AE418" s="8"/>
      <c r="AF418" s="8"/>
      <c r="AG418" s="8"/>
      <c r="AH418" s="7" t="s">
        <v>57</v>
      </c>
      <c r="AI418" s="6" t="s">
        <v>49</v>
      </c>
      <c r="AJ418" s="6" t="s">
        <v>49</v>
      </c>
      <c r="AK418" s="6" t="s">
        <v>49</v>
      </c>
      <c r="AL418" s="9" t="s">
        <v>49</v>
      </c>
      <c r="AM418" s="9" t="s">
        <v>134</v>
      </c>
      <c r="AN418" s="6" t="s">
        <v>49</v>
      </c>
      <c r="AO418" s="9" t="s">
        <v>134</v>
      </c>
      <c r="AP418" s="11">
        <v>0</v>
      </c>
      <c r="AQ418" s="11">
        <v>0</v>
      </c>
      <c r="AR418" s="11">
        <v>0</v>
      </c>
      <c r="AS418" s="11">
        <v>0</v>
      </c>
      <c r="AT418" s="11">
        <v>0</v>
      </c>
      <c r="AU418" s="11">
        <v>0</v>
      </c>
      <c r="AV418" s="11" t="s">
        <v>57</v>
      </c>
    </row>
    <row r="419" spans="1:49" ht="14.5" hidden="1">
      <c r="A419" s="6">
        <v>420</v>
      </c>
      <c r="B419" s="7" t="s">
        <v>835</v>
      </c>
      <c r="C419" s="7" t="s">
        <v>131</v>
      </c>
      <c r="D419" s="6">
        <v>16026</v>
      </c>
      <c r="E419" s="6" t="s">
        <v>49</v>
      </c>
      <c r="F419" s="8"/>
      <c r="G419" s="8"/>
      <c r="H419" s="7" t="s">
        <v>49</v>
      </c>
      <c r="I419" s="7"/>
      <c r="J419" s="6" t="s">
        <v>49</v>
      </c>
      <c r="K419" s="9" t="s">
        <v>49</v>
      </c>
      <c r="L419" s="9" t="s">
        <v>49</v>
      </c>
      <c r="M419" s="8"/>
      <c r="N419" s="10">
        <v>42949</v>
      </c>
      <c r="O419" s="10">
        <v>44196</v>
      </c>
      <c r="P419" s="9" t="s">
        <v>49</v>
      </c>
      <c r="Q419" s="9" t="s">
        <v>49</v>
      </c>
      <c r="R419" s="8"/>
      <c r="S419" s="8"/>
      <c r="T419" s="8"/>
      <c r="U419" s="8"/>
      <c r="V419" s="9" t="s">
        <v>49</v>
      </c>
      <c r="W419" s="9" t="s">
        <v>49</v>
      </c>
      <c r="X419" s="8"/>
      <c r="Y419" s="8"/>
      <c r="Z419" s="8"/>
      <c r="AA419" s="8"/>
      <c r="AB419" s="8"/>
      <c r="AC419" s="8"/>
      <c r="AD419" s="8"/>
      <c r="AE419" s="8"/>
      <c r="AF419" s="8"/>
      <c r="AG419" s="8"/>
      <c r="AH419" s="7" t="s">
        <v>57</v>
      </c>
      <c r="AI419" s="6" t="s">
        <v>71</v>
      </c>
      <c r="AJ419" s="6" t="s">
        <v>49</v>
      </c>
      <c r="AK419" s="6" t="s">
        <v>49</v>
      </c>
      <c r="AL419" s="9" t="s">
        <v>134</v>
      </c>
      <c r="AM419" s="9" t="s">
        <v>49</v>
      </c>
      <c r="AN419" s="6" t="s">
        <v>812</v>
      </c>
      <c r="AO419" s="9" t="s">
        <v>49</v>
      </c>
      <c r="AP419" s="11">
        <v>7248.8885899999996</v>
      </c>
      <c r="AQ419" s="11">
        <v>0</v>
      </c>
      <c r="AR419" s="11">
        <v>0</v>
      </c>
      <c r="AS419" s="11">
        <v>41681.266040000002</v>
      </c>
      <c r="AT419" s="11">
        <v>50825.983</v>
      </c>
      <c r="AU419" s="11"/>
      <c r="AV419" s="11">
        <v>0</v>
      </c>
    </row>
    <row r="420" spans="1:49" ht="14.5">
      <c r="A420" s="6">
        <v>421</v>
      </c>
      <c r="B420" s="7" t="s">
        <v>859</v>
      </c>
      <c r="C420" s="7" t="s">
        <v>131</v>
      </c>
      <c r="D420" s="6">
        <v>16026</v>
      </c>
      <c r="E420" s="6" t="s">
        <v>860</v>
      </c>
      <c r="F420" s="6">
        <v>83614</v>
      </c>
      <c r="G420" s="8"/>
      <c r="H420" s="7" t="s">
        <v>245</v>
      </c>
      <c r="I420" s="7"/>
      <c r="J420" s="6" t="s">
        <v>75</v>
      </c>
      <c r="K420" s="9" t="s">
        <v>89</v>
      </c>
      <c r="L420" s="9" t="s">
        <v>73</v>
      </c>
      <c r="M420" s="20">
        <v>679</v>
      </c>
      <c r="N420" s="10">
        <v>43481</v>
      </c>
      <c r="O420" s="10">
        <v>43860</v>
      </c>
      <c r="P420" s="9" t="s">
        <v>835</v>
      </c>
      <c r="Q420" s="9" t="s">
        <v>861</v>
      </c>
      <c r="R420" s="6">
        <v>-0.77</v>
      </c>
      <c r="S420" s="6">
        <v>-0.1</v>
      </c>
      <c r="T420" s="6">
        <v>0</v>
      </c>
      <c r="U420" s="6">
        <v>0.1</v>
      </c>
      <c r="V420" s="9" t="s">
        <v>305</v>
      </c>
      <c r="W420" s="9" t="s">
        <v>132</v>
      </c>
      <c r="X420" s="8"/>
      <c r="Y420" s="8"/>
      <c r="Z420" s="6">
        <v>0.106</v>
      </c>
      <c r="AA420" s="8"/>
      <c r="AB420" s="6">
        <v>0.106</v>
      </c>
      <c r="AC420" s="8"/>
      <c r="AD420" s="6">
        <v>0.106</v>
      </c>
      <c r="AE420" s="6">
        <v>0.1</v>
      </c>
      <c r="AF420" s="8"/>
      <c r="AG420" s="6">
        <v>0.1</v>
      </c>
      <c r="AH420" s="7" t="s">
        <v>51</v>
      </c>
      <c r="AI420" s="6" t="s">
        <v>49</v>
      </c>
      <c r="AJ420" s="6" t="s">
        <v>49</v>
      </c>
      <c r="AK420" s="6" t="s">
        <v>49</v>
      </c>
      <c r="AL420" s="9" t="s">
        <v>49</v>
      </c>
      <c r="AM420" s="9" t="s">
        <v>134</v>
      </c>
      <c r="AN420" s="6" t="s">
        <v>218</v>
      </c>
      <c r="AO420" s="9" t="s">
        <v>134</v>
      </c>
      <c r="AP420" s="11">
        <v>76.105789999999999</v>
      </c>
      <c r="AQ420" s="11">
        <v>151301.76000000001</v>
      </c>
      <c r="AR420" s="11">
        <v>151301.75875000004</v>
      </c>
      <c r="AS420" s="11">
        <v>610.13436000000002</v>
      </c>
      <c r="AT420" s="11">
        <v>738.25400000000002</v>
      </c>
      <c r="AU420" s="11">
        <v>447</v>
      </c>
      <c r="AV420" s="11" t="s">
        <v>51</v>
      </c>
      <c r="AW420" t="s">
        <v>862</v>
      </c>
    </row>
    <row r="421" spans="1:49" ht="14.5" hidden="1">
      <c r="A421" s="6">
        <v>422</v>
      </c>
      <c r="B421" s="7" t="s">
        <v>863</v>
      </c>
      <c r="C421" s="7" t="s">
        <v>49</v>
      </c>
      <c r="D421" s="6">
        <v>15070</v>
      </c>
      <c r="E421" s="6" t="s">
        <v>864</v>
      </c>
      <c r="F421" s="12"/>
      <c r="G421" s="8"/>
      <c r="H421" s="7" t="s">
        <v>49</v>
      </c>
      <c r="I421" s="7"/>
      <c r="J421" s="6" t="s">
        <v>49</v>
      </c>
      <c r="K421" s="9" t="s">
        <v>49</v>
      </c>
      <c r="L421" s="9" t="s">
        <v>49</v>
      </c>
      <c r="M421" s="12"/>
      <c r="N421" s="10">
        <v>43640</v>
      </c>
      <c r="O421" s="10">
        <v>43860</v>
      </c>
      <c r="P421" s="9" t="s">
        <v>49</v>
      </c>
      <c r="Q421" s="9" t="s">
        <v>49</v>
      </c>
      <c r="R421" s="12"/>
      <c r="S421" s="12"/>
      <c r="T421" s="12"/>
      <c r="U421" s="12"/>
      <c r="V421" s="9" t="s">
        <v>49</v>
      </c>
      <c r="W421" s="9" t="s">
        <v>49</v>
      </c>
      <c r="X421" s="8"/>
      <c r="Y421" s="8"/>
      <c r="Z421" s="12"/>
      <c r="AA421" s="8"/>
      <c r="AB421" s="12"/>
      <c r="AC421" s="8"/>
      <c r="AD421" s="12"/>
      <c r="AE421" s="12"/>
      <c r="AF421" s="8"/>
      <c r="AG421" s="12"/>
      <c r="AH421" s="7" t="s">
        <v>57</v>
      </c>
      <c r="AI421" s="6" t="s">
        <v>49</v>
      </c>
      <c r="AJ421" s="6" t="s">
        <v>49</v>
      </c>
      <c r="AK421" s="6" t="s">
        <v>49</v>
      </c>
      <c r="AL421" s="9" t="s">
        <v>49</v>
      </c>
      <c r="AM421" s="9" t="s">
        <v>134</v>
      </c>
      <c r="AN421" s="6" t="s">
        <v>49</v>
      </c>
      <c r="AO421" s="9" t="s">
        <v>134</v>
      </c>
      <c r="AP421" s="11">
        <v>0</v>
      </c>
      <c r="AQ421" s="11">
        <v>0</v>
      </c>
      <c r="AR421" s="11">
        <v>0</v>
      </c>
      <c r="AS421" s="11">
        <v>0</v>
      </c>
      <c r="AT421" s="11">
        <v>0</v>
      </c>
      <c r="AU421" s="11">
        <v>0</v>
      </c>
      <c r="AV421" s="11" t="s">
        <v>57</v>
      </c>
    </row>
    <row r="422" spans="1:49" ht="14.5" hidden="1">
      <c r="A422" s="6">
        <v>423</v>
      </c>
      <c r="B422" s="7" t="s">
        <v>863</v>
      </c>
      <c r="C422" s="7" t="s">
        <v>131</v>
      </c>
      <c r="D422" s="6">
        <v>16026</v>
      </c>
      <c r="E422" s="6" t="s">
        <v>864</v>
      </c>
      <c r="F422" s="8"/>
      <c r="G422" s="8"/>
      <c r="H422" s="7" t="s">
        <v>49</v>
      </c>
      <c r="I422" s="7"/>
      <c r="J422" s="6" t="s">
        <v>49</v>
      </c>
      <c r="K422" s="9" t="s">
        <v>49</v>
      </c>
      <c r="L422" s="9" t="s">
        <v>73</v>
      </c>
      <c r="M422" s="8"/>
      <c r="N422" s="10">
        <v>43640</v>
      </c>
      <c r="O422" s="10">
        <v>43860</v>
      </c>
      <c r="P422" s="9" t="s">
        <v>49</v>
      </c>
      <c r="Q422" s="9" t="s">
        <v>49</v>
      </c>
      <c r="R422" s="8"/>
      <c r="S422" s="8"/>
      <c r="T422" s="8"/>
      <c r="U422" s="8"/>
      <c r="V422" s="9" t="s">
        <v>49</v>
      </c>
      <c r="W422" s="9" t="s">
        <v>132</v>
      </c>
      <c r="X422" s="8"/>
      <c r="Y422" s="8"/>
      <c r="Z422" s="8"/>
      <c r="AA422" s="8"/>
      <c r="AB422" s="8"/>
      <c r="AC422" s="8"/>
      <c r="AD422" s="8"/>
      <c r="AE422" s="8"/>
      <c r="AF422" s="8"/>
      <c r="AG422" s="8"/>
      <c r="AH422" s="7" t="s">
        <v>57</v>
      </c>
      <c r="AI422" s="6" t="s">
        <v>49</v>
      </c>
      <c r="AJ422" s="6" t="s">
        <v>49</v>
      </c>
      <c r="AK422" s="6" t="s">
        <v>49</v>
      </c>
      <c r="AL422" s="9" t="s">
        <v>49</v>
      </c>
      <c r="AM422" s="9" t="s">
        <v>134</v>
      </c>
      <c r="AN422" s="6" t="s">
        <v>49</v>
      </c>
      <c r="AO422" s="9" t="s">
        <v>134</v>
      </c>
      <c r="AP422" s="11">
        <v>0</v>
      </c>
      <c r="AQ422" s="11">
        <v>0</v>
      </c>
      <c r="AR422" s="11">
        <v>0</v>
      </c>
      <c r="AS422" s="11">
        <v>0</v>
      </c>
      <c r="AT422" s="11">
        <v>0</v>
      </c>
      <c r="AU422" s="11">
        <v>0</v>
      </c>
      <c r="AV422" s="11" t="s">
        <v>57</v>
      </c>
    </row>
    <row r="423" spans="1:49" ht="14.5" hidden="1">
      <c r="A423" s="6">
        <v>424</v>
      </c>
      <c r="B423" s="7" t="s">
        <v>865</v>
      </c>
      <c r="C423" s="7" t="s">
        <v>131</v>
      </c>
      <c r="D423" s="6">
        <v>15378</v>
      </c>
      <c r="E423" s="6" t="s">
        <v>866</v>
      </c>
      <c r="F423" s="8"/>
      <c r="G423" s="8"/>
      <c r="H423" s="7" t="s">
        <v>49</v>
      </c>
      <c r="I423" s="7"/>
      <c r="J423" s="6" t="s">
        <v>49</v>
      </c>
      <c r="K423" s="9" t="s">
        <v>49</v>
      </c>
      <c r="L423" s="9" t="s">
        <v>49</v>
      </c>
      <c r="M423" s="8"/>
      <c r="N423" s="10">
        <v>43318</v>
      </c>
      <c r="O423" s="10">
        <v>44897</v>
      </c>
      <c r="P423" s="9" t="s">
        <v>49</v>
      </c>
      <c r="Q423" s="9" t="s">
        <v>49</v>
      </c>
      <c r="R423" s="8"/>
      <c r="S423" s="8"/>
      <c r="T423" s="8"/>
      <c r="U423" s="8"/>
      <c r="V423" s="9" t="s">
        <v>49</v>
      </c>
      <c r="W423" s="9" t="s">
        <v>132</v>
      </c>
      <c r="X423" s="8"/>
      <c r="Y423" s="8"/>
      <c r="Z423" s="8"/>
      <c r="AA423" s="8"/>
      <c r="AB423" s="8"/>
      <c r="AC423" s="8"/>
      <c r="AD423" s="8"/>
      <c r="AE423" s="8"/>
      <c r="AF423" s="8"/>
      <c r="AG423" s="8"/>
      <c r="AH423" s="7" t="s">
        <v>51</v>
      </c>
      <c r="AI423" s="6" t="s">
        <v>49</v>
      </c>
      <c r="AJ423" s="6" t="s">
        <v>49</v>
      </c>
      <c r="AK423" s="6" t="s">
        <v>49</v>
      </c>
      <c r="AL423" s="9" t="s">
        <v>49</v>
      </c>
      <c r="AM423" s="9" t="s">
        <v>134</v>
      </c>
      <c r="AN423" s="6" t="s">
        <v>73</v>
      </c>
      <c r="AO423" s="9" t="s">
        <v>134</v>
      </c>
      <c r="AP423" s="11">
        <v>95.278880000000001</v>
      </c>
      <c r="AQ423" s="11">
        <v>95278.88</v>
      </c>
      <c r="AR423" s="11">
        <v>95278.873749999999</v>
      </c>
      <c r="AS423" s="11">
        <v>973.12765000000002</v>
      </c>
      <c r="AT423" s="11">
        <v>857.09900000000005</v>
      </c>
      <c r="AU423" s="11">
        <v>0</v>
      </c>
      <c r="AV423" s="11" t="s">
        <v>51</v>
      </c>
    </row>
    <row r="424" spans="1:49" ht="14.5" hidden="1">
      <c r="A424" s="6">
        <v>425</v>
      </c>
      <c r="B424" s="7" t="s">
        <v>867</v>
      </c>
      <c r="C424" s="7" t="s">
        <v>49</v>
      </c>
      <c r="D424" s="6">
        <v>12539</v>
      </c>
      <c r="E424" s="6" t="s">
        <v>868</v>
      </c>
      <c r="F424" s="8"/>
      <c r="G424" s="8"/>
      <c r="H424" s="7" t="s">
        <v>49</v>
      </c>
      <c r="I424" s="7"/>
      <c r="J424" s="6" t="s">
        <v>49</v>
      </c>
      <c r="K424" s="9" t="s">
        <v>49</v>
      </c>
      <c r="L424" s="9" t="s">
        <v>49</v>
      </c>
      <c r="M424" s="8"/>
      <c r="N424" s="10">
        <v>43570</v>
      </c>
      <c r="O424" s="10">
        <v>43832</v>
      </c>
      <c r="P424" s="9" t="s">
        <v>49</v>
      </c>
      <c r="Q424" s="9" t="s">
        <v>49</v>
      </c>
      <c r="R424" s="8"/>
      <c r="S424" s="8"/>
      <c r="T424" s="8"/>
      <c r="U424" s="8"/>
      <c r="V424" s="9" t="s">
        <v>49</v>
      </c>
      <c r="W424" s="9" t="s">
        <v>49</v>
      </c>
      <c r="X424" s="8"/>
      <c r="Y424" s="8"/>
      <c r="Z424" s="8"/>
      <c r="AA424" s="8"/>
      <c r="AB424" s="8"/>
      <c r="AC424" s="8"/>
      <c r="AD424" s="8"/>
      <c r="AE424" s="8"/>
      <c r="AF424" s="8"/>
      <c r="AG424" s="8"/>
      <c r="AH424" s="7" t="s">
        <v>57</v>
      </c>
      <c r="AI424" s="6" t="s">
        <v>49</v>
      </c>
      <c r="AJ424" s="6" t="s">
        <v>49</v>
      </c>
      <c r="AK424" s="6" t="s">
        <v>49</v>
      </c>
      <c r="AL424" s="9" t="s">
        <v>49</v>
      </c>
      <c r="AM424" s="9" t="s">
        <v>134</v>
      </c>
      <c r="AN424" s="6" t="s">
        <v>49</v>
      </c>
      <c r="AO424" s="9" t="s">
        <v>134</v>
      </c>
      <c r="AP424" s="11">
        <v>0</v>
      </c>
      <c r="AQ424" s="11">
        <v>0</v>
      </c>
      <c r="AR424" s="11">
        <v>0</v>
      </c>
      <c r="AS424" s="11">
        <v>0</v>
      </c>
      <c r="AT424" s="11">
        <v>0</v>
      </c>
      <c r="AU424" s="11">
        <v>0</v>
      </c>
      <c r="AV424" s="11" t="s">
        <v>57</v>
      </c>
    </row>
    <row r="425" spans="1:49" ht="14.5" hidden="1">
      <c r="A425" s="6">
        <v>426</v>
      </c>
      <c r="B425" s="7" t="s">
        <v>869</v>
      </c>
      <c r="C425" s="7" t="s">
        <v>49</v>
      </c>
      <c r="D425" s="6">
        <v>15644</v>
      </c>
      <c r="E425" s="6" t="s">
        <v>49</v>
      </c>
      <c r="F425" s="8"/>
      <c r="G425" s="8"/>
      <c r="H425" s="7" t="s">
        <v>49</v>
      </c>
      <c r="I425" s="7"/>
      <c r="J425" s="6" t="s">
        <v>49</v>
      </c>
      <c r="K425" s="9" t="s">
        <v>49</v>
      </c>
      <c r="L425" s="9" t="s">
        <v>49</v>
      </c>
      <c r="M425" s="8"/>
      <c r="N425" s="12"/>
      <c r="O425" s="12"/>
      <c r="P425" s="9" t="s">
        <v>49</v>
      </c>
      <c r="Q425" s="9" t="s">
        <v>49</v>
      </c>
      <c r="R425" s="8"/>
      <c r="S425" s="8"/>
      <c r="T425" s="8"/>
      <c r="U425" s="8"/>
      <c r="V425" s="9" t="s">
        <v>49</v>
      </c>
      <c r="W425" s="9" t="s">
        <v>49</v>
      </c>
      <c r="X425" s="8"/>
      <c r="Y425" s="8"/>
      <c r="Z425" s="8"/>
      <c r="AA425" s="8"/>
      <c r="AB425" s="8"/>
      <c r="AC425" s="8"/>
      <c r="AD425" s="8"/>
      <c r="AE425" s="8"/>
      <c r="AF425" s="8"/>
      <c r="AG425" s="8"/>
      <c r="AH425" s="7" t="s">
        <v>79</v>
      </c>
      <c r="AI425" s="6" t="s">
        <v>110</v>
      </c>
      <c r="AJ425" s="6" t="s">
        <v>49</v>
      </c>
      <c r="AK425" s="6" t="s">
        <v>49</v>
      </c>
      <c r="AL425" s="9" t="s">
        <v>111</v>
      </c>
      <c r="AM425" s="9" t="s">
        <v>49</v>
      </c>
      <c r="AN425" s="6" t="s">
        <v>82</v>
      </c>
      <c r="AO425" s="9" t="s">
        <v>49</v>
      </c>
      <c r="AP425" s="11">
        <v>7248.8885899999996</v>
      </c>
      <c r="AQ425" s="11">
        <v>0</v>
      </c>
      <c r="AR425" s="11">
        <v>0</v>
      </c>
      <c r="AS425" s="11">
        <v>41681.266040000002</v>
      </c>
      <c r="AT425" s="11">
        <v>50825.983</v>
      </c>
      <c r="AU425" s="11">
        <v>0</v>
      </c>
      <c r="AV425" s="11">
        <v>0</v>
      </c>
    </row>
    <row r="426" spans="1:49" ht="14.5" hidden="1">
      <c r="A426" s="6">
        <v>427</v>
      </c>
      <c r="B426" s="7" t="s">
        <v>870</v>
      </c>
      <c r="C426" s="7" t="s">
        <v>49</v>
      </c>
      <c r="D426" s="6">
        <v>16026</v>
      </c>
      <c r="E426" s="6" t="s">
        <v>871</v>
      </c>
      <c r="F426" s="8"/>
      <c r="G426" s="8"/>
      <c r="H426" s="7" t="s">
        <v>49</v>
      </c>
      <c r="I426" s="7"/>
      <c r="J426" s="6" t="s">
        <v>49</v>
      </c>
      <c r="K426" s="9" t="s">
        <v>49</v>
      </c>
      <c r="L426" s="9" t="s">
        <v>49</v>
      </c>
      <c r="M426" s="8"/>
      <c r="N426" s="12"/>
      <c r="O426" s="10">
        <v>43830</v>
      </c>
      <c r="P426" s="9" t="s">
        <v>49</v>
      </c>
      <c r="Q426" s="9" t="s">
        <v>49</v>
      </c>
      <c r="R426" s="8"/>
      <c r="S426" s="8"/>
      <c r="T426" s="8"/>
      <c r="U426" s="8"/>
      <c r="V426" s="9" t="s">
        <v>49</v>
      </c>
      <c r="W426" s="9" t="s">
        <v>49</v>
      </c>
      <c r="X426" s="8"/>
      <c r="Y426" s="8"/>
      <c r="Z426" s="8"/>
      <c r="AA426" s="8"/>
      <c r="AB426" s="8"/>
      <c r="AC426" s="8"/>
      <c r="AD426" s="8"/>
      <c r="AE426" s="8"/>
      <c r="AF426" s="8"/>
      <c r="AG426" s="8"/>
      <c r="AH426" s="7" t="s">
        <v>57</v>
      </c>
      <c r="AI426" s="6" t="s">
        <v>49</v>
      </c>
      <c r="AJ426" s="6" t="s">
        <v>49</v>
      </c>
      <c r="AK426" s="6" t="s">
        <v>49</v>
      </c>
      <c r="AL426" s="9" t="s">
        <v>49</v>
      </c>
      <c r="AM426" s="9" t="s">
        <v>134</v>
      </c>
      <c r="AN426" s="6" t="s">
        <v>49</v>
      </c>
      <c r="AO426" s="9" t="s">
        <v>134</v>
      </c>
      <c r="AP426" s="11">
        <v>0</v>
      </c>
      <c r="AQ426" s="11">
        <v>0</v>
      </c>
      <c r="AR426" s="11">
        <v>0</v>
      </c>
      <c r="AS426" s="11">
        <v>0</v>
      </c>
      <c r="AT426" s="11">
        <v>0</v>
      </c>
      <c r="AU426" s="11">
        <v>0</v>
      </c>
      <c r="AV426" s="11" t="s">
        <v>57</v>
      </c>
    </row>
    <row r="427" spans="1:49" ht="14.5" hidden="1">
      <c r="A427" s="6">
        <v>428</v>
      </c>
      <c r="B427" s="7" t="s">
        <v>872</v>
      </c>
      <c r="C427" s="7" t="s">
        <v>49</v>
      </c>
      <c r="D427" s="6">
        <v>12539</v>
      </c>
      <c r="E427" s="6" t="s">
        <v>873</v>
      </c>
      <c r="F427" s="8"/>
      <c r="G427" s="8"/>
      <c r="H427" s="7" t="s">
        <v>49</v>
      </c>
      <c r="I427" s="7"/>
      <c r="J427" s="6" t="s">
        <v>49</v>
      </c>
      <c r="K427" s="9" t="s">
        <v>49</v>
      </c>
      <c r="L427" s="9" t="s">
        <v>49</v>
      </c>
      <c r="M427" s="8"/>
      <c r="N427" s="8"/>
      <c r="O427" s="10">
        <v>44196</v>
      </c>
      <c r="P427" s="9" t="s">
        <v>49</v>
      </c>
      <c r="Q427" s="9" t="s">
        <v>49</v>
      </c>
      <c r="R427" s="8"/>
      <c r="S427" s="8"/>
      <c r="T427" s="8"/>
      <c r="U427" s="8"/>
      <c r="V427" s="9" t="s">
        <v>49</v>
      </c>
      <c r="W427" s="9" t="s">
        <v>49</v>
      </c>
      <c r="X427" s="8"/>
      <c r="Y427" s="8"/>
      <c r="Z427" s="8"/>
      <c r="AA427" s="8"/>
      <c r="AB427" s="8"/>
      <c r="AC427" s="8"/>
      <c r="AD427" s="8"/>
      <c r="AE427" s="8"/>
      <c r="AF427" s="8"/>
      <c r="AG427" s="8"/>
      <c r="AH427" s="7" t="s">
        <v>57</v>
      </c>
      <c r="AI427" s="6" t="s">
        <v>49</v>
      </c>
      <c r="AJ427" s="6" t="s">
        <v>49</v>
      </c>
      <c r="AK427" s="6" t="s">
        <v>49</v>
      </c>
      <c r="AL427" s="9" t="s">
        <v>49</v>
      </c>
      <c r="AM427" s="9" t="s">
        <v>134</v>
      </c>
      <c r="AN427" s="6" t="s">
        <v>49</v>
      </c>
      <c r="AO427" s="9" t="s">
        <v>134</v>
      </c>
      <c r="AP427" s="11">
        <v>0</v>
      </c>
      <c r="AQ427" s="11">
        <v>0</v>
      </c>
      <c r="AR427" s="11">
        <v>0</v>
      </c>
      <c r="AS427" s="11">
        <v>0</v>
      </c>
      <c r="AT427" s="11">
        <v>0</v>
      </c>
      <c r="AU427" s="11">
        <v>0</v>
      </c>
      <c r="AV427" s="11" t="s">
        <v>57</v>
      </c>
    </row>
    <row r="428" spans="1:49" ht="14.5" hidden="1">
      <c r="A428" s="6">
        <v>429</v>
      </c>
      <c r="B428" s="7" t="s">
        <v>874</v>
      </c>
      <c r="C428" s="7" t="s">
        <v>86</v>
      </c>
      <c r="D428" s="6">
        <v>16023</v>
      </c>
      <c r="E428" s="6" t="s">
        <v>49</v>
      </c>
      <c r="F428" s="8"/>
      <c r="G428" s="8"/>
      <c r="H428" s="7" t="s">
        <v>245</v>
      </c>
      <c r="I428" s="7"/>
      <c r="J428" s="6" t="s">
        <v>49</v>
      </c>
      <c r="K428" s="9" t="s">
        <v>49</v>
      </c>
      <c r="L428" s="9" t="s">
        <v>49</v>
      </c>
      <c r="M428" s="8"/>
      <c r="N428" s="8"/>
      <c r="O428" s="10">
        <v>43830</v>
      </c>
      <c r="P428" s="9" t="s">
        <v>49</v>
      </c>
      <c r="Q428" s="9" t="s">
        <v>49</v>
      </c>
      <c r="R428" s="8"/>
      <c r="S428" s="8"/>
      <c r="T428" s="8"/>
      <c r="U428" s="8"/>
      <c r="V428" s="9" t="s">
        <v>49</v>
      </c>
      <c r="W428" s="9" t="s">
        <v>108</v>
      </c>
      <c r="X428" s="8"/>
      <c r="Y428" s="8"/>
      <c r="Z428" s="8"/>
      <c r="AA428" s="8"/>
      <c r="AB428" s="8"/>
      <c r="AC428" s="8"/>
      <c r="AD428" s="8"/>
      <c r="AE428" s="8"/>
      <c r="AF428" s="8"/>
      <c r="AG428" s="8"/>
      <c r="AH428" s="7" t="s">
        <v>57</v>
      </c>
      <c r="AI428" s="6" t="s">
        <v>71</v>
      </c>
      <c r="AJ428" s="6" t="s">
        <v>49</v>
      </c>
      <c r="AK428" s="6" t="s">
        <v>49</v>
      </c>
      <c r="AL428" s="9" t="s">
        <v>52</v>
      </c>
      <c r="AM428" s="9" t="s">
        <v>49</v>
      </c>
      <c r="AN428" s="6" t="s">
        <v>218</v>
      </c>
      <c r="AO428" s="9" t="s">
        <v>49</v>
      </c>
      <c r="AP428" s="11">
        <v>7248.8885899999996</v>
      </c>
      <c r="AQ428" s="11">
        <v>0</v>
      </c>
      <c r="AR428" s="11">
        <v>0</v>
      </c>
      <c r="AS428" s="11">
        <v>41681.266040000002</v>
      </c>
      <c r="AT428" s="11">
        <v>50825.983</v>
      </c>
      <c r="AU428" s="11"/>
      <c r="AV428" s="11">
        <v>0</v>
      </c>
    </row>
    <row r="429" spans="1:49" ht="14.5">
      <c r="A429" s="6">
        <v>430</v>
      </c>
      <c r="B429" s="7" t="s">
        <v>874</v>
      </c>
      <c r="C429" s="7" t="s">
        <v>86</v>
      </c>
      <c r="D429" s="6">
        <v>16023</v>
      </c>
      <c r="E429" s="6" t="s">
        <v>875</v>
      </c>
      <c r="F429" s="6">
        <v>83306</v>
      </c>
      <c r="G429" s="8"/>
      <c r="H429" s="7" t="s">
        <v>245</v>
      </c>
      <c r="I429" s="7"/>
      <c r="J429" s="6" t="s">
        <v>75</v>
      </c>
      <c r="K429" s="9" t="s">
        <v>89</v>
      </c>
      <c r="L429" s="9" t="s">
        <v>218</v>
      </c>
      <c r="M429" s="14">
        <v>257</v>
      </c>
      <c r="N429" s="12"/>
      <c r="O429" s="10">
        <v>43830</v>
      </c>
      <c r="P429" s="9" t="s">
        <v>874</v>
      </c>
      <c r="Q429" s="9" t="s">
        <v>876</v>
      </c>
      <c r="R429" s="8"/>
      <c r="S429" s="8"/>
      <c r="T429" s="8"/>
      <c r="U429" s="8"/>
      <c r="V429" s="9" t="s">
        <v>49</v>
      </c>
      <c r="W429" s="9" t="s">
        <v>108</v>
      </c>
      <c r="X429" s="8"/>
      <c r="Y429" s="8"/>
      <c r="Z429" s="8"/>
      <c r="AA429" s="6">
        <v>0.25700000000000001</v>
      </c>
      <c r="AB429" s="6">
        <v>0.25700000000000001</v>
      </c>
      <c r="AC429" s="8"/>
      <c r="AD429" s="6">
        <v>0.25700000000000001</v>
      </c>
      <c r="AE429" s="8"/>
      <c r="AF429" s="6">
        <v>0.20599999999999999</v>
      </c>
      <c r="AG429" s="6">
        <v>0.20599999999999999</v>
      </c>
      <c r="AH429" s="7" t="s">
        <v>51</v>
      </c>
      <c r="AI429" s="6" t="s">
        <v>49</v>
      </c>
      <c r="AJ429" s="6" t="s">
        <v>49</v>
      </c>
      <c r="AK429" s="6" t="s">
        <v>49</v>
      </c>
      <c r="AL429" s="9" t="s">
        <v>49</v>
      </c>
      <c r="AM429" s="9" t="s">
        <v>92</v>
      </c>
      <c r="AN429" s="6" t="s">
        <v>218</v>
      </c>
      <c r="AO429" s="9" t="s">
        <v>92</v>
      </c>
      <c r="AP429" s="11">
        <v>62.295720000000003</v>
      </c>
      <c r="AQ429" s="11">
        <v>102122.82</v>
      </c>
      <c r="AR429" s="11">
        <v>102122.82166666668</v>
      </c>
      <c r="AS429" s="11">
        <v>62.295720000000003</v>
      </c>
      <c r="AT429" s="11">
        <v>195.59200000000001</v>
      </c>
      <c r="AU429" s="11">
        <v>0</v>
      </c>
      <c r="AV429" s="11" t="s">
        <v>51</v>
      </c>
    </row>
    <row r="430" spans="1:49" ht="14.5" hidden="1">
      <c r="A430" s="6">
        <v>431</v>
      </c>
      <c r="B430" s="7" t="s">
        <v>877</v>
      </c>
      <c r="C430" s="7" t="s">
        <v>49</v>
      </c>
      <c r="D430" s="6">
        <v>12527</v>
      </c>
      <c r="E430" s="6" t="s">
        <v>49</v>
      </c>
      <c r="F430" s="8"/>
      <c r="G430" s="8"/>
      <c r="H430" s="7" t="s">
        <v>49</v>
      </c>
      <c r="I430" s="7"/>
      <c r="J430" s="6" t="s">
        <v>49</v>
      </c>
      <c r="K430" s="9" t="s">
        <v>49</v>
      </c>
      <c r="L430" s="9" t="s">
        <v>49</v>
      </c>
      <c r="M430" s="8"/>
      <c r="N430" s="10">
        <v>42933</v>
      </c>
      <c r="O430" s="10">
        <v>43980</v>
      </c>
      <c r="P430" s="9" t="s">
        <v>49</v>
      </c>
      <c r="Q430" s="9" t="s">
        <v>49</v>
      </c>
      <c r="R430" s="8"/>
      <c r="S430" s="8"/>
      <c r="T430" s="8"/>
      <c r="U430" s="8"/>
      <c r="V430" s="9" t="s">
        <v>49</v>
      </c>
      <c r="W430" s="9" t="s">
        <v>49</v>
      </c>
      <c r="X430" s="8"/>
      <c r="Y430" s="8"/>
      <c r="Z430" s="8"/>
      <c r="AA430" s="8"/>
      <c r="AB430" s="8"/>
      <c r="AC430" s="8"/>
      <c r="AD430" s="8"/>
      <c r="AE430" s="8"/>
      <c r="AF430" s="8"/>
      <c r="AG430" s="8"/>
      <c r="AH430" s="7" t="s">
        <v>51</v>
      </c>
      <c r="AI430" s="6" t="s">
        <v>71</v>
      </c>
      <c r="AJ430" s="6" t="s">
        <v>49</v>
      </c>
      <c r="AK430" s="6" t="s">
        <v>118</v>
      </c>
      <c r="AL430" s="9" t="s">
        <v>274</v>
      </c>
      <c r="AM430" s="9" t="s">
        <v>49</v>
      </c>
      <c r="AN430" s="6" t="s">
        <v>96</v>
      </c>
      <c r="AO430" s="9" t="s">
        <v>49</v>
      </c>
      <c r="AP430" s="11">
        <v>7248.8885899999996</v>
      </c>
      <c r="AQ430" s="11">
        <v>0</v>
      </c>
      <c r="AR430" s="11">
        <v>0</v>
      </c>
      <c r="AS430" s="11">
        <v>41681.266040000002</v>
      </c>
      <c r="AT430" s="11">
        <v>50825.983</v>
      </c>
      <c r="AU430" s="11">
        <v>0</v>
      </c>
      <c r="AV430" s="11">
        <v>0</v>
      </c>
    </row>
    <row r="431" spans="1:49" ht="14.5" hidden="1">
      <c r="A431" s="6">
        <v>432</v>
      </c>
      <c r="B431" s="7" t="s">
        <v>878</v>
      </c>
      <c r="C431" s="7" t="s">
        <v>81</v>
      </c>
      <c r="D431" s="6">
        <v>12527</v>
      </c>
      <c r="E431" s="6" t="s">
        <v>879</v>
      </c>
      <c r="F431" s="6">
        <v>0</v>
      </c>
      <c r="G431" s="8"/>
      <c r="H431" s="7" t="s">
        <v>88</v>
      </c>
      <c r="I431" s="7" t="s">
        <v>147</v>
      </c>
      <c r="J431" s="6" t="s">
        <v>75</v>
      </c>
      <c r="K431" s="9" t="s">
        <v>89</v>
      </c>
      <c r="L431" s="9" t="s">
        <v>73</v>
      </c>
      <c r="M431" s="17">
        <v>1000</v>
      </c>
      <c r="N431" s="10">
        <v>42933</v>
      </c>
      <c r="O431" s="10">
        <v>43980</v>
      </c>
      <c r="P431" s="9" t="s">
        <v>878</v>
      </c>
      <c r="Q431" s="9" t="s">
        <v>107</v>
      </c>
      <c r="R431" s="6">
        <v>9.19</v>
      </c>
      <c r="S431" s="6">
        <v>34.5</v>
      </c>
      <c r="T431" s="6">
        <v>46.7</v>
      </c>
      <c r="U431" s="6">
        <v>3.8</v>
      </c>
      <c r="V431" s="9" t="s">
        <v>880</v>
      </c>
      <c r="W431" s="9" t="s">
        <v>49</v>
      </c>
      <c r="X431" s="6">
        <v>1</v>
      </c>
      <c r="Y431" s="8"/>
      <c r="Z431" s="12"/>
      <c r="AA431" s="8"/>
      <c r="AB431" s="6">
        <v>1</v>
      </c>
      <c r="AC431" s="8"/>
      <c r="AD431" s="6">
        <v>1</v>
      </c>
      <c r="AE431" s="6">
        <v>0.8</v>
      </c>
      <c r="AF431" s="8"/>
      <c r="AG431" s="6">
        <v>0.8</v>
      </c>
      <c r="AH431" s="7" t="s">
        <v>51</v>
      </c>
      <c r="AI431" s="6" t="s">
        <v>49</v>
      </c>
      <c r="AJ431" s="6" t="s">
        <v>49</v>
      </c>
      <c r="AK431" s="6" t="s">
        <v>49</v>
      </c>
      <c r="AL431" s="9" t="s">
        <v>49</v>
      </c>
      <c r="AM431" s="9" t="s">
        <v>274</v>
      </c>
      <c r="AN431" s="6" t="s">
        <v>73</v>
      </c>
      <c r="AO431" s="9" t="s">
        <v>201</v>
      </c>
      <c r="AP431" s="11">
        <v>239.63751000000002</v>
      </c>
      <c r="AQ431" s="11">
        <v>361371.39</v>
      </c>
      <c r="AR431" s="11">
        <v>361371.40125</v>
      </c>
      <c r="AS431" s="11">
        <v>1747.18434</v>
      </c>
      <c r="AT431" s="11">
        <v>997.63800000000003</v>
      </c>
      <c r="AU431" s="11">
        <v>0</v>
      </c>
      <c r="AV431" s="11" t="s">
        <v>51</v>
      </c>
    </row>
    <row r="432" spans="1:49" ht="14.5" hidden="1">
      <c r="A432" s="6">
        <v>433</v>
      </c>
      <c r="B432" s="7" t="s">
        <v>881</v>
      </c>
      <c r="C432" s="7" t="s">
        <v>131</v>
      </c>
      <c r="D432" s="6">
        <v>15070</v>
      </c>
      <c r="E432" s="6" t="s">
        <v>882</v>
      </c>
      <c r="F432" s="6">
        <v>86042</v>
      </c>
      <c r="G432" s="8"/>
      <c r="H432" s="7" t="s">
        <v>49</v>
      </c>
      <c r="I432" s="7"/>
      <c r="J432" s="6" t="s">
        <v>49</v>
      </c>
      <c r="K432" s="9" t="s">
        <v>49</v>
      </c>
      <c r="L432" s="9" t="s">
        <v>73</v>
      </c>
      <c r="M432" s="8"/>
      <c r="N432" s="10">
        <v>43048</v>
      </c>
      <c r="O432" s="10">
        <v>43831</v>
      </c>
      <c r="P432" s="9" t="s">
        <v>403</v>
      </c>
      <c r="Q432" s="9" t="s">
        <v>848</v>
      </c>
      <c r="R432" s="8"/>
      <c r="S432" s="8"/>
      <c r="T432" s="8"/>
      <c r="U432" s="6">
        <v>1.2</v>
      </c>
      <c r="V432" s="9" t="s">
        <v>49</v>
      </c>
      <c r="W432" s="9" t="s">
        <v>132</v>
      </c>
      <c r="X432" s="8"/>
      <c r="Y432" s="8"/>
      <c r="Z432" s="8"/>
      <c r="AA432" s="8"/>
      <c r="AB432" s="8"/>
      <c r="AC432" s="8"/>
      <c r="AD432" s="8"/>
      <c r="AE432" s="8"/>
      <c r="AF432" s="8"/>
      <c r="AG432" s="8"/>
      <c r="AH432" s="7" t="s">
        <v>51</v>
      </c>
      <c r="AI432" s="6" t="s">
        <v>49</v>
      </c>
      <c r="AJ432" s="6" t="s">
        <v>49</v>
      </c>
      <c r="AK432" s="6" t="s">
        <v>49</v>
      </c>
      <c r="AL432" s="9" t="s">
        <v>49</v>
      </c>
      <c r="AM432" s="9" t="s">
        <v>134</v>
      </c>
      <c r="AN432" s="6" t="s">
        <v>218</v>
      </c>
      <c r="AO432" s="9" t="s">
        <v>134</v>
      </c>
      <c r="AP432" s="11">
        <v>92.052679999999995</v>
      </c>
      <c r="AQ432" s="11">
        <v>248643.58</v>
      </c>
      <c r="AR432" s="11">
        <v>248643.58</v>
      </c>
      <c r="AS432" s="11">
        <v>2070.3841899999998</v>
      </c>
      <c r="AT432" s="11">
        <v>5270.0529999999999</v>
      </c>
      <c r="AU432" s="11">
        <v>0</v>
      </c>
      <c r="AV432" s="11" t="s">
        <v>51</v>
      </c>
    </row>
    <row r="433" spans="1:49" ht="29" hidden="1">
      <c r="A433" s="6">
        <v>434</v>
      </c>
      <c r="B433" s="7" t="s">
        <v>883</v>
      </c>
      <c r="C433" s="7" t="s">
        <v>101</v>
      </c>
      <c r="D433" s="6">
        <v>15377</v>
      </c>
      <c r="E433" s="6" t="s">
        <v>884</v>
      </c>
      <c r="F433" s="6">
        <v>0</v>
      </c>
      <c r="G433" s="8"/>
      <c r="H433" s="7" t="s">
        <v>88</v>
      </c>
      <c r="I433" s="7" t="s">
        <v>255</v>
      </c>
      <c r="J433" s="6" t="s">
        <v>105</v>
      </c>
      <c r="K433" s="9" t="s">
        <v>76</v>
      </c>
      <c r="L433" s="9" t="s">
        <v>73</v>
      </c>
      <c r="M433" s="15">
        <v>4300</v>
      </c>
      <c r="N433" s="10">
        <v>43346</v>
      </c>
      <c r="O433" s="10">
        <v>43858</v>
      </c>
      <c r="P433" s="9" t="s">
        <v>885</v>
      </c>
      <c r="Q433" s="9" t="s">
        <v>107</v>
      </c>
      <c r="R433" s="6">
        <v>4.93</v>
      </c>
      <c r="S433" s="6">
        <v>111</v>
      </c>
      <c r="T433" s="6">
        <v>655.7</v>
      </c>
      <c r="U433" s="6">
        <v>22.5</v>
      </c>
      <c r="V433" s="9" t="s">
        <v>886</v>
      </c>
      <c r="W433" s="9" t="s">
        <v>49</v>
      </c>
      <c r="X433" s="6">
        <v>4.3</v>
      </c>
      <c r="Y433" s="6">
        <v>0</v>
      </c>
      <c r="Z433" s="6">
        <v>0</v>
      </c>
      <c r="AA433" s="6">
        <v>0</v>
      </c>
      <c r="AB433" s="6">
        <v>4.3</v>
      </c>
      <c r="AC433" s="6">
        <v>0</v>
      </c>
      <c r="AD433" s="6">
        <v>4.3</v>
      </c>
      <c r="AE433" s="6">
        <v>3.87</v>
      </c>
      <c r="AF433" s="8"/>
      <c r="AG433" s="6">
        <v>3.87</v>
      </c>
      <c r="AH433" s="7" t="s">
        <v>51</v>
      </c>
      <c r="AI433" s="6" t="s">
        <v>49</v>
      </c>
      <c r="AJ433" s="6" t="s">
        <v>49</v>
      </c>
      <c r="AK433" s="6" t="s">
        <v>49</v>
      </c>
      <c r="AL433" s="9" t="s">
        <v>49</v>
      </c>
      <c r="AM433" s="9" t="s">
        <v>102</v>
      </c>
      <c r="AN433" s="6" t="s">
        <v>73</v>
      </c>
      <c r="AO433" s="9" t="s">
        <v>102</v>
      </c>
      <c r="AP433" s="11">
        <v>358.45600000000002</v>
      </c>
      <c r="AQ433" s="11">
        <v>517893.33</v>
      </c>
      <c r="AR433" s="11">
        <v>517893.33666666667</v>
      </c>
      <c r="AS433" s="11">
        <v>4306.9552699999995</v>
      </c>
      <c r="AT433" s="11">
        <v>358.45600000000002</v>
      </c>
      <c r="AU433" s="11">
        <v>3800</v>
      </c>
      <c r="AV433" s="11" t="s">
        <v>51</v>
      </c>
      <c r="AW433" t="s">
        <v>306</v>
      </c>
    </row>
    <row r="434" spans="1:49" ht="14.5" hidden="1">
      <c r="A434" s="6">
        <v>435</v>
      </c>
      <c r="B434" s="7" t="s">
        <v>887</v>
      </c>
      <c r="C434" s="7" t="s">
        <v>49</v>
      </c>
      <c r="D434" s="6">
        <v>12490</v>
      </c>
      <c r="E434" s="6"/>
      <c r="F434" s="8"/>
      <c r="G434" s="8"/>
      <c r="H434" s="7" t="s">
        <v>49</v>
      </c>
      <c r="I434" s="7"/>
      <c r="J434" s="6" t="s">
        <v>49</v>
      </c>
      <c r="K434" s="9" t="s">
        <v>49</v>
      </c>
      <c r="L434" s="9" t="s">
        <v>49</v>
      </c>
      <c r="M434" s="8"/>
      <c r="N434" s="12"/>
      <c r="O434" s="10">
        <v>44256</v>
      </c>
      <c r="P434" s="9" t="s">
        <v>49</v>
      </c>
      <c r="Q434" s="9" t="s">
        <v>49</v>
      </c>
      <c r="R434" s="8"/>
      <c r="S434" s="8"/>
      <c r="T434" s="8"/>
      <c r="U434" s="8"/>
      <c r="V434" s="9" t="s">
        <v>49</v>
      </c>
      <c r="W434" s="9" t="s">
        <v>49</v>
      </c>
      <c r="X434" s="8"/>
      <c r="Y434" s="8"/>
      <c r="Z434" s="8"/>
      <c r="AA434" s="8"/>
      <c r="AB434" s="8"/>
      <c r="AC434" s="8"/>
      <c r="AD434" s="8"/>
      <c r="AE434" s="8"/>
      <c r="AF434" s="8"/>
      <c r="AG434" s="8"/>
      <c r="AH434" s="7" t="s">
        <v>57</v>
      </c>
      <c r="AI434" s="6" t="s">
        <v>49</v>
      </c>
      <c r="AJ434" s="6" t="s">
        <v>49</v>
      </c>
      <c r="AK434" s="6" t="s">
        <v>49</v>
      </c>
      <c r="AL434" s="9" t="s">
        <v>49</v>
      </c>
      <c r="AM434" s="9" t="s">
        <v>122</v>
      </c>
      <c r="AN434" s="6" t="s">
        <v>49</v>
      </c>
      <c r="AO434" s="9" t="s">
        <v>122</v>
      </c>
      <c r="AP434" s="11">
        <v>0</v>
      </c>
      <c r="AQ434" s="11">
        <v>0</v>
      </c>
      <c r="AR434" s="11">
        <v>0</v>
      </c>
      <c r="AS434" s="11">
        <v>0</v>
      </c>
      <c r="AT434" s="11">
        <v>0</v>
      </c>
      <c r="AU434" s="11">
        <v>0</v>
      </c>
      <c r="AV434" s="11">
        <v>0</v>
      </c>
    </row>
    <row r="435" spans="1:49" ht="14.5" hidden="1">
      <c r="A435" s="6">
        <v>436</v>
      </c>
      <c r="B435" s="7" t="s">
        <v>888</v>
      </c>
      <c r="C435" s="7" t="s">
        <v>292</v>
      </c>
      <c r="D435" s="6">
        <v>12507</v>
      </c>
      <c r="E435" s="6" t="s">
        <v>889</v>
      </c>
      <c r="F435" s="6">
        <v>83482</v>
      </c>
      <c r="G435" s="8"/>
      <c r="H435" s="7" t="s">
        <v>49</v>
      </c>
      <c r="I435" s="7"/>
      <c r="J435" s="6" t="s">
        <v>49</v>
      </c>
      <c r="K435" s="9" t="s">
        <v>49</v>
      </c>
      <c r="L435" s="9" t="s">
        <v>73</v>
      </c>
      <c r="M435" s="29">
        <v>74</v>
      </c>
      <c r="N435" s="10">
        <v>43010</v>
      </c>
      <c r="O435" s="10">
        <v>44196</v>
      </c>
      <c r="P435" s="9" t="s">
        <v>890</v>
      </c>
      <c r="Q435" s="9" t="s">
        <v>891</v>
      </c>
      <c r="R435" s="8"/>
      <c r="S435" s="8"/>
      <c r="T435" s="8"/>
      <c r="U435" s="8"/>
      <c r="V435" s="9" t="s">
        <v>49</v>
      </c>
      <c r="W435" s="9" t="s">
        <v>49</v>
      </c>
      <c r="X435" s="8"/>
      <c r="Y435" s="8"/>
      <c r="Z435" s="8"/>
      <c r="AA435" s="8"/>
      <c r="AB435" s="8"/>
      <c r="AC435" s="8"/>
      <c r="AD435" s="8"/>
      <c r="AE435" s="8"/>
      <c r="AF435" s="8"/>
      <c r="AG435" s="8"/>
      <c r="AH435" s="7" t="s">
        <v>51</v>
      </c>
      <c r="AI435" s="6" t="s">
        <v>49</v>
      </c>
      <c r="AJ435" s="6" t="s">
        <v>49</v>
      </c>
      <c r="AK435" s="6" t="s">
        <v>49</v>
      </c>
      <c r="AL435" s="9" t="s">
        <v>49</v>
      </c>
      <c r="AM435" s="9" t="s">
        <v>52</v>
      </c>
      <c r="AN435" s="6" t="s">
        <v>49</v>
      </c>
      <c r="AO435" s="9" t="s">
        <v>52</v>
      </c>
      <c r="AP435" s="11">
        <v>33.438499999999998</v>
      </c>
      <c r="AQ435" s="11">
        <v>60542.02</v>
      </c>
      <c r="AR435" s="11">
        <v>60542.020000000011</v>
      </c>
      <c r="AS435" s="11">
        <v>161.45309</v>
      </c>
      <c r="AT435" s="11">
        <v>33.438000000000002</v>
      </c>
      <c r="AU435" s="11">
        <v>74</v>
      </c>
      <c r="AV435" s="11" t="s">
        <v>51</v>
      </c>
      <c r="AW435" t="s">
        <v>93</v>
      </c>
    </row>
    <row r="436" spans="1:49" ht="29" hidden="1">
      <c r="A436" s="6">
        <v>437</v>
      </c>
      <c r="B436" s="7" t="s">
        <v>892</v>
      </c>
      <c r="C436" s="7" t="s">
        <v>203</v>
      </c>
      <c r="D436" s="12"/>
      <c r="E436" s="6" t="s">
        <v>104</v>
      </c>
      <c r="F436" s="8"/>
      <c r="G436" s="8"/>
      <c r="H436" s="7" t="s">
        <v>49</v>
      </c>
      <c r="I436" s="7"/>
      <c r="J436" s="6" t="s">
        <v>49</v>
      </c>
      <c r="K436" s="9" t="s">
        <v>49</v>
      </c>
      <c r="L436" s="9" t="s">
        <v>49</v>
      </c>
      <c r="M436" s="18">
        <v>400</v>
      </c>
      <c r="N436" s="8"/>
      <c r="O436" s="12"/>
      <c r="P436" s="9" t="s">
        <v>49</v>
      </c>
      <c r="Q436" s="9" t="s">
        <v>49</v>
      </c>
      <c r="R436" s="8"/>
      <c r="S436" s="8"/>
      <c r="T436" s="8"/>
      <c r="U436" s="8"/>
      <c r="V436" s="9" t="s">
        <v>49</v>
      </c>
      <c r="W436" s="9" t="s">
        <v>49</v>
      </c>
      <c r="X436" s="8"/>
      <c r="Y436" s="8"/>
      <c r="Z436" s="8"/>
      <c r="AA436" s="8"/>
      <c r="AB436" s="8"/>
      <c r="AC436" s="8"/>
      <c r="AD436" s="8"/>
      <c r="AE436" s="8"/>
      <c r="AF436" s="8"/>
      <c r="AG436" s="8"/>
      <c r="AH436" s="7" t="s">
        <v>49</v>
      </c>
      <c r="AI436" s="6" t="s">
        <v>49</v>
      </c>
      <c r="AJ436" s="6" t="s">
        <v>49</v>
      </c>
      <c r="AK436" s="6" t="s">
        <v>49</v>
      </c>
      <c r="AL436" s="9" t="s">
        <v>49</v>
      </c>
      <c r="AM436" s="9" t="s">
        <v>49</v>
      </c>
      <c r="AN436" s="6" t="s">
        <v>49</v>
      </c>
      <c r="AO436" s="9" t="s">
        <v>49</v>
      </c>
      <c r="AP436" s="11">
        <v>0</v>
      </c>
      <c r="AQ436" s="11">
        <v>0</v>
      </c>
      <c r="AR436" s="11">
        <v>0</v>
      </c>
      <c r="AS436" s="11">
        <v>0</v>
      </c>
      <c r="AT436" s="11">
        <v>0</v>
      </c>
      <c r="AU436" s="11">
        <v>0</v>
      </c>
      <c r="AV436" s="11">
        <v>0</v>
      </c>
    </row>
    <row r="437" spans="1:49" ht="14.5" hidden="1">
      <c r="A437" s="6">
        <v>438</v>
      </c>
      <c r="B437" s="7" t="s">
        <v>893</v>
      </c>
      <c r="C437" s="7" t="s">
        <v>49</v>
      </c>
      <c r="D437" s="6">
        <v>15540</v>
      </c>
      <c r="E437" s="6" t="s">
        <v>49</v>
      </c>
      <c r="F437" s="12"/>
      <c r="G437" s="8"/>
      <c r="H437" s="7" t="s">
        <v>49</v>
      </c>
      <c r="I437" s="7"/>
      <c r="J437" s="6" t="s">
        <v>49</v>
      </c>
      <c r="K437" s="9" t="s">
        <v>49</v>
      </c>
      <c r="L437" s="9" t="s">
        <v>49</v>
      </c>
      <c r="M437" s="12"/>
      <c r="N437" s="8"/>
      <c r="O437" s="10">
        <v>44518</v>
      </c>
      <c r="P437" s="9" t="s">
        <v>49</v>
      </c>
      <c r="Q437" s="9" t="s">
        <v>49</v>
      </c>
      <c r="R437" s="8"/>
      <c r="S437" s="8"/>
      <c r="T437" s="8"/>
      <c r="U437" s="8"/>
      <c r="V437" s="9" t="s">
        <v>49</v>
      </c>
      <c r="W437" s="9" t="s">
        <v>49</v>
      </c>
      <c r="X437" s="8"/>
      <c r="Y437" s="8"/>
      <c r="Z437" s="8"/>
      <c r="AA437" s="12"/>
      <c r="AB437" s="12"/>
      <c r="AC437" s="8"/>
      <c r="AD437" s="12"/>
      <c r="AE437" s="8"/>
      <c r="AF437" s="12"/>
      <c r="AG437" s="12"/>
      <c r="AH437" s="7" t="s">
        <v>57</v>
      </c>
      <c r="AI437" s="6" t="s">
        <v>894</v>
      </c>
      <c r="AJ437" s="6" t="s">
        <v>49</v>
      </c>
      <c r="AK437" s="6" t="s">
        <v>49</v>
      </c>
      <c r="AL437" s="9" t="s">
        <v>895</v>
      </c>
      <c r="AM437" s="9" t="s">
        <v>49</v>
      </c>
      <c r="AN437" s="6" t="s">
        <v>85</v>
      </c>
      <c r="AO437" s="9" t="s">
        <v>49</v>
      </c>
      <c r="AP437" s="11">
        <v>7248.8885899999996</v>
      </c>
      <c r="AQ437" s="11">
        <v>0</v>
      </c>
      <c r="AR437" s="11">
        <v>0</v>
      </c>
      <c r="AS437" s="11">
        <v>41681.266040000002</v>
      </c>
      <c r="AT437" s="11">
        <v>50825.983</v>
      </c>
      <c r="AU437" s="11">
        <v>0</v>
      </c>
      <c r="AV437" s="11">
        <v>0</v>
      </c>
    </row>
    <row r="438" spans="1:49" ht="14.5" hidden="1">
      <c r="A438" s="6">
        <v>439</v>
      </c>
      <c r="B438" s="7" t="s">
        <v>896</v>
      </c>
      <c r="C438" s="7" t="s">
        <v>49</v>
      </c>
      <c r="D438" s="6">
        <v>15540</v>
      </c>
      <c r="E438" s="6" t="s">
        <v>897</v>
      </c>
      <c r="F438" s="8"/>
      <c r="G438" s="8"/>
      <c r="H438" s="7" t="s">
        <v>49</v>
      </c>
      <c r="I438" s="7"/>
      <c r="J438" s="6" t="s">
        <v>49</v>
      </c>
      <c r="K438" s="9" t="s">
        <v>49</v>
      </c>
      <c r="L438" s="9" t="s">
        <v>49</v>
      </c>
      <c r="M438" s="8"/>
      <c r="N438" s="12"/>
      <c r="O438" s="10">
        <v>44518</v>
      </c>
      <c r="P438" s="9" t="s">
        <v>49</v>
      </c>
      <c r="Q438" s="9" t="s">
        <v>49</v>
      </c>
      <c r="R438" s="8"/>
      <c r="S438" s="8"/>
      <c r="T438" s="8"/>
      <c r="U438" s="8"/>
      <c r="V438" s="9" t="s">
        <v>49</v>
      </c>
      <c r="W438" s="9" t="s">
        <v>49</v>
      </c>
      <c r="X438" s="8"/>
      <c r="Y438" s="8"/>
      <c r="Z438" s="8"/>
      <c r="AA438" s="8"/>
      <c r="AB438" s="8"/>
      <c r="AC438" s="8"/>
      <c r="AD438" s="8"/>
      <c r="AE438" s="8"/>
      <c r="AF438" s="8"/>
      <c r="AG438" s="8"/>
      <c r="AH438" s="7" t="s">
        <v>57</v>
      </c>
      <c r="AI438" s="6" t="s">
        <v>49</v>
      </c>
      <c r="AJ438" s="6" t="s">
        <v>49</v>
      </c>
      <c r="AK438" s="6" t="s">
        <v>49</v>
      </c>
      <c r="AL438" s="9" t="s">
        <v>49</v>
      </c>
      <c r="AM438" s="9" t="s">
        <v>895</v>
      </c>
      <c r="AN438" s="6" t="s">
        <v>49</v>
      </c>
      <c r="AO438" s="9" t="s">
        <v>895</v>
      </c>
      <c r="AP438" s="11">
        <v>0</v>
      </c>
      <c r="AQ438" s="11">
        <v>0</v>
      </c>
      <c r="AR438" s="11">
        <v>0</v>
      </c>
      <c r="AS438" s="11">
        <v>0</v>
      </c>
      <c r="AT438" s="11">
        <v>0</v>
      </c>
      <c r="AU438" s="11">
        <v>0</v>
      </c>
      <c r="AV438" s="11" t="s">
        <v>57</v>
      </c>
    </row>
    <row r="439" spans="1:49" ht="14.5" hidden="1">
      <c r="A439" s="6">
        <v>440</v>
      </c>
      <c r="B439" s="7" t="s">
        <v>898</v>
      </c>
      <c r="C439" s="7" t="s">
        <v>49</v>
      </c>
      <c r="D439" s="6">
        <v>15062</v>
      </c>
      <c r="E439" s="6" t="s">
        <v>899</v>
      </c>
      <c r="F439" s="12"/>
      <c r="G439" s="8"/>
      <c r="H439" s="7" t="s">
        <v>49</v>
      </c>
      <c r="I439" s="7"/>
      <c r="J439" s="6" t="s">
        <v>49</v>
      </c>
      <c r="K439" s="9" t="s">
        <v>49</v>
      </c>
      <c r="L439" s="9" t="s">
        <v>49</v>
      </c>
      <c r="M439" s="12"/>
      <c r="N439" s="10">
        <v>43122</v>
      </c>
      <c r="O439" s="10">
        <v>43831</v>
      </c>
      <c r="P439" s="9" t="s">
        <v>49</v>
      </c>
      <c r="Q439" s="9" t="s">
        <v>49</v>
      </c>
      <c r="R439" s="12"/>
      <c r="S439" s="12"/>
      <c r="T439" s="12"/>
      <c r="U439" s="12"/>
      <c r="V439" s="9" t="s">
        <v>49</v>
      </c>
      <c r="W439" s="9" t="s">
        <v>49</v>
      </c>
      <c r="X439" s="12"/>
      <c r="Y439" s="8"/>
      <c r="Z439" s="8"/>
      <c r="AA439" s="8"/>
      <c r="AB439" s="12"/>
      <c r="AC439" s="8"/>
      <c r="AD439" s="12"/>
      <c r="AE439" s="12"/>
      <c r="AF439" s="8"/>
      <c r="AG439" s="12"/>
      <c r="AH439" s="7" t="s">
        <v>51</v>
      </c>
      <c r="AI439" s="6" t="s">
        <v>49</v>
      </c>
      <c r="AJ439" s="6" t="s">
        <v>49</v>
      </c>
      <c r="AK439" s="6" t="s">
        <v>49</v>
      </c>
      <c r="AL439" s="9" t="s">
        <v>49</v>
      </c>
      <c r="AM439" s="9" t="s">
        <v>52</v>
      </c>
      <c r="AN439" s="6" t="s">
        <v>49</v>
      </c>
      <c r="AO439" s="9" t="s">
        <v>52</v>
      </c>
      <c r="AP439" s="11">
        <v>0</v>
      </c>
      <c r="AQ439" s="11">
        <v>0</v>
      </c>
      <c r="AR439" s="11">
        <v>0</v>
      </c>
      <c r="AS439" s="11">
        <v>0</v>
      </c>
      <c r="AT439" s="11">
        <v>0</v>
      </c>
      <c r="AU439" s="11">
        <v>0</v>
      </c>
      <c r="AV439" s="11" t="s">
        <v>51</v>
      </c>
    </row>
    <row r="440" spans="1:49" ht="14.5" hidden="1">
      <c r="A440" s="6">
        <v>441</v>
      </c>
      <c r="B440" s="7" t="s">
        <v>900</v>
      </c>
      <c r="C440" s="7" t="s">
        <v>81</v>
      </c>
      <c r="D440" s="6">
        <v>16029</v>
      </c>
      <c r="E440" s="6" t="s">
        <v>901</v>
      </c>
      <c r="F440" s="12"/>
      <c r="G440" s="8"/>
      <c r="H440" s="7" t="s">
        <v>88</v>
      </c>
      <c r="I440" s="7" t="s">
        <v>217</v>
      </c>
      <c r="J440" s="6" t="s">
        <v>75</v>
      </c>
      <c r="K440" s="9" t="s">
        <v>89</v>
      </c>
      <c r="L440" s="9" t="s">
        <v>49</v>
      </c>
      <c r="M440" s="17">
        <v>761</v>
      </c>
      <c r="N440" s="10">
        <v>43627</v>
      </c>
      <c r="O440" s="10">
        <v>44561</v>
      </c>
      <c r="P440" s="9" t="s">
        <v>49</v>
      </c>
      <c r="Q440" s="9" t="s">
        <v>49</v>
      </c>
      <c r="R440" s="8"/>
      <c r="S440" s="8"/>
      <c r="T440" s="8"/>
      <c r="U440" s="12"/>
      <c r="V440" s="9" t="s">
        <v>49</v>
      </c>
      <c r="W440" s="9" t="s">
        <v>49</v>
      </c>
      <c r="X440" s="8"/>
      <c r="Y440" s="8"/>
      <c r="Z440" s="6">
        <v>0.76100000000000001</v>
      </c>
      <c r="AA440" s="8"/>
      <c r="AB440" s="6">
        <v>0.76100000000000001</v>
      </c>
      <c r="AC440" s="8"/>
      <c r="AD440" s="6">
        <v>0.76100000000000001</v>
      </c>
      <c r="AE440" s="6">
        <v>0.60899999999999999</v>
      </c>
      <c r="AF440" s="8"/>
      <c r="AG440" s="6">
        <v>0.60899999999999999</v>
      </c>
      <c r="AH440" s="7" t="s">
        <v>57</v>
      </c>
      <c r="AI440" s="6" t="s">
        <v>49</v>
      </c>
      <c r="AJ440" s="6" t="s">
        <v>49</v>
      </c>
      <c r="AK440" s="6" t="s">
        <v>49</v>
      </c>
      <c r="AL440" s="9" t="s">
        <v>49</v>
      </c>
      <c r="AM440" s="9" t="s">
        <v>262</v>
      </c>
      <c r="AN440" s="6" t="s">
        <v>218</v>
      </c>
      <c r="AO440" s="9" t="s">
        <v>242</v>
      </c>
      <c r="AP440" s="11">
        <v>0</v>
      </c>
      <c r="AQ440" s="11">
        <v>0</v>
      </c>
      <c r="AR440" s="11">
        <v>0</v>
      </c>
      <c r="AS440" s="11">
        <v>0</v>
      </c>
      <c r="AT440" s="11">
        <v>761.24800000000005</v>
      </c>
      <c r="AU440" s="11">
        <v>650</v>
      </c>
      <c r="AV440" s="11" t="s">
        <v>57</v>
      </c>
      <c r="AW440" t="s">
        <v>93</v>
      </c>
    </row>
    <row r="441" spans="1:49" ht="14.5" hidden="1">
      <c r="A441" s="6">
        <v>442</v>
      </c>
      <c r="B441" s="7" t="s">
        <v>902</v>
      </c>
      <c r="C441" s="7" t="s">
        <v>49</v>
      </c>
      <c r="D441" s="6">
        <v>16029</v>
      </c>
      <c r="E441" s="6" t="s">
        <v>49</v>
      </c>
      <c r="F441" s="12"/>
      <c r="G441" s="8"/>
      <c r="H441" s="7" t="s">
        <v>49</v>
      </c>
      <c r="I441" s="7"/>
      <c r="J441" s="6" t="s">
        <v>49</v>
      </c>
      <c r="K441" s="9" t="s">
        <v>49</v>
      </c>
      <c r="L441" s="9" t="s">
        <v>49</v>
      </c>
      <c r="M441" s="12"/>
      <c r="N441" s="10">
        <v>43627</v>
      </c>
      <c r="O441" s="10">
        <v>44561</v>
      </c>
      <c r="P441" s="9" t="s">
        <v>49</v>
      </c>
      <c r="Q441" s="9" t="s">
        <v>49</v>
      </c>
      <c r="R441" s="12"/>
      <c r="S441" s="12"/>
      <c r="T441" s="12"/>
      <c r="U441" s="12"/>
      <c r="V441" s="9" t="s">
        <v>49</v>
      </c>
      <c r="W441" s="9" t="s">
        <v>49</v>
      </c>
      <c r="X441" s="12"/>
      <c r="Y441" s="12"/>
      <c r="Z441" s="12"/>
      <c r="AA441" s="12"/>
      <c r="AB441" s="12"/>
      <c r="AC441" s="12"/>
      <c r="AD441" s="12"/>
      <c r="AE441" s="12"/>
      <c r="AF441" s="8"/>
      <c r="AG441" s="12"/>
      <c r="AH441" s="7" t="s">
        <v>57</v>
      </c>
      <c r="AI441" s="6" t="s">
        <v>71</v>
      </c>
      <c r="AJ441" s="6" t="s">
        <v>49</v>
      </c>
      <c r="AK441" s="6" t="s">
        <v>49</v>
      </c>
      <c r="AL441" s="9" t="s">
        <v>52</v>
      </c>
      <c r="AM441" s="9" t="s">
        <v>49</v>
      </c>
      <c r="AN441" s="6" t="s">
        <v>85</v>
      </c>
      <c r="AO441" s="9" t="s">
        <v>49</v>
      </c>
      <c r="AP441" s="11">
        <v>7248.8885899999996</v>
      </c>
      <c r="AQ441" s="11">
        <v>0</v>
      </c>
      <c r="AR441" s="11">
        <v>0</v>
      </c>
      <c r="AS441" s="11">
        <v>41681.266040000002</v>
      </c>
      <c r="AT441" s="11">
        <v>50825.983</v>
      </c>
      <c r="AU441" s="11">
        <v>0</v>
      </c>
      <c r="AV441" s="11">
        <v>0</v>
      </c>
    </row>
    <row r="442" spans="1:49" ht="14.5" hidden="1">
      <c r="A442" s="6">
        <v>443</v>
      </c>
      <c r="B442" s="7" t="s">
        <v>903</v>
      </c>
      <c r="C442" s="7" t="s">
        <v>81</v>
      </c>
      <c r="D442" s="6">
        <v>15382</v>
      </c>
      <c r="E442" s="6" t="s">
        <v>49</v>
      </c>
      <c r="F442" s="8"/>
      <c r="G442" s="8"/>
      <c r="H442" s="7" t="s">
        <v>49</v>
      </c>
      <c r="I442" s="7"/>
      <c r="J442" s="6" t="s">
        <v>49</v>
      </c>
      <c r="K442" s="9" t="s">
        <v>49</v>
      </c>
      <c r="L442" s="9" t="s">
        <v>49</v>
      </c>
      <c r="M442" s="8"/>
      <c r="N442" s="8"/>
      <c r="O442" s="10">
        <v>43553</v>
      </c>
      <c r="P442" s="9" t="s">
        <v>49</v>
      </c>
      <c r="Q442" s="9" t="s">
        <v>49</v>
      </c>
      <c r="R442" s="8"/>
      <c r="S442" s="8"/>
      <c r="T442" s="8"/>
      <c r="U442" s="8"/>
      <c r="V442" s="9" t="s">
        <v>49</v>
      </c>
      <c r="W442" s="9" t="s">
        <v>49</v>
      </c>
      <c r="X442" s="8"/>
      <c r="Y442" s="8"/>
      <c r="Z442" s="8"/>
      <c r="AA442" s="8"/>
      <c r="AB442" s="8"/>
      <c r="AC442" s="8"/>
      <c r="AD442" s="8"/>
      <c r="AE442" s="8"/>
      <c r="AF442" s="8"/>
      <c r="AG442" s="8"/>
      <c r="AH442" s="7" t="s">
        <v>57</v>
      </c>
      <c r="AI442" s="6" t="s">
        <v>71</v>
      </c>
      <c r="AJ442" s="6" t="s">
        <v>49</v>
      </c>
      <c r="AK442" s="6" t="s">
        <v>49</v>
      </c>
      <c r="AL442" s="9" t="s">
        <v>213</v>
      </c>
      <c r="AM442" s="9" t="s">
        <v>49</v>
      </c>
      <c r="AN442" s="6" t="s">
        <v>82</v>
      </c>
      <c r="AO442" s="9" t="s">
        <v>49</v>
      </c>
      <c r="AP442" s="11">
        <v>7248.8885899999996</v>
      </c>
      <c r="AQ442" s="11">
        <v>0</v>
      </c>
      <c r="AR442" s="11">
        <v>0</v>
      </c>
      <c r="AS442" s="11">
        <v>41681.266040000002</v>
      </c>
      <c r="AT442" s="11">
        <v>50825.983</v>
      </c>
      <c r="AU442" s="11">
        <v>0</v>
      </c>
      <c r="AV442" s="11">
        <v>0</v>
      </c>
    </row>
    <row r="443" spans="1:49" ht="14.5" hidden="1">
      <c r="A443" s="6">
        <v>444</v>
      </c>
      <c r="B443" s="7" t="s">
        <v>903</v>
      </c>
      <c r="C443" s="7" t="s">
        <v>81</v>
      </c>
      <c r="D443" s="6">
        <v>15382</v>
      </c>
      <c r="E443" s="6" t="s">
        <v>904</v>
      </c>
      <c r="F443" s="8"/>
      <c r="G443" s="8"/>
      <c r="H443" s="7" t="s">
        <v>49</v>
      </c>
      <c r="I443" s="7"/>
      <c r="J443" s="6" t="s">
        <v>49</v>
      </c>
      <c r="K443" s="9" t="s">
        <v>49</v>
      </c>
      <c r="L443" s="9" t="s">
        <v>49</v>
      </c>
      <c r="M443" s="8"/>
      <c r="N443" s="8"/>
      <c r="O443" s="10">
        <v>43553</v>
      </c>
      <c r="P443" s="9" t="s">
        <v>49</v>
      </c>
      <c r="Q443" s="9" t="s">
        <v>49</v>
      </c>
      <c r="R443" s="8"/>
      <c r="S443" s="8"/>
      <c r="T443" s="8"/>
      <c r="U443" s="8"/>
      <c r="V443" s="9" t="s">
        <v>49</v>
      </c>
      <c r="W443" s="9" t="s">
        <v>49</v>
      </c>
      <c r="X443" s="8"/>
      <c r="Y443" s="8"/>
      <c r="Z443" s="8"/>
      <c r="AA443" s="8"/>
      <c r="AB443" s="8"/>
      <c r="AC443" s="8"/>
      <c r="AD443" s="8"/>
      <c r="AE443" s="8"/>
      <c r="AF443" s="8"/>
      <c r="AG443" s="8"/>
      <c r="AH443" s="7" t="s">
        <v>51</v>
      </c>
      <c r="AI443" s="6" t="s">
        <v>49</v>
      </c>
      <c r="AJ443" s="6" t="s">
        <v>49</v>
      </c>
      <c r="AK443" s="6" t="s">
        <v>49</v>
      </c>
      <c r="AL443" s="9" t="s">
        <v>49</v>
      </c>
      <c r="AM443" s="9" t="s">
        <v>462</v>
      </c>
      <c r="AN443" s="6" t="s">
        <v>49</v>
      </c>
      <c r="AO443" s="9" t="s">
        <v>242</v>
      </c>
      <c r="AP443" s="11">
        <v>0</v>
      </c>
      <c r="AQ443" s="11">
        <v>-10502.09</v>
      </c>
      <c r="AR443" s="11">
        <v>-10502.083333333336</v>
      </c>
      <c r="AS443" s="11">
        <v>69.647070000000014</v>
      </c>
      <c r="AT443" s="11">
        <v>0</v>
      </c>
      <c r="AU443" s="11">
        <v>0</v>
      </c>
      <c r="AV443" s="11" t="s">
        <v>51</v>
      </c>
    </row>
    <row r="444" spans="1:49" ht="14.5" hidden="1">
      <c r="A444" s="6">
        <v>445</v>
      </c>
      <c r="B444" s="7" t="s">
        <v>905</v>
      </c>
      <c r="C444" s="7" t="s">
        <v>49</v>
      </c>
      <c r="D444" s="6">
        <v>12561</v>
      </c>
      <c r="E444" s="6" t="s">
        <v>906</v>
      </c>
      <c r="F444" s="12"/>
      <c r="G444" s="8"/>
      <c r="H444" s="7" t="s">
        <v>49</v>
      </c>
      <c r="I444" s="7"/>
      <c r="J444" s="6" t="s">
        <v>49</v>
      </c>
      <c r="K444" s="9" t="s">
        <v>49</v>
      </c>
      <c r="L444" s="9" t="s">
        <v>49</v>
      </c>
      <c r="M444" s="8"/>
      <c r="N444" s="10">
        <v>43133</v>
      </c>
      <c r="O444" s="10">
        <v>44196</v>
      </c>
      <c r="P444" s="9" t="s">
        <v>49</v>
      </c>
      <c r="Q444" s="9" t="s">
        <v>49</v>
      </c>
      <c r="R444" s="8"/>
      <c r="S444" s="8"/>
      <c r="T444" s="8"/>
      <c r="U444" s="8"/>
      <c r="V444" s="9" t="s">
        <v>49</v>
      </c>
      <c r="W444" s="9" t="s">
        <v>49</v>
      </c>
      <c r="X444" s="8"/>
      <c r="Y444" s="8"/>
      <c r="Z444" s="8"/>
      <c r="AA444" s="8"/>
      <c r="AB444" s="8"/>
      <c r="AC444" s="8"/>
      <c r="AD444" s="8"/>
      <c r="AE444" s="8"/>
      <c r="AF444" s="8"/>
      <c r="AG444" s="8"/>
      <c r="AH444" s="7" t="s">
        <v>57</v>
      </c>
      <c r="AI444" s="6" t="s">
        <v>49</v>
      </c>
      <c r="AJ444" s="6" t="s">
        <v>49</v>
      </c>
      <c r="AK444" s="6" t="s">
        <v>49</v>
      </c>
      <c r="AL444" s="9" t="s">
        <v>49</v>
      </c>
      <c r="AM444" s="9" t="s">
        <v>907</v>
      </c>
      <c r="AN444" s="6" t="s">
        <v>49</v>
      </c>
      <c r="AO444" s="9" t="s">
        <v>907</v>
      </c>
      <c r="AP444" s="11">
        <v>0</v>
      </c>
      <c r="AQ444" s="11">
        <v>0</v>
      </c>
      <c r="AR444" s="11">
        <v>0</v>
      </c>
      <c r="AS444" s="11">
        <v>0</v>
      </c>
      <c r="AT444" s="11">
        <v>3.0000000000000001E-3</v>
      </c>
      <c r="AU444" s="11">
        <v>0</v>
      </c>
      <c r="AV444" s="11" t="s">
        <v>57</v>
      </c>
    </row>
    <row r="445" spans="1:49" ht="14.5" hidden="1">
      <c r="A445" s="6">
        <v>446</v>
      </c>
      <c r="B445" s="7" t="s">
        <v>908</v>
      </c>
      <c r="C445" s="7" t="s">
        <v>49</v>
      </c>
      <c r="D445" s="6">
        <v>12561</v>
      </c>
      <c r="E445" s="6" t="s">
        <v>909</v>
      </c>
      <c r="F445" s="8"/>
      <c r="G445" s="8"/>
      <c r="H445" s="7" t="s">
        <v>49</v>
      </c>
      <c r="I445" s="7"/>
      <c r="J445" s="6" t="s">
        <v>49</v>
      </c>
      <c r="K445" s="9" t="s">
        <v>49</v>
      </c>
      <c r="L445" s="9" t="s">
        <v>49</v>
      </c>
      <c r="M445" s="12"/>
      <c r="N445" s="10">
        <v>43199</v>
      </c>
      <c r="O445" s="10">
        <v>44196</v>
      </c>
      <c r="P445" s="9" t="s">
        <v>49</v>
      </c>
      <c r="Q445" s="9" t="s">
        <v>49</v>
      </c>
      <c r="R445" s="8"/>
      <c r="S445" s="8"/>
      <c r="T445" s="8"/>
      <c r="U445" s="8"/>
      <c r="V445" s="9" t="s">
        <v>49</v>
      </c>
      <c r="W445" s="9" t="s">
        <v>49</v>
      </c>
      <c r="X445" s="8"/>
      <c r="Y445" s="8"/>
      <c r="Z445" s="8"/>
      <c r="AA445" s="8"/>
      <c r="AB445" s="8"/>
      <c r="AC445" s="8"/>
      <c r="AD445" s="8"/>
      <c r="AE445" s="8"/>
      <c r="AF445" s="8"/>
      <c r="AG445" s="8"/>
      <c r="AH445" s="7" t="s">
        <v>57</v>
      </c>
      <c r="AI445" s="6" t="s">
        <v>49</v>
      </c>
      <c r="AJ445" s="6" t="s">
        <v>49</v>
      </c>
      <c r="AK445" s="6" t="s">
        <v>49</v>
      </c>
      <c r="AL445" s="9" t="s">
        <v>49</v>
      </c>
      <c r="AM445" s="9" t="s">
        <v>181</v>
      </c>
      <c r="AN445" s="6" t="s">
        <v>49</v>
      </c>
      <c r="AO445" s="9" t="s">
        <v>181</v>
      </c>
      <c r="AP445" s="11">
        <v>0</v>
      </c>
      <c r="AQ445" s="11">
        <v>0</v>
      </c>
      <c r="AR445" s="11">
        <v>0</v>
      </c>
      <c r="AS445" s="11">
        <v>0</v>
      </c>
      <c r="AT445" s="11">
        <v>0</v>
      </c>
      <c r="AU445" s="11">
        <v>0</v>
      </c>
      <c r="AV445" s="11" t="s">
        <v>57</v>
      </c>
    </row>
    <row r="446" spans="1:49" ht="14.5" hidden="1">
      <c r="A446" s="6">
        <v>447</v>
      </c>
      <c r="B446" s="7" t="s">
        <v>910</v>
      </c>
      <c r="C446" s="7" t="s">
        <v>49</v>
      </c>
      <c r="D446" s="6">
        <v>12561</v>
      </c>
      <c r="E446" s="6" t="s">
        <v>911</v>
      </c>
      <c r="F446" s="8"/>
      <c r="G446" s="8"/>
      <c r="H446" s="7" t="s">
        <v>49</v>
      </c>
      <c r="I446" s="7"/>
      <c r="J446" s="6" t="s">
        <v>49</v>
      </c>
      <c r="K446" s="9" t="s">
        <v>49</v>
      </c>
      <c r="L446" s="9" t="s">
        <v>49</v>
      </c>
      <c r="M446" s="8"/>
      <c r="N446" s="10">
        <v>43216</v>
      </c>
      <c r="O446" s="10">
        <v>44196</v>
      </c>
      <c r="P446" s="9" t="s">
        <v>49</v>
      </c>
      <c r="Q446" s="9" t="s">
        <v>49</v>
      </c>
      <c r="R446" s="8"/>
      <c r="S446" s="8"/>
      <c r="T446" s="8"/>
      <c r="U446" s="8"/>
      <c r="V446" s="9" t="s">
        <v>49</v>
      </c>
      <c r="W446" s="9" t="s">
        <v>49</v>
      </c>
      <c r="X446" s="8"/>
      <c r="Y446" s="8"/>
      <c r="Z446" s="8"/>
      <c r="AA446" s="8"/>
      <c r="AB446" s="8"/>
      <c r="AC446" s="8"/>
      <c r="AD446" s="8"/>
      <c r="AE446" s="8"/>
      <c r="AF446" s="8"/>
      <c r="AG446" s="8"/>
      <c r="AH446" s="7" t="s">
        <v>57</v>
      </c>
      <c r="AI446" s="6" t="s">
        <v>49</v>
      </c>
      <c r="AJ446" s="6" t="s">
        <v>49</v>
      </c>
      <c r="AK446" s="6" t="s">
        <v>49</v>
      </c>
      <c r="AL446" s="9" t="s">
        <v>49</v>
      </c>
      <c r="AM446" s="9" t="s">
        <v>184</v>
      </c>
      <c r="AN446" s="6" t="s">
        <v>49</v>
      </c>
      <c r="AO446" s="9" t="s">
        <v>184</v>
      </c>
      <c r="AP446" s="11">
        <v>0</v>
      </c>
      <c r="AQ446" s="11">
        <v>0</v>
      </c>
      <c r="AR446" s="11">
        <v>0</v>
      </c>
      <c r="AS446" s="11">
        <v>0</v>
      </c>
      <c r="AT446" s="11">
        <v>0</v>
      </c>
      <c r="AU446" s="11">
        <v>0</v>
      </c>
      <c r="AV446" s="11" t="s">
        <v>57</v>
      </c>
    </row>
    <row r="447" spans="1:49" ht="14.5" hidden="1">
      <c r="A447" s="6">
        <v>448</v>
      </c>
      <c r="B447" s="7" t="s">
        <v>912</v>
      </c>
      <c r="C447" s="7" t="s">
        <v>49</v>
      </c>
      <c r="D447" s="6">
        <v>12561</v>
      </c>
      <c r="E447" s="6" t="s">
        <v>913</v>
      </c>
      <c r="F447" s="8"/>
      <c r="G447" s="8"/>
      <c r="H447" s="7" t="s">
        <v>49</v>
      </c>
      <c r="I447" s="7"/>
      <c r="J447" s="6" t="s">
        <v>49</v>
      </c>
      <c r="K447" s="9" t="s">
        <v>49</v>
      </c>
      <c r="L447" s="9" t="s">
        <v>49</v>
      </c>
      <c r="M447" s="8"/>
      <c r="N447" s="10">
        <v>43193</v>
      </c>
      <c r="O447" s="10">
        <v>44196</v>
      </c>
      <c r="P447" s="9" t="s">
        <v>49</v>
      </c>
      <c r="Q447" s="9" t="s">
        <v>49</v>
      </c>
      <c r="R447" s="8"/>
      <c r="S447" s="8"/>
      <c r="T447" s="8"/>
      <c r="U447" s="8"/>
      <c r="V447" s="9" t="s">
        <v>49</v>
      </c>
      <c r="W447" s="9" t="s">
        <v>49</v>
      </c>
      <c r="X447" s="8"/>
      <c r="Y447" s="8"/>
      <c r="Z447" s="8"/>
      <c r="AA447" s="8"/>
      <c r="AB447" s="8"/>
      <c r="AC447" s="8"/>
      <c r="AD447" s="8"/>
      <c r="AE447" s="8"/>
      <c r="AF447" s="8"/>
      <c r="AG447" s="8"/>
      <c r="AH447" s="7" t="s">
        <v>57</v>
      </c>
      <c r="AI447" s="6" t="s">
        <v>49</v>
      </c>
      <c r="AJ447" s="6" t="s">
        <v>49</v>
      </c>
      <c r="AK447" s="6" t="s">
        <v>49</v>
      </c>
      <c r="AL447" s="9" t="s">
        <v>49</v>
      </c>
      <c r="AM447" s="9" t="s">
        <v>914</v>
      </c>
      <c r="AN447" s="6" t="s">
        <v>49</v>
      </c>
      <c r="AO447" s="9" t="s">
        <v>914</v>
      </c>
      <c r="AP447" s="11">
        <v>0</v>
      </c>
      <c r="AQ447" s="11">
        <v>0</v>
      </c>
      <c r="AR447" s="11">
        <v>0</v>
      </c>
      <c r="AS447" s="11">
        <v>0</v>
      </c>
      <c r="AT447" s="11">
        <v>3.0000000000000001E-3</v>
      </c>
      <c r="AU447" s="11">
        <v>0</v>
      </c>
      <c r="AV447" s="11" t="s">
        <v>57</v>
      </c>
    </row>
    <row r="448" spans="1:49" ht="14.5" hidden="1">
      <c r="A448" s="6">
        <v>449</v>
      </c>
      <c r="B448" s="7" t="s">
        <v>915</v>
      </c>
      <c r="C448" s="7" t="s">
        <v>49</v>
      </c>
      <c r="D448" s="6">
        <v>15644</v>
      </c>
      <c r="E448" s="6" t="s">
        <v>49</v>
      </c>
      <c r="F448" s="8"/>
      <c r="G448" s="8"/>
      <c r="H448" s="7" t="s">
        <v>49</v>
      </c>
      <c r="I448" s="7"/>
      <c r="J448" s="6" t="s">
        <v>49</v>
      </c>
      <c r="K448" s="9" t="s">
        <v>49</v>
      </c>
      <c r="L448" s="9" t="s">
        <v>49</v>
      </c>
      <c r="M448" s="8"/>
      <c r="N448" s="12"/>
      <c r="O448" s="12"/>
      <c r="P448" s="9" t="s">
        <v>49</v>
      </c>
      <c r="Q448" s="9" t="s">
        <v>49</v>
      </c>
      <c r="R448" s="8"/>
      <c r="S448" s="8"/>
      <c r="T448" s="8"/>
      <c r="U448" s="8"/>
      <c r="V448" s="9" t="s">
        <v>49</v>
      </c>
      <c r="W448" s="9" t="s">
        <v>49</v>
      </c>
      <c r="X448" s="8"/>
      <c r="Y448" s="8"/>
      <c r="Z448" s="8"/>
      <c r="AA448" s="8"/>
      <c r="AB448" s="8"/>
      <c r="AC448" s="8"/>
      <c r="AD448" s="8"/>
      <c r="AE448" s="8"/>
      <c r="AF448" s="8"/>
      <c r="AG448" s="8"/>
      <c r="AH448" s="7" t="s">
        <v>79</v>
      </c>
      <c r="AI448" s="6" t="s">
        <v>110</v>
      </c>
      <c r="AJ448" s="6" t="s">
        <v>49</v>
      </c>
      <c r="AK448" s="6" t="s">
        <v>49</v>
      </c>
      <c r="AL448" s="9" t="s">
        <v>111</v>
      </c>
      <c r="AM448" s="9" t="s">
        <v>49</v>
      </c>
      <c r="AN448" s="6" t="s">
        <v>82</v>
      </c>
      <c r="AO448" s="9" t="s">
        <v>49</v>
      </c>
      <c r="AP448" s="11">
        <v>7248.8885899999996</v>
      </c>
      <c r="AQ448" s="11">
        <v>0</v>
      </c>
      <c r="AR448" s="11">
        <v>0</v>
      </c>
      <c r="AS448" s="11">
        <v>41681.266040000002</v>
      </c>
      <c r="AT448" s="11">
        <v>50825.983</v>
      </c>
      <c r="AU448" s="11">
        <v>0</v>
      </c>
      <c r="AV448" s="11">
        <v>0</v>
      </c>
    </row>
    <row r="449" spans="1:49" ht="14.5" hidden="1">
      <c r="A449" s="6">
        <v>450</v>
      </c>
      <c r="B449" s="7" t="s">
        <v>916</v>
      </c>
      <c r="C449" s="7" t="s">
        <v>569</v>
      </c>
      <c r="D449" s="6">
        <v>12490</v>
      </c>
      <c r="E449" s="6" t="s">
        <v>49</v>
      </c>
      <c r="F449" s="8"/>
      <c r="G449" s="8"/>
      <c r="H449" s="7" t="s">
        <v>49</v>
      </c>
      <c r="I449" s="7"/>
      <c r="J449" s="6" t="s">
        <v>49</v>
      </c>
      <c r="K449" s="9" t="s">
        <v>49</v>
      </c>
      <c r="L449" s="9" t="s">
        <v>49</v>
      </c>
      <c r="M449" s="12"/>
      <c r="N449" s="10">
        <v>42919</v>
      </c>
      <c r="O449" s="10">
        <v>44256</v>
      </c>
      <c r="P449" s="9" t="s">
        <v>49</v>
      </c>
      <c r="Q449" s="9" t="s">
        <v>49</v>
      </c>
      <c r="R449" s="8"/>
      <c r="S449" s="8"/>
      <c r="T449" s="8"/>
      <c r="U449" s="8"/>
      <c r="V449" s="9" t="s">
        <v>49</v>
      </c>
      <c r="W449" s="9" t="s">
        <v>49</v>
      </c>
      <c r="X449" s="8"/>
      <c r="Y449" s="8"/>
      <c r="Z449" s="12"/>
      <c r="AA449" s="8"/>
      <c r="AB449" s="12"/>
      <c r="AC449" s="8"/>
      <c r="AD449" s="12"/>
      <c r="AE449" s="12"/>
      <c r="AF449" s="8"/>
      <c r="AG449" s="12"/>
      <c r="AH449" s="7" t="s">
        <v>51</v>
      </c>
      <c r="AI449" s="6" t="s">
        <v>71</v>
      </c>
      <c r="AJ449" s="6" t="s">
        <v>49</v>
      </c>
      <c r="AK449" s="6" t="s">
        <v>118</v>
      </c>
      <c r="AL449" s="9" t="s">
        <v>119</v>
      </c>
      <c r="AM449" s="9" t="s">
        <v>49</v>
      </c>
      <c r="AN449" s="6" t="s">
        <v>96</v>
      </c>
      <c r="AO449" s="9" t="s">
        <v>49</v>
      </c>
      <c r="AP449" s="11">
        <v>7248.8885899999996</v>
      </c>
      <c r="AQ449" s="11">
        <v>0</v>
      </c>
      <c r="AR449" s="11">
        <v>0</v>
      </c>
      <c r="AS449" s="11">
        <v>41681.266040000002</v>
      </c>
      <c r="AT449" s="11">
        <v>50825.983</v>
      </c>
      <c r="AU449" s="11">
        <v>0</v>
      </c>
      <c r="AV449" s="11">
        <v>0</v>
      </c>
    </row>
    <row r="450" spans="1:49" ht="14.5" hidden="1">
      <c r="A450" s="6">
        <v>451</v>
      </c>
      <c r="B450" s="7" t="s">
        <v>916</v>
      </c>
      <c r="C450" s="7" t="s">
        <v>569</v>
      </c>
      <c r="D450" s="6">
        <v>12490</v>
      </c>
      <c r="E450" s="6" t="s">
        <v>917</v>
      </c>
      <c r="F450" s="6">
        <v>83435</v>
      </c>
      <c r="G450" s="8"/>
      <c r="H450" s="7" t="s">
        <v>49</v>
      </c>
      <c r="I450" s="7"/>
      <c r="J450" s="6" t="s">
        <v>49</v>
      </c>
      <c r="K450" s="9" t="s">
        <v>49</v>
      </c>
      <c r="L450" s="9" t="s">
        <v>49</v>
      </c>
      <c r="M450" s="8"/>
      <c r="N450" s="10">
        <v>42919</v>
      </c>
      <c r="O450" s="12"/>
      <c r="P450" s="9" t="s">
        <v>49</v>
      </c>
      <c r="Q450" s="9" t="s">
        <v>49</v>
      </c>
      <c r="R450" s="8"/>
      <c r="S450" s="8"/>
      <c r="T450" s="8"/>
      <c r="U450" s="8"/>
      <c r="V450" s="9" t="s">
        <v>49</v>
      </c>
      <c r="W450" s="9" t="s">
        <v>49</v>
      </c>
      <c r="X450" s="8"/>
      <c r="Y450" s="8"/>
      <c r="Z450" s="8"/>
      <c r="AA450" s="8"/>
      <c r="AB450" s="8"/>
      <c r="AC450" s="8"/>
      <c r="AD450" s="8"/>
      <c r="AE450" s="8"/>
      <c r="AF450" s="8"/>
      <c r="AG450" s="8"/>
      <c r="AH450" s="7" t="s">
        <v>51</v>
      </c>
      <c r="AI450" s="6" t="s">
        <v>49</v>
      </c>
      <c r="AJ450" s="6" t="s">
        <v>49</v>
      </c>
      <c r="AK450" s="6" t="s">
        <v>49</v>
      </c>
      <c r="AL450" s="9" t="s">
        <v>49</v>
      </c>
      <c r="AM450" s="9" t="s">
        <v>122</v>
      </c>
      <c r="AN450" s="6" t="s">
        <v>49</v>
      </c>
      <c r="AO450" s="9" t="s">
        <v>122</v>
      </c>
      <c r="AP450" s="11">
        <v>30.058490000000003</v>
      </c>
      <c r="AQ450" s="11">
        <v>29818.880000000001</v>
      </c>
      <c r="AR450" s="11">
        <v>29818.874583333338</v>
      </c>
      <c r="AS450" s="11">
        <v>526.40654000000006</v>
      </c>
      <c r="AT450" s="11">
        <v>30.058</v>
      </c>
      <c r="AU450" s="11">
        <v>160</v>
      </c>
      <c r="AV450" s="11" t="s">
        <v>57</v>
      </c>
      <c r="AW450" t="s">
        <v>306</v>
      </c>
    </row>
    <row r="451" spans="1:49" ht="14.5" hidden="1">
      <c r="A451" s="30"/>
      <c r="B451" s="31" t="s">
        <v>918</v>
      </c>
      <c r="C451" s="30" t="s">
        <v>292</v>
      </c>
      <c r="D451" s="30" t="s">
        <v>104</v>
      </c>
      <c r="E451" s="32" t="s">
        <v>104</v>
      </c>
      <c r="H451" s="30" t="s">
        <v>88</v>
      </c>
      <c r="I451" s="31" t="s">
        <v>217</v>
      </c>
      <c r="J451" s="30"/>
      <c r="K451" s="30"/>
      <c r="L451" s="30"/>
      <c r="N451" s="30"/>
      <c r="O451" s="30"/>
      <c r="P451" s="30"/>
      <c r="Q451" s="30"/>
      <c r="R451">
        <v>4.93</v>
      </c>
      <c r="S451">
        <v>15.8</v>
      </c>
      <c r="T451">
        <v>21.2</v>
      </c>
      <c r="V451" s="33">
        <v>0.63</v>
      </c>
      <c r="W451" s="30" t="s">
        <v>199</v>
      </c>
      <c r="AH451" s="7" t="s">
        <v>51</v>
      </c>
      <c r="AI451" s="30"/>
      <c r="AJ451" s="30"/>
      <c r="AK451" s="30"/>
      <c r="AL451" s="30"/>
      <c r="AM451" s="30"/>
      <c r="AN451" s="30"/>
      <c r="AO451" s="30"/>
      <c r="AP451">
        <v>0</v>
      </c>
      <c r="AQ451" s="11">
        <v>0</v>
      </c>
      <c r="AR451" s="11">
        <v>0</v>
      </c>
      <c r="AS451">
        <v>0</v>
      </c>
      <c r="AT451">
        <v>300</v>
      </c>
      <c r="AU451">
        <v>0</v>
      </c>
      <c r="AV451" s="11">
        <v>0</v>
      </c>
    </row>
    <row r="452" spans="1:49" ht="15.5" hidden="1">
      <c r="A452" s="30"/>
      <c r="B452" s="34" t="s">
        <v>919</v>
      </c>
      <c r="C452" s="35" t="s">
        <v>131</v>
      </c>
      <c r="D452" s="30" t="s">
        <v>104</v>
      </c>
      <c r="E452" s="32" t="s">
        <v>104</v>
      </c>
      <c r="H452" s="30"/>
      <c r="I452" s="30"/>
      <c r="J452" s="30"/>
      <c r="K452" s="30"/>
      <c r="L452" s="30"/>
      <c r="O452" s="30"/>
      <c r="P452" s="30"/>
      <c r="Q452" s="30"/>
      <c r="V452" s="30"/>
      <c r="W452" s="30"/>
      <c r="AH452" s="30"/>
      <c r="AI452" s="30"/>
      <c r="AJ452" s="30"/>
      <c r="AK452" s="30"/>
      <c r="AL452" s="30"/>
      <c r="AM452" s="30"/>
      <c r="AN452" s="30"/>
      <c r="AO452" s="30"/>
      <c r="AP452">
        <v>0</v>
      </c>
      <c r="AQ452" s="11">
        <v>0</v>
      </c>
      <c r="AR452" s="11">
        <v>0</v>
      </c>
      <c r="AS452">
        <v>0</v>
      </c>
      <c r="AT452">
        <v>500</v>
      </c>
      <c r="AV452" s="11">
        <v>0</v>
      </c>
    </row>
    <row r="453" spans="1:49" ht="14.5" hidden="1">
      <c r="A453" s="30"/>
      <c r="B453" s="36" t="s">
        <v>920</v>
      </c>
      <c r="C453" s="35" t="s">
        <v>86</v>
      </c>
      <c r="D453" s="30" t="s">
        <v>104</v>
      </c>
      <c r="E453" s="32" t="s">
        <v>104</v>
      </c>
      <c r="H453" s="30"/>
      <c r="I453" s="30"/>
      <c r="J453" s="30"/>
      <c r="K453" s="30"/>
      <c r="L453" s="30"/>
      <c r="O453" s="30"/>
      <c r="P453" s="30"/>
      <c r="Q453" s="30"/>
      <c r="V453" s="30"/>
      <c r="W453" s="30"/>
      <c r="AH453" s="30"/>
      <c r="AI453" s="30"/>
      <c r="AJ453" s="30"/>
      <c r="AK453" s="30"/>
      <c r="AL453" s="30"/>
      <c r="AM453" s="30"/>
      <c r="AN453" s="30"/>
      <c r="AO453" s="30"/>
      <c r="AP453">
        <v>0</v>
      </c>
      <c r="AQ453" s="11">
        <v>0</v>
      </c>
      <c r="AR453" s="11">
        <v>0</v>
      </c>
      <c r="AS453">
        <v>0</v>
      </c>
      <c r="AT453">
        <v>400</v>
      </c>
      <c r="AU453" s="11"/>
      <c r="AV453" s="11">
        <v>0</v>
      </c>
    </row>
    <row r="454" spans="1:49" ht="14.5" hidden="1">
      <c r="A454" s="30"/>
      <c r="B454" s="36" t="s">
        <v>921</v>
      </c>
      <c r="C454" s="35" t="s">
        <v>131</v>
      </c>
      <c r="D454" s="30" t="s">
        <v>104</v>
      </c>
      <c r="E454" s="32" t="s">
        <v>104</v>
      </c>
      <c r="H454" s="30"/>
      <c r="I454" s="30"/>
      <c r="J454" s="30"/>
      <c r="K454" s="30"/>
      <c r="L454" s="30"/>
      <c r="N454" s="30"/>
      <c r="O454" s="30"/>
      <c r="P454" s="30"/>
      <c r="Q454" s="30"/>
      <c r="V454" s="30"/>
      <c r="W454" s="30"/>
      <c r="AH454" s="30"/>
      <c r="AI454" s="30"/>
      <c r="AJ454" s="30"/>
      <c r="AK454" s="30"/>
      <c r="AL454" s="30"/>
      <c r="AM454" s="30"/>
      <c r="AN454" s="30"/>
      <c r="AO454" s="30"/>
      <c r="AP454">
        <v>0</v>
      </c>
      <c r="AQ454" s="11">
        <v>0</v>
      </c>
      <c r="AR454" s="11">
        <v>0</v>
      </c>
      <c r="AS454">
        <v>0</v>
      </c>
      <c r="AT454">
        <v>300</v>
      </c>
      <c r="AV454" s="11">
        <v>0</v>
      </c>
    </row>
    <row r="455" spans="1:49" ht="14.5" hidden="1">
      <c r="A455" s="30"/>
      <c r="B455" s="36" t="s">
        <v>922</v>
      </c>
      <c r="C455" s="35" t="s">
        <v>131</v>
      </c>
      <c r="D455" s="30" t="s">
        <v>104</v>
      </c>
      <c r="E455" s="32" t="s">
        <v>104</v>
      </c>
      <c r="H455" s="30"/>
      <c r="I455" s="30"/>
      <c r="J455" s="30"/>
      <c r="K455" s="30"/>
      <c r="L455" s="30"/>
      <c r="N455" s="30"/>
      <c r="O455" s="30"/>
      <c r="P455" s="30"/>
      <c r="Q455" s="30"/>
      <c r="V455" s="30"/>
      <c r="W455" s="30"/>
      <c r="AH455" s="30"/>
      <c r="AI455" s="30"/>
      <c r="AJ455" s="30"/>
      <c r="AK455" s="30"/>
      <c r="AL455" s="30"/>
      <c r="AM455" s="30"/>
      <c r="AN455" s="30"/>
      <c r="AO455" s="30"/>
      <c r="AP455">
        <v>0</v>
      </c>
      <c r="AQ455" s="11">
        <v>0</v>
      </c>
      <c r="AR455" s="11">
        <v>0</v>
      </c>
      <c r="AS455">
        <v>0</v>
      </c>
      <c r="AT455">
        <v>300</v>
      </c>
      <c r="AV455" s="11">
        <v>0</v>
      </c>
    </row>
    <row r="456" spans="1:49" ht="14.5" hidden="1">
      <c r="A456" s="30"/>
      <c r="B456" s="36" t="s">
        <v>923</v>
      </c>
      <c r="C456" s="35" t="s">
        <v>292</v>
      </c>
      <c r="D456" s="30" t="s">
        <v>104</v>
      </c>
      <c r="E456" s="32" t="s">
        <v>104</v>
      </c>
      <c r="H456" s="30" t="s">
        <v>88</v>
      </c>
      <c r="I456" s="31" t="s">
        <v>924</v>
      </c>
      <c r="J456" s="30"/>
      <c r="K456" s="30"/>
      <c r="L456" s="30"/>
      <c r="N456" s="30"/>
      <c r="O456" s="30"/>
      <c r="P456" s="30"/>
      <c r="Q456" s="30"/>
      <c r="R456">
        <v>1.48</v>
      </c>
      <c r="S456">
        <v>43.9</v>
      </c>
      <c r="T456">
        <v>61.9</v>
      </c>
      <c r="V456" s="33">
        <v>0.05</v>
      </c>
      <c r="W456" s="30" t="s">
        <v>199</v>
      </c>
      <c r="X456" t="s">
        <v>199</v>
      </c>
      <c r="AH456" s="30"/>
      <c r="AI456" s="30"/>
      <c r="AJ456" s="30"/>
      <c r="AK456" s="30"/>
      <c r="AL456" s="30"/>
      <c r="AM456" s="30"/>
      <c r="AN456" s="30"/>
      <c r="AO456" s="30"/>
      <c r="AP456">
        <v>0</v>
      </c>
      <c r="AQ456" s="11">
        <v>0</v>
      </c>
      <c r="AR456" s="11">
        <v>0</v>
      </c>
      <c r="AS456">
        <v>0</v>
      </c>
      <c r="AT456">
        <v>200</v>
      </c>
      <c r="AV456" s="11">
        <v>0</v>
      </c>
    </row>
    <row r="457" spans="1:49" ht="14.5" hidden="1">
      <c r="A457" s="30"/>
      <c r="B457" s="36" t="s">
        <v>925</v>
      </c>
      <c r="C457" s="30"/>
      <c r="D457" s="30"/>
      <c r="E457" s="30"/>
      <c r="H457" s="30"/>
      <c r="I457" s="30"/>
      <c r="J457" s="30"/>
      <c r="K457" s="30"/>
      <c r="L457" s="30"/>
      <c r="N457" s="30"/>
      <c r="O457" s="30"/>
      <c r="P457" s="30"/>
      <c r="Q457" s="30"/>
      <c r="V457" s="30"/>
      <c r="W457" s="30"/>
      <c r="AH457" s="30"/>
      <c r="AI457" s="30"/>
      <c r="AJ457" s="30"/>
      <c r="AK457" s="30"/>
      <c r="AL457" s="30"/>
      <c r="AM457" s="30"/>
      <c r="AN457" s="30"/>
      <c r="AO457" s="30"/>
      <c r="AQ457" s="11">
        <v>0</v>
      </c>
      <c r="AR457" s="11">
        <v>0</v>
      </c>
      <c r="AV457" s="11">
        <v>0</v>
      </c>
    </row>
    <row r="458" spans="1:49" ht="14.5" hidden="1">
      <c r="B458" s="36" t="s">
        <v>926</v>
      </c>
      <c r="C458" s="35" t="s">
        <v>569</v>
      </c>
      <c r="D458" s="37" t="s">
        <v>104</v>
      </c>
      <c r="E458" s="38" t="s">
        <v>104</v>
      </c>
      <c r="H458" t="s">
        <v>88</v>
      </c>
      <c r="I458" t="s">
        <v>147</v>
      </c>
      <c r="R458">
        <v>52.19</v>
      </c>
      <c r="S458">
        <v>232.2</v>
      </c>
      <c r="T458">
        <v>235.6</v>
      </c>
      <c r="U458">
        <v>4.5</v>
      </c>
      <c r="V458" s="39">
        <v>0.25</v>
      </c>
      <c r="W458" t="s">
        <v>108</v>
      </c>
      <c r="AR458" s="11">
        <v>0</v>
      </c>
    </row>
    <row r="459" spans="1:49" ht="14.5" hidden="1">
      <c r="B459" s="36" t="s">
        <v>927</v>
      </c>
      <c r="C459" s="35" t="s">
        <v>292</v>
      </c>
      <c r="D459" s="37" t="s">
        <v>104</v>
      </c>
      <c r="E459" s="38" t="s">
        <v>104</v>
      </c>
      <c r="AR459" s="11">
        <v>0</v>
      </c>
    </row>
    <row r="460" spans="1:49" ht="14.5" hidden="1">
      <c r="B460" s="36" t="s">
        <v>928</v>
      </c>
      <c r="C460" s="35" t="s">
        <v>292</v>
      </c>
      <c r="D460" s="37" t="s">
        <v>104</v>
      </c>
      <c r="E460" s="38" t="s">
        <v>104</v>
      </c>
      <c r="H460" t="s">
        <v>88</v>
      </c>
      <c r="I460" t="s">
        <v>924</v>
      </c>
      <c r="R460">
        <v>6.04</v>
      </c>
      <c r="S460">
        <v>30.2</v>
      </c>
      <c r="U460">
        <v>5</v>
      </c>
      <c r="V460" s="39">
        <v>0.7</v>
      </c>
      <c r="AR460" s="11">
        <v>0</v>
      </c>
    </row>
    <row r="461" spans="1:49" ht="14.5" hidden="1">
      <c r="B461" s="36" t="s">
        <v>929</v>
      </c>
      <c r="C461" s="35" t="s">
        <v>292</v>
      </c>
      <c r="D461" s="37" t="s">
        <v>104</v>
      </c>
      <c r="E461" s="38" t="s">
        <v>104</v>
      </c>
      <c r="H461" t="s">
        <v>88</v>
      </c>
      <c r="I461" t="s">
        <v>924</v>
      </c>
      <c r="R461">
        <v>26.9</v>
      </c>
      <c r="S461">
        <v>96</v>
      </c>
      <c r="U461">
        <v>5.9</v>
      </c>
      <c r="V461" s="39">
        <v>0.85</v>
      </c>
      <c r="W461" t="s">
        <v>199</v>
      </c>
      <c r="AR461" s="11">
        <v>0</v>
      </c>
    </row>
    <row r="462" spans="1:49" hidden="1">
      <c r="AR462" s="11">
        <v>0</v>
      </c>
    </row>
    <row r="465" spans="19:19">
      <c r="S465">
        <v>1776.3</v>
      </c>
    </row>
  </sheetData>
  <autoFilter ref="A1:AW462">
    <filterColumn colId="7">
      <filters blank="1">
        <filter val="Compliance"/>
        <filter val="Maintenance"/>
      </filters>
    </filterColumn>
    <filterColumn colId="29">
      <customFilters>
        <customFilter operator="notEqual" val=" "/>
      </customFilters>
    </filterColumn>
  </autoFilter>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BA462"/>
  <sheetViews>
    <sheetView zoomScale="90" zoomScaleNormal="90" workbookViewId="0">
      <selection activeCell="AX92" sqref="AX92"/>
    </sheetView>
  </sheetViews>
  <sheetFormatPr defaultColWidth="9.08984375" defaultRowHeight="12.5"/>
  <cols>
    <col min="1" max="1" width="7.08984375" style="45" customWidth="1"/>
    <col min="2" max="2" width="54.453125" style="45" bestFit="1" customWidth="1"/>
    <col min="3" max="3" width="20.453125" style="45" bestFit="1" customWidth="1"/>
    <col min="4" max="4" width="14.08984375" hidden="1" customWidth="1"/>
    <col min="5" max="5" width="9.453125" hidden="1" customWidth="1"/>
    <col min="6" max="6" width="13.08984375" hidden="1" customWidth="1"/>
    <col min="7" max="7" width="5" hidden="1" customWidth="1"/>
    <col min="8" max="8" width="14.453125" style="45" bestFit="1" customWidth="1"/>
    <col min="9" max="9" width="21.08984375" style="45" customWidth="1"/>
    <col min="10" max="10" width="16.90625" style="45" bestFit="1" customWidth="1"/>
    <col min="11" max="11" width="13.54296875" style="45" bestFit="1" customWidth="1"/>
    <col min="12" max="12" width="17.90625" hidden="1" customWidth="1"/>
    <col min="13" max="13" width="17.453125" hidden="1" customWidth="1"/>
    <col min="14" max="14" width="16.453125" hidden="1" customWidth="1"/>
    <col min="15" max="15" width="27" hidden="1" customWidth="1"/>
    <col min="16" max="16" width="49.08984375" hidden="1" customWidth="1"/>
    <col min="17" max="17" width="58.08984375" hidden="1" customWidth="1"/>
    <col min="18" max="18" width="10.453125" style="45" bestFit="1" customWidth="1"/>
    <col min="19" max="19" width="10.54296875" style="45" bestFit="1" customWidth="1"/>
    <col min="20" max="20" width="13.54296875" hidden="1" customWidth="1"/>
    <col min="21" max="21" width="18.54296875" style="45" bestFit="1" customWidth="1"/>
    <col min="22" max="22" width="8.90625" style="45" bestFit="1" customWidth="1"/>
    <col min="23" max="23" width="7.453125" hidden="1" customWidth="1"/>
    <col min="24" max="25" width="25.90625" hidden="1" customWidth="1"/>
    <col min="26" max="27" width="23.453125" hidden="1" customWidth="1"/>
    <col min="28" max="28" width="22.54296875" hidden="1" customWidth="1"/>
    <col min="29" max="29" width="23.54296875" hidden="1" customWidth="1"/>
    <col min="30" max="30" width="21.54296875" hidden="1" customWidth="1"/>
    <col min="31" max="32" width="32" hidden="1" customWidth="1"/>
    <col min="33" max="33" width="27.54296875" hidden="1" customWidth="1"/>
    <col min="34" max="34" width="19.90625" hidden="1" customWidth="1"/>
    <col min="35" max="35" width="44.453125" hidden="1" customWidth="1"/>
    <col min="36" max="36" width="16.54296875" hidden="1" customWidth="1"/>
    <col min="37" max="37" width="30.54296875" hidden="1" customWidth="1"/>
    <col min="38" max="38" width="29" hidden="1" customWidth="1"/>
    <col min="39" max="39" width="30.453125" hidden="1" customWidth="1"/>
    <col min="40" max="40" width="16" hidden="1" customWidth="1"/>
    <col min="41" max="41" width="29" hidden="1" customWidth="1"/>
    <col min="42" max="42" width="12.90625" hidden="1" customWidth="1"/>
    <col min="43" max="44" width="13" hidden="1" customWidth="1"/>
    <col min="45" max="46" width="14" hidden="1" customWidth="1"/>
    <col min="47" max="47" width="0" hidden="1" customWidth="1"/>
    <col min="48" max="48" width="17.54296875" hidden="1" customWidth="1"/>
    <col min="49" max="49" width="0" hidden="1" customWidth="1"/>
    <col min="50" max="16384" width="9.08984375" style="45"/>
  </cols>
  <sheetData>
    <row r="1" spans="1:50" ht="14.5">
      <c r="A1" s="40" t="s">
        <v>0</v>
      </c>
      <c r="B1" s="40" t="s">
        <v>1</v>
      </c>
      <c r="C1" s="40" t="s">
        <v>2</v>
      </c>
      <c r="D1" s="3" t="s">
        <v>3</v>
      </c>
      <c r="E1" s="3" t="s">
        <v>4</v>
      </c>
      <c r="F1" s="3" t="s">
        <v>5</v>
      </c>
      <c r="G1" s="3" t="s">
        <v>6</v>
      </c>
      <c r="H1" s="40" t="s">
        <v>7</v>
      </c>
      <c r="I1" s="40" t="s">
        <v>8</v>
      </c>
      <c r="J1" s="40" t="s">
        <v>9</v>
      </c>
      <c r="K1" s="40" t="s">
        <v>10</v>
      </c>
      <c r="L1" s="3" t="s">
        <v>11</v>
      </c>
      <c r="M1" s="3" t="s">
        <v>12</v>
      </c>
      <c r="N1" s="3" t="s">
        <v>13</v>
      </c>
      <c r="O1" s="3" t="s">
        <v>14</v>
      </c>
      <c r="P1" s="3" t="s">
        <v>15</v>
      </c>
      <c r="Q1" s="3" t="s">
        <v>16</v>
      </c>
      <c r="R1" s="41" t="s">
        <v>17</v>
      </c>
      <c r="S1" s="42" t="s">
        <v>18</v>
      </c>
      <c r="T1" s="3" t="s">
        <v>19</v>
      </c>
      <c r="U1" s="43" t="s">
        <v>20</v>
      </c>
      <c r="V1" s="44"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4" t="s">
        <v>41</v>
      </c>
      <c r="AQ1" s="4" t="s">
        <v>42</v>
      </c>
      <c r="AR1" s="4" t="s">
        <v>43</v>
      </c>
      <c r="AS1" s="4" t="s">
        <v>44</v>
      </c>
      <c r="AT1" s="4" t="s">
        <v>45</v>
      </c>
      <c r="AU1" s="4" t="s">
        <v>46</v>
      </c>
      <c r="AV1" s="5" t="s">
        <v>47</v>
      </c>
      <c r="AX1" s="62" t="s">
        <v>930</v>
      </c>
    </row>
    <row r="2" spans="1:50" customFormat="1" ht="14.5" hidden="1">
      <c r="A2" s="6">
        <v>1</v>
      </c>
      <c r="B2" s="7" t="s">
        <v>48</v>
      </c>
      <c r="C2" s="7" t="s">
        <v>49</v>
      </c>
      <c r="D2" s="6">
        <v>15583</v>
      </c>
      <c r="E2" s="6" t="s">
        <v>50</v>
      </c>
      <c r="F2" s="8"/>
      <c r="G2" s="8"/>
      <c r="H2" s="7" t="s">
        <v>49</v>
      </c>
      <c r="I2" s="7"/>
      <c r="J2" s="6" t="s">
        <v>49</v>
      </c>
      <c r="K2" s="9" t="s">
        <v>49</v>
      </c>
      <c r="L2" s="9" t="s">
        <v>49</v>
      </c>
      <c r="M2" s="8"/>
      <c r="N2" s="10">
        <v>43825</v>
      </c>
      <c r="O2" s="10">
        <v>45229</v>
      </c>
      <c r="P2" s="9" t="s">
        <v>49</v>
      </c>
      <c r="Q2" s="9" t="s">
        <v>49</v>
      </c>
      <c r="R2" s="8"/>
      <c r="S2" s="8"/>
      <c r="T2" s="8"/>
      <c r="U2" s="8"/>
      <c r="V2" s="9" t="s">
        <v>49</v>
      </c>
      <c r="W2" s="9" t="s">
        <v>49</v>
      </c>
      <c r="X2" s="8"/>
      <c r="Y2" s="8"/>
      <c r="Z2" s="8"/>
      <c r="AA2" s="8"/>
      <c r="AB2" s="8"/>
      <c r="AC2" s="8"/>
      <c r="AD2" s="8"/>
      <c r="AE2" s="8"/>
      <c r="AF2" s="8"/>
      <c r="AG2" s="8"/>
      <c r="AH2" s="7" t="s">
        <v>51</v>
      </c>
      <c r="AI2" s="6" t="s">
        <v>49</v>
      </c>
      <c r="AJ2" s="6" t="s">
        <v>49</v>
      </c>
      <c r="AK2" s="6" t="s">
        <v>49</v>
      </c>
      <c r="AL2" s="9" t="s">
        <v>49</v>
      </c>
      <c r="AM2" s="9" t="s">
        <v>52</v>
      </c>
      <c r="AN2" s="6" t="s">
        <v>49</v>
      </c>
      <c r="AO2" s="9" t="s">
        <v>52</v>
      </c>
      <c r="AP2" s="11">
        <v>0</v>
      </c>
      <c r="AQ2" s="11">
        <v>0</v>
      </c>
      <c r="AR2" s="11">
        <v>0</v>
      </c>
      <c r="AS2" s="11">
        <v>0</v>
      </c>
      <c r="AT2" s="11">
        <v>0</v>
      </c>
      <c r="AU2" s="11">
        <v>0</v>
      </c>
      <c r="AV2" s="11" t="s">
        <v>51</v>
      </c>
    </row>
    <row r="3" spans="1:50" customFormat="1" ht="14.5" hidden="1">
      <c r="A3" s="6">
        <v>2</v>
      </c>
      <c r="B3" s="7" t="s">
        <v>53</v>
      </c>
      <c r="C3" s="7" t="s">
        <v>49</v>
      </c>
      <c r="D3" s="6">
        <v>15583</v>
      </c>
      <c r="E3" s="6" t="s">
        <v>54</v>
      </c>
      <c r="F3" s="8"/>
      <c r="G3" s="8"/>
      <c r="H3" s="7" t="s">
        <v>49</v>
      </c>
      <c r="I3" s="7"/>
      <c r="J3" s="6" t="s">
        <v>49</v>
      </c>
      <c r="K3" s="9" t="s">
        <v>49</v>
      </c>
      <c r="L3" s="9" t="s">
        <v>49</v>
      </c>
      <c r="M3" s="8"/>
      <c r="N3" s="10">
        <v>43789</v>
      </c>
      <c r="O3" s="10">
        <v>45229</v>
      </c>
      <c r="P3" s="9" t="s">
        <v>49</v>
      </c>
      <c r="Q3" s="9" t="s">
        <v>49</v>
      </c>
      <c r="R3" s="8"/>
      <c r="S3" s="8"/>
      <c r="T3" s="8"/>
      <c r="U3" s="8"/>
      <c r="V3" s="9" t="s">
        <v>49</v>
      </c>
      <c r="W3" s="9" t="s">
        <v>49</v>
      </c>
      <c r="X3" s="8"/>
      <c r="Y3" s="8"/>
      <c r="Z3" s="8"/>
      <c r="AA3" s="8"/>
      <c r="AB3" s="8"/>
      <c r="AC3" s="8"/>
      <c r="AD3" s="8"/>
      <c r="AE3" s="8"/>
      <c r="AF3" s="8"/>
      <c r="AG3" s="8"/>
      <c r="AH3" s="7" t="s">
        <v>51</v>
      </c>
      <c r="AI3" s="6" t="s">
        <v>49</v>
      </c>
      <c r="AJ3" s="6" t="s">
        <v>49</v>
      </c>
      <c r="AK3" s="6" t="s">
        <v>49</v>
      </c>
      <c r="AL3" s="9" t="s">
        <v>49</v>
      </c>
      <c r="AM3" s="9" t="s">
        <v>52</v>
      </c>
      <c r="AN3" s="6" t="s">
        <v>49</v>
      </c>
      <c r="AO3" s="9" t="s">
        <v>52</v>
      </c>
      <c r="AP3" s="11">
        <v>0</v>
      </c>
      <c r="AQ3" s="11">
        <v>0</v>
      </c>
      <c r="AR3" s="11">
        <v>0</v>
      </c>
      <c r="AS3" s="11">
        <v>0</v>
      </c>
      <c r="AT3" s="11">
        <v>0</v>
      </c>
      <c r="AU3" s="11">
        <v>0</v>
      </c>
      <c r="AV3" s="11" t="s">
        <v>51</v>
      </c>
    </row>
    <row r="4" spans="1:50" customFormat="1" ht="14.5" hidden="1">
      <c r="A4" s="6">
        <v>3</v>
      </c>
      <c r="B4" s="7" t="s">
        <v>55</v>
      </c>
      <c r="C4" s="7" t="s">
        <v>49</v>
      </c>
      <c r="D4" s="6">
        <v>15377</v>
      </c>
      <c r="E4" s="6" t="s">
        <v>56</v>
      </c>
      <c r="F4" s="12"/>
      <c r="G4" s="8"/>
      <c r="H4" s="7" t="s">
        <v>49</v>
      </c>
      <c r="I4" s="7"/>
      <c r="J4" s="6" t="s">
        <v>49</v>
      </c>
      <c r="K4" s="9" t="s">
        <v>49</v>
      </c>
      <c r="L4" s="9" t="s">
        <v>49</v>
      </c>
      <c r="M4" s="12"/>
      <c r="N4" s="10">
        <v>43467</v>
      </c>
      <c r="O4" s="10">
        <v>43830</v>
      </c>
      <c r="P4" s="9" t="s">
        <v>49</v>
      </c>
      <c r="Q4" s="9" t="s">
        <v>49</v>
      </c>
      <c r="R4" s="12"/>
      <c r="S4" s="12"/>
      <c r="T4" s="12"/>
      <c r="U4" s="12"/>
      <c r="V4" s="9" t="s">
        <v>49</v>
      </c>
      <c r="W4" s="9" t="s">
        <v>49</v>
      </c>
      <c r="X4" s="8"/>
      <c r="Y4" s="8"/>
      <c r="Z4" s="12"/>
      <c r="AA4" s="8"/>
      <c r="AB4" s="12"/>
      <c r="AC4" s="8"/>
      <c r="AD4" s="12"/>
      <c r="AE4" s="12"/>
      <c r="AF4" s="8"/>
      <c r="AG4" s="12"/>
      <c r="AH4" s="7" t="s">
        <v>57</v>
      </c>
      <c r="AI4" s="6" t="s">
        <v>49</v>
      </c>
      <c r="AJ4" s="6" t="s">
        <v>49</v>
      </c>
      <c r="AK4" s="6" t="s">
        <v>49</v>
      </c>
      <c r="AL4" s="9" t="s">
        <v>49</v>
      </c>
      <c r="AM4" s="9" t="s">
        <v>58</v>
      </c>
      <c r="AN4" s="6" t="s">
        <v>49</v>
      </c>
      <c r="AO4" s="9" t="s">
        <v>58</v>
      </c>
      <c r="AP4" s="11">
        <v>0</v>
      </c>
      <c r="AQ4" s="11">
        <v>0</v>
      </c>
      <c r="AR4" s="11">
        <v>0</v>
      </c>
      <c r="AS4" s="11">
        <v>0</v>
      </c>
      <c r="AT4" s="11">
        <v>0</v>
      </c>
      <c r="AU4" s="11">
        <v>0</v>
      </c>
      <c r="AV4" s="11" t="s">
        <v>57</v>
      </c>
    </row>
    <row r="5" spans="1:50" customFormat="1" ht="14.5" hidden="1">
      <c r="A5" s="6">
        <v>4</v>
      </c>
      <c r="B5" s="7" t="s">
        <v>59</v>
      </c>
      <c r="C5" s="7" t="s">
        <v>49</v>
      </c>
      <c r="D5" s="6">
        <v>15583</v>
      </c>
      <c r="E5" s="6" t="s">
        <v>60</v>
      </c>
      <c r="F5" s="8"/>
      <c r="G5" s="8"/>
      <c r="H5" s="7" t="s">
        <v>49</v>
      </c>
      <c r="I5" s="7"/>
      <c r="J5" s="6" t="s">
        <v>49</v>
      </c>
      <c r="K5" s="9" t="s">
        <v>49</v>
      </c>
      <c r="L5" s="9" t="s">
        <v>49</v>
      </c>
      <c r="M5" s="12"/>
      <c r="N5" s="8"/>
      <c r="O5" s="10">
        <v>45229</v>
      </c>
      <c r="P5" s="9" t="s">
        <v>49</v>
      </c>
      <c r="Q5" s="9" t="s">
        <v>49</v>
      </c>
      <c r="R5" s="8"/>
      <c r="S5" s="8"/>
      <c r="T5" s="8"/>
      <c r="U5" s="8"/>
      <c r="V5" s="9" t="s">
        <v>49</v>
      </c>
      <c r="W5" s="9" t="s">
        <v>49</v>
      </c>
      <c r="X5" s="8"/>
      <c r="Y5" s="8"/>
      <c r="Z5" s="8"/>
      <c r="AA5" s="8"/>
      <c r="AB5" s="8"/>
      <c r="AC5" s="8"/>
      <c r="AD5" s="8"/>
      <c r="AE5" s="8"/>
      <c r="AF5" s="8"/>
      <c r="AG5" s="8"/>
      <c r="AH5" s="7" t="s">
        <v>51</v>
      </c>
      <c r="AI5" s="6" t="s">
        <v>49</v>
      </c>
      <c r="AJ5" s="6" t="s">
        <v>49</v>
      </c>
      <c r="AK5" s="6" t="s">
        <v>49</v>
      </c>
      <c r="AL5" s="9" t="s">
        <v>49</v>
      </c>
      <c r="AM5" s="9" t="s">
        <v>52</v>
      </c>
      <c r="AN5" s="6" t="s">
        <v>49</v>
      </c>
      <c r="AO5" s="9" t="s">
        <v>52</v>
      </c>
      <c r="AP5" s="11">
        <v>0</v>
      </c>
      <c r="AQ5" s="11">
        <v>0</v>
      </c>
      <c r="AR5" s="11">
        <v>0</v>
      </c>
      <c r="AS5" s="11">
        <v>0</v>
      </c>
      <c r="AT5" s="11">
        <v>0</v>
      </c>
      <c r="AU5" s="11">
        <v>0</v>
      </c>
      <c r="AV5" s="11" t="s">
        <v>51</v>
      </c>
    </row>
    <row r="6" spans="1:50" customFormat="1" ht="14.5" hidden="1">
      <c r="A6" s="6">
        <v>5</v>
      </c>
      <c r="B6" s="7" t="s">
        <v>61</v>
      </c>
      <c r="C6" s="7" t="s">
        <v>49</v>
      </c>
      <c r="D6" s="6">
        <v>15583</v>
      </c>
      <c r="E6" s="6" t="s">
        <v>62</v>
      </c>
      <c r="F6" s="8"/>
      <c r="G6" s="8"/>
      <c r="H6" s="7" t="s">
        <v>49</v>
      </c>
      <c r="I6" s="7"/>
      <c r="J6" s="6" t="s">
        <v>49</v>
      </c>
      <c r="K6" s="9" t="s">
        <v>49</v>
      </c>
      <c r="L6" s="9" t="s">
        <v>49</v>
      </c>
      <c r="M6" s="8"/>
      <c r="N6" s="12"/>
      <c r="O6" s="10">
        <v>45229</v>
      </c>
      <c r="P6" s="9" t="s">
        <v>49</v>
      </c>
      <c r="Q6" s="9" t="s">
        <v>49</v>
      </c>
      <c r="R6" s="8"/>
      <c r="S6" s="8"/>
      <c r="T6" s="8"/>
      <c r="U6" s="8"/>
      <c r="V6" s="9" t="s">
        <v>49</v>
      </c>
      <c r="W6" s="9" t="s">
        <v>49</v>
      </c>
      <c r="X6" s="8"/>
      <c r="Y6" s="8"/>
      <c r="Z6" s="8"/>
      <c r="AA6" s="8"/>
      <c r="AB6" s="8"/>
      <c r="AC6" s="8"/>
      <c r="AD6" s="8"/>
      <c r="AE6" s="8"/>
      <c r="AF6" s="8"/>
      <c r="AG6" s="8"/>
      <c r="AH6" s="7" t="s">
        <v>51</v>
      </c>
      <c r="AI6" s="6" t="s">
        <v>49</v>
      </c>
      <c r="AJ6" s="6" t="s">
        <v>49</v>
      </c>
      <c r="AK6" s="6" t="s">
        <v>49</v>
      </c>
      <c r="AL6" s="9" t="s">
        <v>49</v>
      </c>
      <c r="AM6" s="9" t="s">
        <v>52</v>
      </c>
      <c r="AN6" s="6" t="s">
        <v>49</v>
      </c>
      <c r="AO6" s="9" t="s">
        <v>52</v>
      </c>
      <c r="AP6" s="11">
        <v>0</v>
      </c>
      <c r="AQ6" s="11">
        <v>0</v>
      </c>
      <c r="AR6" s="11">
        <v>0</v>
      </c>
      <c r="AS6" s="11">
        <v>0</v>
      </c>
      <c r="AT6" s="11">
        <v>0</v>
      </c>
      <c r="AU6" s="11">
        <v>0</v>
      </c>
      <c r="AV6" s="11" t="s">
        <v>51</v>
      </c>
    </row>
    <row r="7" spans="1:50" customFormat="1" ht="14.5" hidden="1">
      <c r="A7" s="6">
        <v>6</v>
      </c>
      <c r="B7" s="7" t="s">
        <v>63</v>
      </c>
      <c r="C7" s="7" t="s">
        <v>49</v>
      </c>
      <c r="D7" s="6">
        <v>15583</v>
      </c>
      <c r="E7" s="6" t="s">
        <v>64</v>
      </c>
      <c r="F7" s="8"/>
      <c r="G7" s="8"/>
      <c r="H7" s="7" t="s">
        <v>49</v>
      </c>
      <c r="I7" s="7"/>
      <c r="J7" s="6" t="s">
        <v>49</v>
      </c>
      <c r="K7" s="9" t="s">
        <v>49</v>
      </c>
      <c r="L7" s="9" t="s">
        <v>49</v>
      </c>
      <c r="M7" s="8"/>
      <c r="N7" s="12"/>
      <c r="O7" s="10">
        <v>45229</v>
      </c>
      <c r="P7" s="9" t="s">
        <v>49</v>
      </c>
      <c r="Q7" s="9" t="s">
        <v>49</v>
      </c>
      <c r="R7" s="8"/>
      <c r="S7" s="8"/>
      <c r="T7" s="8"/>
      <c r="U7" s="8"/>
      <c r="V7" s="9" t="s">
        <v>49</v>
      </c>
      <c r="W7" s="9" t="s">
        <v>49</v>
      </c>
      <c r="X7" s="8"/>
      <c r="Y7" s="8"/>
      <c r="Z7" s="8"/>
      <c r="AA7" s="8"/>
      <c r="AB7" s="8"/>
      <c r="AC7" s="8"/>
      <c r="AD7" s="8"/>
      <c r="AE7" s="8"/>
      <c r="AF7" s="8"/>
      <c r="AG7" s="8"/>
      <c r="AH7" s="7" t="s">
        <v>51</v>
      </c>
      <c r="AI7" s="6" t="s">
        <v>49</v>
      </c>
      <c r="AJ7" s="6" t="s">
        <v>49</v>
      </c>
      <c r="AK7" s="6" t="s">
        <v>49</v>
      </c>
      <c r="AL7" s="9" t="s">
        <v>49</v>
      </c>
      <c r="AM7" s="9" t="s">
        <v>52</v>
      </c>
      <c r="AN7" s="6" t="s">
        <v>49</v>
      </c>
      <c r="AO7" s="9" t="s">
        <v>52</v>
      </c>
      <c r="AP7" s="11">
        <v>0</v>
      </c>
      <c r="AQ7" s="11">
        <v>0</v>
      </c>
      <c r="AR7" s="11">
        <v>0</v>
      </c>
      <c r="AS7" s="11">
        <v>0</v>
      </c>
      <c r="AT7" s="11">
        <v>0</v>
      </c>
      <c r="AU7" s="11">
        <v>0</v>
      </c>
      <c r="AV7" s="11" t="s">
        <v>51</v>
      </c>
    </row>
    <row r="8" spans="1:50" customFormat="1" ht="14.5" hidden="1">
      <c r="A8" s="6">
        <v>7</v>
      </c>
      <c r="B8" s="7" t="s">
        <v>65</v>
      </c>
      <c r="C8" s="7" t="s">
        <v>49</v>
      </c>
      <c r="D8" s="6">
        <v>15481</v>
      </c>
      <c r="E8" s="6" t="s">
        <v>66</v>
      </c>
      <c r="F8" s="8"/>
      <c r="G8" s="8"/>
      <c r="H8" s="7" t="s">
        <v>49</v>
      </c>
      <c r="I8" s="7"/>
      <c r="J8" s="6" t="s">
        <v>49</v>
      </c>
      <c r="K8" s="9" t="s">
        <v>49</v>
      </c>
      <c r="L8" s="9" t="s">
        <v>49</v>
      </c>
      <c r="M8" s="8"/>
      <c r="N8" s="10">
        <v>43440</v>
      </c>
      <c r="O8" s="10">
        <v>44925</v>
      </c>
      <c r="P8" s="9" t="s">
        <v>49</v>
      </c>
      <c r="Q8" s="9" t="s">
        <v>49</v>
      </c>
      <c r="R8" s="8"/>
      <c r="S8" s="8"/>
      <c r="T8" s="8"/>
      <c r="U8" s="8"/>
      <c r="V8" s="9" t="s">
        <v>49</v>
      </c>
      <c r="W8" s="9" t="s">
        <v>49</v>
      </c>
      <c r="X8" s="8"/>
      <c r="Y8" s="8"/>
      <c r="Z8" s="8"/>
      <c r="AA8" s="8"/>
      <c r="AB8" s="8"/>
      <c r="AC8" s="8"/>
      <c r="AD8" s="8"/>
      <c r="AE8" s="8"/>
      <c r="AF8" s="8"/>
      <c r="AG8" s="8"/>
      <c r="AH8" s="7" t="s">
        <v>57</v>
      </c>
      <c r="AI8" s="6" t="s">
        <v>49</v>
      </c>
      <c r="AJ8" s="6" t="s">
        <v>49</v>
      </c>
      <c r="AK8" s="6" t="s">
        <v>49</v>
      </c>
      <c r="AL8" s="9" t="s">
        <v>49</v>
      </c>
      <c r="AM8" s="9" t="s">
        <v>67</v>
      </c>
      <c r="AN8" s="6" t="s">
        <v>49</v>
      </c>
      <c r="AO8" s="9" t="s">
        <v>67</v>
      </c>
      <c r="AP8" s="11">
        <v>0</v>
      </c>
      <c r="AQ8" s="11">
        <v>0</v>
      </c>
      <c r="AR8" s="11">
        <v>0</v>
      </c>
      <c r="AS8" s="11">
        <v>0</v>
      </c>
      <c r="AT8" s="11">
        <v>0</v>
      </c>
      <c r="AU8" s="11">
        <v>0</v>
      </c>
      <c r="AV8" s="11" t="s">
        <v>57</v>
      </c>
    </row>
    <row r="9" spans="1:50" customFormat="1" ht="14.5" hidden="1">
      <c r="A9" s="6">
        <v>8</v>
      </c>
      <c r="B9" s="7" t="s">
        <v>68</v>
      </c>
      <c r="C9" s="7" t="s">
        <v>69</v>
      </c>
      <c r="D9" s="6">
        <v>15648</v>
      </c>
      <c r="E9" s="6" t="s">
        <v>49</v>
      </c>
      <c r="F9" s="8"/>
      <c r="G9" s="8"/>
      <c r="H9" s="7" t="s">
        <v>70</v>
      </c>
      <c r="I9" s="7"/>
      <c r="J9" s="6" t="s">
        <v>49</v>
      </c>
      <c r="K9" s="9" t="s">
        <v>49</v>
      </c>
      <c r="L9" s="9" t="s">
        <v>49</v>
      </c>
      <c r="M9" s="8"/>
      <c r="N9" s="10">
        <v>43760</v>
      </c>
      <c r="O9" s="10">
        <v>44196</v>
      </c>
      <c r="P9" s="9" t="s">
        <v>49</v>
      </c>
      <c r="Q9" s="9" t="s">
        <v>49</v>
      </c>
      <c r="R9" s="8"/>
      <c r="S9" s="8"/>
      <c r="T9" s="8"/>
      <c r="U9" s="8"/>
      <c r="V9" s="9" t="s">
        <v>49</v>
      </c>
      <c r="W9" s="9" t="s">
        <v>49</v>
      </c>
      <c r="X9" s="8"/>
      <c r="Y9" s="8"/>
      <c r="Z9" s="8"/>
      <c r="AA9" s="12"/>
      <c r="AB9" s="12"/>
      <c r="AC9" s="8"/>
      <c r="AD9" s="12"/>
      <c r="AE9" s="8"/>
      <c r="AF9" s="12"/>
      <c r="AG9" s="12"/>
      <c r="AH9" s="7" t="s">
        <v>57</v>
      </c>
      <c r="AI9" s="6" t="s">
        <v>71</v>
      </c>
      <c r="AJ9" s="6" t="s">
        <v>49</v>
      </c>
      <c r="AK9" s="6" t="s">
        <v>49</v>
      </c>
      <c r="AL9" s="9" t="s">
        <v>72</v>
      </c>
      <c r="AM9" s="9" t="s">
        <v>49</v>
      </c>
      <c r="AN9" s="6" t="s">
        <v>73</v>
      </c>
      <c r="AO9" s="9" t="s">
        <v>49</v>
      </c>
      <c r="AP9" s="11">
        <v>7248.8885899999996</v>
      </c>
      <c r="AQ9" s="11">
        <v>0</v>
      </c>
      <c r="AR9" s="11">
        <v>0</v>
      </c>
      <c r="AS9" s="11">
        <v>41681.266040000002</v>
      </c>
      <c r="AT9" s="11">
        <v>0</v>
      </c>
      <c r="AU9" s="11"/>
      <c r="AV9" s="11">
        <v>0</v>
      </c>
    </row>
    <row r="10" spans="1:50" customFormat="1" ht="14.5" hidden="1">
      <c r="A10" s="6">
        <v>9</v>
      </c>
      <c r="B10" s="7" t="s">
        <v>68</v>
      </c>
      <c r="C10" s="7" t="s">
        <v>69</v>
      </c>
      <c r="D10" s="6">
        <v>15648</v>
      </c>
      <c r="E10" s="6" t="s">
        <v>74</v>
      </c>
      <c r="F10" s="8"/>
      <c r="G10" s="8"/>
      <c r="H10" s="7" t="s">
        <v>70</v>
      </c>
      <c r="I10" s="7"/>
      <c r="J10" s="6" t="s">
        <v>75</v>
      </c>
      <c r="K10" s="9" t="s">
        <v>76</v>
      </c>
      <c r="L10" s="9" t="s">
        <v>73</v>
      </c>
      <c r="M10" s="13">
        <v>548</v>
      </c>
      <c r="N10" s="10">
        <v>43760</v>
      </c>
      <c r="O10" s="10">
        <v>44196</v>
      </c>
      <c r="P10" s="9" t="s">
        <v>77</v>
      </c>
      <c r="Q10" s="9" t="s">
        <v>49</v>
      </c>
      <c r="R10" s="8"/>
      <c r="S10" s="8"/>
      <c r="T10" s="8"/>
      <c r="U10" s="8"/>
      <c r="V10" s="9" t="s">
        <v>49</v>
      </c>
      <c r="W10" s="9" t="s">
        <v>49</v>
      </c>
      <c r="X10" s="8"/>
      <c r="Y10" s="8"/>
      <c r="Z10" s="6">
        <v>0.46800000000000003</v>
      </c>
      <c r="AA10" s="8"/>
      <c r="AB10" s="6">
        <v>0.46800000000000003</v>
      </c>
      <c r="AC10" s="8"/>
      <c r="AD10" s="6">
        <v>0.46800000000000003</v>
      </c>
      <c r="AE10" s="6">
        <v>0.374</v>
      </c>
      <c r="AF10" s="8"/>
      <c r="AG10" s="6">
        <v>0.374</v>
      </c>
      <c r="AH10" s="7" t="s">
        <v>57</v>
      </c>
      <c r="AI10" s="6" t="s">
        <v>49</v>
      </c>
      <c r="AJ10" s="6" t="s">
        <v>49</v>
      </c>
      <c r="AK10" s="6" t="s">
        <v>49</v>
      </c>
      <c r="AL10" s="9" t="s">
        <v>49</v>
      </c>
      <c r="AM10" s="9" t="s">
        <v>72</v>
      </c>
      <c r="AN10" s="6" t="s">
        <v>73</v>
      </c>
      <c r="AO10" s="9" t="s">
        <v>72</v>
      </c>
      <c r="AP10" s="11">
        <v>27.3247</v>
      </c>
      <c r="AQ10" s="11">
        <v>48856.12</v>
      </c>
      <c r="AR10" s="11">
        <v>48856.124166666668</v>
      </c>
      <c r="AS10" s="11">
        <v>27.3247</v>
      </c>
      <c r="AT10" s="11">
        <v>459.85611999999998</v>
      </c>
      <c r="AU10" s="11">
        <v>0</v>
      </c>
      <c r="AV10" s="11" t="s">
        <v>57</v>
      </c>
    </row>
    <row r="11" spans="1:50" customFormat="1" ht="14.5" hidden="1">
      <c r="A11" s="6">
        <v>10</v>
      </c>
      <c r="B11" s="7" t="s">
        <v>78</v>
      </c>
      <c r="C11" s="7" t="s">
        <v>49</v>
      </c>
      <c r="D11" s="12"/>
      <c r="E11" s="6" t="s">
        <v>49</v>
      </c>
      <c r="F11" s="8"/>
      <c r="G11" s="8"/>
      <c r="H11" s="7" t="s">
        <v>49</v>
      </c>
      <c r="I11" s="7"/>
      <c r="J11" s="6" t="s">
        <v>49</v>
      </c>
      <c r="K11" s="9" t="s">
        <v>49</v>
      </c>
      <c r="L11" s="9" t="s">
        <v>49</v>
      </c>
      <c r="M11" s="8"/>
      <c r="N11" s="8"/>
      <c r="O11" s="8"/>
      <c r="P11" s="9" t="s">
        <v>49</v>
      </c>
      <c r="Q11" s="9" t="s">
        <v>49</v>
      </c>
      <c r="R11" s="8"/>
      <c r="S11" s="8"/>
      <c r="T11" s="8"/>
      <c r="U11" s="8"/>
      <c r="V11" s="9" t="s">
        <v>49</v>
      </c>
      <c r="W11" s="9" t="s">
        <v>49</v>
      </c>
      <c r="X11" s="8"/>
      <c r="Y11" s="8"/>
      <c r="Z11" s="8"/>
      <c r="AA11" s="8"/>
      <c r="AB11" s="8"/>
      <c r="AC11" s="8"/>
      <c r="AD11" s="8"/>
      <c r="AE11" s="8"/>
      <c r="AF11" s="8"/>
      <c r="AG11" s="8"/>
      <c r="AH11" s="7" t="s">
        <v>79</v>
      </c>
      <c r="AI11" s="6" t="s">
        <v>49</v>
      </c>
      <c r="AJ11" s="6" t="s">
        <v>49</v>
      </c>
      <c r="AK11" s="6" t="s">
        <v>49</v>
      </c>
      <c r="AL11" s="9" t="s">
        <v>49</v>
      </c>
      <c r="AM11" s="9" t="s">
        <v>49</v>
      </c>
      <c r="AN11" s="6" t="s">
        <v>49</v>
      </c>
      <c r="AO11" s="9" t="s">
        <v>49</v>
      </c>
      <c r="AP11" s="11">
        <v>7248.8885899999996</v>
      </c>
      <c r="AQ11" s="11">
        <v>0</v>
      </c>
      <c r="AR11" s="11">
        <v>0</v>
      </c>
      <c r="AS11" s="11">
        <v>41681.266040000002</v>
      </c>
      <c r="AT11" s="11">
        <v>0</v>
      </c>
      <c r="AU11" s="11">
        <v>0</v>
      </c>
      <c r="AV11" s="11">
        <v>0</v>
      </c>
    </row>
    <row r="12" spans="1:50" customFormat="1" ht="14.5" hidden="1">
      <c r="A12" s="6">
        <v>11</v>
      </c>
      <c r="B12" s="7" t="s">
        <v>80</v>
      </c>
      <c r="C12" s="7" t="s">
        <v>81</v>
      </c>
      <c r="D12" s="6">
        <v>15700</v>
      </c>
      <c r="E12" s="6" t="s">
        <v>49</v>
      </c>
      <c r="F12" s="8"/>
      <c r="G12" s="8"/>
      <c r="H12" s="7" t="s">
        <v>49</v>
      </c>
      <c r="I12" s="7"/>
      <c r="J12" s="6" t="s">
        <v>49</v>
      </c>
      <c r="K12" s="9" t="s">
        <v>49</v>
      </c>
      <c r="L12" s="9" t="s">
        <v>49</v>
      </c>
      <c r="M12" s="8"/>
      <c r="N12" s="8"/>
      <c r="O12" s="10">
        <v>44196</v>
      </c>
      <c r="P12" s="9" t="s">
        <v>49</v>
      </c>
      <c r="Q12" s="9" t="s">
        <v>49</v>
      </c>
      <c r="R12" s="8"/>
      <c r="S12" s="8"/>
      <c r="T12" s="8"/>
      <c r="U12" s="8"/>
      <c r="V12" s="9" t="s">
        <v>49</v>
      </c>
      <c r="W12" s="9" t="s">
        <v>49</v>
      </c>
      <c r="X12" s="8"/>
      <c r="Y12" s="8"/>
      <c r="Z12" s="8"/>
      <c r="AA12" s="8"/>
      <c r="AB12" s="8"/>
      <c r="AC12" s="8"/>
      <c r="AD12" s="8"/>
      <c r="AE12" s="8"/>
      <c r="AF12" s="8"/>
      <c r="AG12" s="8"/>
      <c r="AH12" s="7" t="s">
        <v>57</v>
      </c>
      <c r="AI12" s="6" t="s">
        <v>71</v>
      </c>
      <c r="AJ12" s="6" t="s">
        <v>49</v>
      </c>
      <c r="AK12" s="6" t="s">
        <v>49</v>
      </c>
      <c r="AL12" s="9" t="s">
        <v>52</v>
      </c>
      <c r="AM12" s="9" t="s">
        <v>49</v>
      </c>
      <c r="AN12" s="6" t="s">
        <v>82</v>
      </c>
      <c r="AO12" s="9" t="s">
        <v>49</v>
      </c>
      <c r="AP12" s="11">
        <v>7248.8885899999996</v>
      </c>
      <c r="AQ12" s="11">
        <v>0</v>
      </c>
      <c r="AR12" s="11">
        <v>0</v>
      </c>
      <c r="AS12" s="11">
        <v>41681.266040000002</v>
      </c>
      <c r="AT12" s="11">
        <v>0</v>
      </c>
      <c r="AU12" s="11">
        <v>0</v>
      </c>
      <c r="AV12" s="11">
        <v>0</v>
      </c>
    </row>
    <row r="13" spans="1:50" customFormat="1" ht="14.5" hidden="1">
      <c r="A13" s="6">
        <v>12</v>
      </c>
      <c r="B13" s="7" t="s">
        <v>80</v>
      </c>
      <c r="C13" s="7" t="s">
        <v>81</v>
      </c>
      <c r="D13" s="6">
        <v>15700</v>
      </c>
      <c r="E13" s="6" t="s">
        <v>83</v>
      </c>
      <c r="F13" s="8"/>
      <c r="G13" s="8"/>
      <c r="H13" s="7" t="s">
        <v>49</v>
      </c>
      <c r="I13" s="7"/>
      <c r="J13" s="6" t="s">
        <v>49</v>
      </c>
      <c r="K13" s="9" t="s">
        <v>49</v>
      </c>
      <c r="L13" s="9" t="s">
        <v>49</v>
      </c>
      <c r="M13" s="8"/>
      <c r="N13" s="8"/>
      <c r="O13" s="10">
        <v>44196</v>
      </c>
      <c r="P13" s="9" t="s">
        <v>49</v>
      </c>
      <c r="Q13" s="9" t="s">
        <v>49</v>
      </c>
      <c r="R13" s="8"/>
      <c r="S13" s="8"/>
      <c r="T13" s="8"/>
      <c r="U13" s="8"/>
      <c r="V13" s="9" t="s">
        <v>49</v>
      </c>
      <c r="W13" s="9" t="s">
        <v>49</v>
      </c>
      <c r="X13" s="8"/>
      <c r="Y13" s="8"/>
      <c r="Z13" s="8"/>
      <c r="AA13" s="12"/>
      <c r="AB13" s="12"/>
      <c r="AC13" s="8"/>
      <c r="AD13" s="12"/>
      <c r="AE13" s="8"/>
      <c r="AF13" s="12"/>
      <c r="AG13" s="12"/>
      <c r="AH13" s="7" t="s">
        <v>57</v>
      </c>
      <c r="AI13" s="6" t="s">
        <v>49</v>
      </c>
      <c r="AJ13" s="6" t="s">
        <v>49</v>
      </c>
      <c r="AK13" s="6" t="s">
        <v>49</v>
      </c>
      <c r="AL13" s="9" t="s">
        <v>49</v>
      </c>
      <c r="AM13" s="9" t="s">
        <v>52</v>
      </c>
      <c r="AN13" s="6" t="s">
        <v>49</v>
      </c>
      <c r="AO13" s="9" t="s">
        <v>52</v>
      </c>
      <c r="AP13" s="11">
        <v>0</v>
      </c>
      <c r="AQ13" s="11">
        <v>0</v>
      </c>
      <c r="AR13" s="11">
        <v>0</v>
      </c>
      <c r="AS13" s="11">
        <v>0</v>
      </c>
      <c r="AT13" s="11">
        <v>586</v>
      </c>
      <c r="AU13" s="11">
        <v>0</v>
      </c>
      <c r="AV13" s="11" t="s">
        <v>57</v>
      </c>
    </row>
    <row r="14" spans="1:50" customFormat="1" ht="14.5" hidden="1">
      <c r="A14" s="6">
        <v>13</v>
      </c>
      <c r="B14" s="7" t="s">
        <v>84</v>
      </c>
      <c r="C14" s="7" t="s">
        <v>49</v>
      </c>
      <c r="D14" s="6">
        <v>15484</v>
      </c>
      <c r="E14" s="6" t="s">
        <v>49</v>
      </c>
      <c r="F14" s="8"/>
      <c r="G14" s="8"/>
      <c r="H14" s="7" t="s">
        <v>49</v>
      </c>
      <c r="I14" s="7"/>
      <c r="J14" s="6" t="s">
        <v>49</v>
      </c>
      <c r="K14" s="9" t="s">
        <v>49</v>
      </c>
      <c r="L14" s="9" t="s">
        <v>49</v>
      </c>
      <c r="M14" s="8"/>
      <c r="N14" s="10">
        <v>43788</v>
      </c>
      <c r="O14" s="10">
        <v>43980</v>
      </c>
      <c r="P14" s="9" t="s">
        <v>49</v>
      </c>
      <c r="Q14" s="9" t="s">
        <v>49</v>
      </c>
      <c r="R14" s="8"/>
      <c r="S14" s="8"/>
      <c r="T14" s="8"/>
      <c r="U14" s="8"/>
      <c r="V14" s="9" t="s">
        <v>49</v>
      </c>
      <c r="W14" s="9" t="s">
        <v>49</v>
      </c>
      <c r="X14" s="8"/>
      <c r="Y14" s="8"/>
      <c r="Z14" s="8"/>
      <c r="AA14" s="8"/>
      <c r="AB14" s="8"/>
      <c r="AC14" s="8"/>
      <c r="AD14" s="8"/>
      <c r="AE14" s="8"/>
      <c r="AF14" s="8"/>
      <c r="AG14" s="8"/>
      <c r="AH14" s="7" t="s">
        <v>57</v>
      </c>
      <c r="AI14" s="6" t="s">
        <v>71</v>
      </c>
      <c r="AJ14" s="6" t="s">
        <v>49</v>
      </c>
      <c r="AK14" s="6" t="s">
        <v>49</v>
      </c>
      <c r="AL14" s="9" t="s">
        <v>52</v>
      </c>
      <c r="AM14" s="9" t="s">
        <v>49</v>
      </c>
      <c r="AN14" s="6" t="s">
        <v>85</v>
      </c>
      <c r="AO14" s="9" t="s">
        <v>49</v>
      </c>
      <c r="AP14" s="11">
        <v>7248.8885899999996</v>
      </c>
      <c r="AQ14" s="11">
        <v>0</v>
      </c>
      <c r="AR14" s="11">
        <v>0</v>
      </c>
      <c r="AS14" s="11">
        <v>41681.266040000002</v>
      </c>
      <c r="AT14" s="11">
        <v>0</v>
      </c>
      <c r="AU14" s="11">
        <v>0</v>
      </c>
      <c r="AV14" s="11">
        <v>0</v>
      </c>
    </row>
    <row r="15" spans="1:50" customFormat="1" ht="14.5" hidden="1">
      <c r="A15" s="6">
        <v>14</v>
      </c>
      <c r="B15" s="7" t="s">
        <v>84</v>
      </c>
      <c r="C15" s="7" t="s">
        <v>86</v>
      </c>
      <c r="D15" s="6">
        <v>15484</v>
      </c>
      <c r="E15" s="6" t="s">
        <v>87</v>
      </c>
      <c r="F15" s="6">
        <v>83267</v>
      </c>
      <c r="G15" s="8"/>
      <c r="H15" s="7" t="s">
        <v>88</v>
      </c>
      <c r="I15" s="7"/>
      <c r="J15" s="6" t="s">
        <v>75</v>
      </c>
      <c r="K15" s="9" t="s">
        <v>89</v>
      </c>
      <c r="L15" s="9" t="s">
        <v>73</v>
      </c>
      <c r="M15" s="14">
        <v>233</v>
      </c>
      <c r="N15" s="10">
        <v>43788</v>
      </c>
      <c r="O15" s="10">
        <v>43980</v>
      </c>
      <c r="P15" s="9" t="s">
        <v>90</v>
      </c>
      <c r="Q15" s="9" t="s">
        <v>91</v>
      </c>
      <c r="R15" s="8"/>
      <c r="S15" s="8"/>
      <c r="T15" s="8"/>
      <c r="U15" s="8"/>
      <c r="V15" s="9" t="s">
        <v>49</v>
      </c>
      <c r="W15" s="9" t="s">
        <v>49</v>
      </c>
      <c r="X15" s="8"/>
      <c r="Y15" s="8"/>
      <c r="Z15" s="6">
        <v>0.23300000000000001</v>
      </c>
      <c r="AA15" s="8"/>
      <c r="AB15" s="6">
        <v>0.23300000000000001</v>
      </c>
      <c r="AC15" s="8"/>
      <c r="AD15" s="6">
        <v>0.23300000000000001</v>
      </c>
      <c r="AE15" s="6">
        <v>0.186</v>
      </c>
      <c r="AF15" s="8"/>
      <c r="AG15" s="6">
        <v>0.186</v>
      </c>
      <c r="AH15" s="7" t="s">
        <v>51</v>
      </c>
      <c r="AI15" s="6" t="s">
        <v>49</v>
      </c>
      <c r="AJ15" s="6" t="s">
        <v>49</v>
      </c>
      <c r="AK15" s="6" t="s">
        <v>49</v>
      </c>
      <c r="AL15" s="9" t="s">
        <v>49</v>
      </c>
      <c r="AM15" s="9" t="s">
        <v>92</v>
      </c>
      <c r="AN15" s="6" t="s">
        <v>49</v>
      </c>
      <c r="AO15" s="9" t="s">
        <v>92</v>
      </c>
      <c r="AP15" s="11">
        <v>42.69453</v>
      </c>
      <c r="AQ15" s="11">
        <v>54369.13</v>
      </c>
      <c r="AR15" s="11">
        <v>54369.13416666667</v>
      </c>
      <c r="AS15" s="11">
        <v>59.814529999999998</v>
      </c>
      <c r="AT15" s="11">
        <v>171.03613000000001</v>
      </c>
      <c r="AU15" s="11">
        <v>204</v>
      </c>
      <c r="AV15" s="11" t="s">
        <v>51</v>
      </c>
      <c r="AW15" t="s">
        <v>93</v>
      </c>
    </row>
    <row r="16" spans="1:50" customFormat="1" ht="14.5" hidden="1">
      <c r="A16" s="6">
        <v>15</v>
      </c>
      <c r="B16" s="7" t="s">
        <v>94</v>
      </c>
      <c r="C16" s="7" t="s">
        <v>49</v>
      </c>
      <c r="D16" s="6">
        <v>12652</v>
      </c>
      <c r="E16" s="6" t="s">
        <v>49</v>
      </c>
      <c r="F16" s="8"/>
      <c r="G16" s="8"/>
      <c r="H16" s="7" t="s">
        <v>49</v>
      </c>
      <c r="I16" s="7"/>
      <c r="J16" s="6" t="s">
        <v>49</v>
      </c>
      <c r="K16" s="9" t="s">
        <v>49</v>
      </c>
      <c r="L16" s="9" t="s">
        <v>49</v>
      </c>
      <c r="M16" s="8"/>
      <c r="N16" s="10">
        <v>43766</v>
      </c>
      <c r="O16" s="10">
        <v>43830</v>
      </c>
      <c r="P16" s="9" t="s">
        <v>49</v>
      </c>
      <c r="Q16" s="9" t="s">
        <v>49</v>
      </c>
      <c r="R16" s="8"/>
      <c r="S16" s="8"/>
      <c r="T16" s="8"/>
      <c r="U16" s="8"/>
      <c r="V16" s="9" t="s">
        <v>49</v>
      </c>
      <c r="W16" s="9" t="s">
        <v>49</v>
      </c>
      <c r="X16" s="8"/>
      <c r="Y16" s="8"/>
      <c r="Z16" s="8"/>
      <c r="AA16" s="8"/>
      <c r="AB16" s="8"/>
      <c r="AC16" s="8"/>
      <c r="AD16" s="8"/>
      <c r="AE16" s="8"/>
      <c r="AF16" s="8"/>
      <c r="AG16" s="8"/>
      <c r="AH16" s="7" t="s">
        <v>57</v>
      </c>
      <c r="AI16" s="6" t="s">
        <v>71</v>
      </c>
      <c r="AJ16" s="6" t="s">
        <v>49</v>
      </c>
      <c r="AK16" s="6" t="s">
        <v>49</v>
      </c>
      <c r="AL16" s="9" t="s">
        <v>95</v>
      </c>
      <c r="AM16" s="9" t="s">
        <v>49</v>
      </c>
      <c r="AN16" s="6" t="s">
        <v>96</v>
      </c>
      <c r="AO16" s="9" t="s">
        <v>49</v>
      </c>
      <c r="AP16" s="11">
        <v>7248.8885899999996</v>
      </c>
      <c r="AQ16" s="11">
        <v>0</v>
      </c>
      <c r="AR16" s="11">
        <v>0</v>
      </c>
      <c r="AS16" s="11">
        <v>41681.266040000002</v>
      </c>
      <c r="AT16" s="11">
        <v>0</v>
      </c>
      <c r="AU16" s="11">
        <v>0</v>
      </c>
      <c r="AV16" s="11">
        <v>0</v>
      </c>
    </row>
    <row r="17" spans="1:49" customFormat="1" ht="14.5" hidden="1">
      <c r="A17" s="6">
        <v>16</v>
      </c>
      <c r="B17" s="7" t="s">
        <v>97</v>
      </c>
      <c r="C17" s="7" t="s">
        <v>49</v>
      </c>
      <c r="D17" s="6">
        <v>12652</v>
      </c>
      <c r="E17" s="6" t="s">
        <v>98</v>
      </c>
      <c r="F17" s="8"/>
      <c r="G17" s="8"/>
      <c r="H17" s="7" t="s">
        <v>49</v>
      </c>
      <c r="I17" s="7"/>
      <c r="J17" s="6" t="s">
        <v>49</v>
      </c>
      <c r="K17" s="9" t="s">
        <v>49</v>
      </c>
      <c r="L17" s="9" t="s">
        <v>49</v>
      </c>
      <c r="M17" s="8"/>
      <c r="N17" s="10">
        <v>43766</v>
      </c>
      <c r="O17" s="10">
        <v>43830</v>
      </c>
      <c r="P17" s="9" t="s">
        <v>49</v>
      </c>
      <c r="Q17" s="9" t="s">
        <v>49</v>
      </c>
      <c r="R17" s="8"/>
      <c r="S17" s="8"/>
      <c r="T17" s="8"/>
      <c r="U17" s="8"/>
      <c r="V17" s="9" t="s">
        <v>49</v>
      </c>
      <c r="W17" s="9" t="s">
        <v>49</v>
      </c>
      <c r="X17" s="8"/>
      <c r="Y17" s="8"/>
      <c r="Z17" s="8"/>
      <c r="AA17" s="8"/>
      <c r="AB17" s="8"/>
      <c r="AC17" s="8"/>
      <c r="AD17" s="8"/>
      <c r="AE17" s="8"/>
      <c r="AF17" s="8"/>
      <c r="AG17" s="8"/>
      <c r="AH17" s="7" t="s">
        <v>51</v>
      </c>
      <c r="AI17" s="6" t="s">
        <v>49</v>
      </c>
      <c r="AJ17" s="6" t="s">
        <v>49</v>
      </c>
      <c r="AK17" s="6" t="s">
        <v>49</v>
      </c>
      <c r="AL17" s="9" t="s">
        <v>49</v>
      </c>
      <c r="AM17" s="9" t="s">
        <v>95</v>
      </c>
      <c r="AN17" s="6" t="s">
        <v>49</v>
      </c>
      <c r="AO17" s="9" t="s">
        <v>99</v>
      </c>
      <c r="AP17" s="11">
        <v>0</v>
      </c>
      <c r="AQ17" s="11">
        <v>0</v>
      </c>
      <c r="AR17" s="11">
        <v>0</v>
      </c>
      <c r="AS17" s="11">
        <v>0</v>
      </c>
      <c r="AT17" s="11">
        <v>0</v>
      </c>
      <c r="AU17" s="11">
        <v>0</v>
      </c>
      <c r="AV17" s="11" t="s">
        <v>51</v>
      </c>
    </row>
    <row r="18" spans="1:49" customFormat="1" ht="14.5" hidden="1">
      <c r="A18" s="6">
        <v>17</v>
      </c>
      <c r="B18" s="7" t="s">
        <v>100</v>
      </c>
      <c r="C18" s="7" t="s">
        <v>101</v>
      </c>
      <c r="D18" s="6">
        <v>15377</v>
      </c>
      <c r="E18" s="6" t="s">
        <v>49</v>
      </c>
      <c r="F18" s="8"/>
      <c r="G18" s="8"/>
      <c r="H18" s="7" t="s">
        <v>49</v>
      </c>
      <c r="I18" s="7"/>
      <c r="J18" s="6" t="s">
        <v>49</v>
      </c>
      <c r="K18" s="9" t="s">
        <v>49</v>
      </c>
      <c r="L18" s="9" t="s">
        <v>49</v>
      </c>
      <c r="M18" s="15"/>
      <c r="N18" s="10">
        <v>43346</v>
      </c>
      <c r="O18" s="10">
        <v>43860</v>
      </c>
      <c r="P18" s="9" t="s">
        <v>49</v>
      </c>
      <c r="Q18" s="9" t="s">
        <v>49</v>
      </c>
      <c r="R18" s="8"/>
      <c r="S18" s="8"/>
      <c r="T18" s="8"/>
      <c r="U18" s="8"/>
      <c r="V18" s="9" t="s">
        <v>49</v>
      </c>
      <c r="W18" s="9" t="s">
        <v>49</v>
      </c>
      <c r="X18" s="8"/>
      <c r="Y18" s="8"/>
      <c r="Z18" s="8"/>
      <c r="AA18" s="8"/>
      <c r="AB18" s="8"/>
      <c r="AC18" s="8"/>
      <c r="AD18" s="8"/>
      <c r="AE18" s="8"/>
      <c r="AF18" s="8"/>
      <c r="AG18" s="8"/>
      <c r="AH18" s="7" t="s">
        <v>57</v>
      </c>
      <c r="AI18" s="6" t="s">
        <v>71</v>
      </c>
      <c r="AJ18" s="6" t="s">
        <v>49</v>
      </c>
      <c r="AK18" s="6" t="s">
        <v>49</v>
      </c>
      <c r="AL18" s="9" t="s">
        <v>102</v>
      </c>
      <c r="AM18" s="9" t="s">
        <v>49</v>
      </c>
      <c r="AN18" s="6" t="s">
        <v>82</v>
      </c>
      <c r="AO18" s="9" t="s">
        <v>49</v>
      </c>
      <c r="AP18" s="11">
        <v>7248.8885899999996</v>
      </c>
      <c r="AQ18" s="11">
        <v>0</v>
      </c>
      <c r="AR18" s="11">
        <v>0</v>
      </c>
      <c r="AS18" s="11">
        <v>41681.266040000002</v>
      </c>
      <c r="AT18" s="11">
        <v>0</v>
      </c>
      <c r="AU18" s="11">
        <v>0</v>
      </c>
      <c r="AV18" s="11">
        <v>0</v>
      </c>
    </row>
    <row r="19" spans="1:49" customFormat="1" ht="14.5" hidden="1">
      <c r="A19" s="6">
        <v>18</v>
      </c>
      <c r="B19" s="7" t="s">
        <v>103</v>
      </c>
      <c r="C19" s="7" t="s">
        <v>101</v>
      </c>
      <c r="D19" s="12"/>
      <c r="E19" s="6" t="s">
        <v>104</v>
      </c>
      <c r="F19" s="12"/>
      <c r="G19" s="8"/>
      <c r="H19" s="7" t="s">
        <v>88</v>
      </c>
      <c r="I19" s="7"/>
      <c r="J19" s="6" t="s">
        <v>105</v>
      </c>
      <c r="K19" s="9" t="s">
        <v>106</v>
      </c>
      <c r="L19" s="9" t="s">
        <v>73</v>
      </c>
      <c r="M19" s="15">
        <v>200</v>
      </c>
      <c r="N19" s="8"/>
      <c r="O19" s="8"/>
      <c r="P19" s="9" t="s">
        <v>103</v>
      </c>
      <c r="Q19" s="9" t="s">
        <v>107</v>
      </c>
      <c r="R19" s="12"/>
      <c r="S19" s="12"/>
      <c r="T19" s="12"/>
      <c r="U19" s="12"/>
      <c r="V19" s="9" t="s">
        <v>49</v>
      </c>
      <c r="W19" s="9" t="s">
        <v>108</v>
      </c>
      <c r="X19" s="6">
        <v>0.2</v>
      </c>
      <c r="Y19" s="8"/>
      <c r="Z19" s="8"/>
      <c r="AA19" s="12"/>
      <c r="AB19" s="6">
        <v>0.2</v>
      </c>
      <c r="AC19" s="8"/>
      <c r="AD19" s="6">
        <v>0.2</v>
      </c>
      <c r="AE19" s="6">
        <v>0.16</v>
      </c>
      <c r="AF19" s="12"/>
      <c r="AG19" s="6">
        <v>0.16</v>
      </c>
      <c r="AH19" s="7" t="s">
        <v>49</v>
      </c>
      <c r="AI19" s="6" t="s">
        <v>49</v>
      </c>
      <c r="AJ19" s="6" t="s">
        <v>49</v>
      </c>
      <c r="AK19" s="6" t="s">
        <v>49</v>
      </c>
      <c r="AL19" s="9" t="s">
        <v>49</v>
      </c>
      <c r="AM19" s="9" t="s">
        <v>49</v>
      </c>
      <c r="AN19" s="6" t="s">
        <v>49</v>
      </c>
      <c r="AO19" s="9" t="s">
        <v>49</v>
      </c>
      <c r="AP19" s="11">
        <v>0</v>
      </c>
      <c r="AQ19" s="11">
        <v>0</v>
      </c>
      <c r="AR19" s="11">
        <v>0</v>
      </c>
      <c r="AS19" s="11">
        <v>0</v>
      </c>
      <c r="AT19" s="11">
        <v>0</v>
      </c>
      <c r="AU19" s="11">
        <v>0</v>
      </c>
      <c r="AV19" s="11">
        <v>0</v>
      </c>
    </row>
    <row r="20" spans="1:49" customFormat="1" ht="14.5" hidden="1">
      <c r="A20" s="6">
        <v>19</v>
      </c>
      <c r="B20" s="7" t="s">
        <v>109</v>
      </c>
      <c r="C20" s="7" t="s">
        <v>49</v>
      </c>
      <c r="D20" s="6">
        <v>15644</v>
      </c>
      <c r="E20" s="6" t="s">
        <v>49</v>
      </c>
      <c r="F20" s="8"/>
      <c r="G20" s="8"/>
      <c r="H20" s="7" t="s">
        <v>49</v>
      </c>
      <c r="I20" s="7"/>
      <c r="J20" s="6" t="s">
        <v>49</v>
      </c>
      <c r="K20" s="9" t="s">
        <v>49</v>
      </c>
      <c r="L20" s="9" t="s">
        <v>49</v>
      </c>
      <c r="M20" s="8"/>
      <c r="N20" s="12"/>
      <c r="O20" s="12"/>
      <c r="P20" s="9" t="s">
        <v>49</v>
      </c>
      <c r="Q20" s="9" t="s">
        <v>49</v>
      </c>
      <c r="R20" s="8"/>
      <c r="S20" s="8"/>
      <c r="T20" s="8"/>
      <c r="U20" s="8"/>
      <c r="V20" s="9" t="s">
        <v>49</v>
      </c>
      <c r="W20" s="9" t="s">
        <v>49</v>
      </c>
      <c r="X20" s="8"/>
      <c r="Y20" s="8"/>
      <c r="Z20" s="8"/>
      <c r="AA20" s="8"/>
      <c r="AB20" s="8"/>
      <c r="AC20" s="8"/>
      <c r="AD20" s="8"/>
      <c r="AE20" s="8"/>
      <c r="AF20" s="8"/>
      <c r="AG20" s="8"/>
      <c r="AH20" s="7" t="s">
        <v>79</v>
      </c>
      <c r="AI20" s="6" t="s">
        <v>110</v>
      </c>
      <c r="AJ20" s="6" t="s">
        <v>49</v>
      </c>
      <c r="AK20" s="6" t="s">
        <v>49</v>
      </c>
      <c r="AL20" s="9" t="s">
        <v>111</v>
      </c>
      <c r="AM20" s="9" t="s">
        <v>49</v>
      </c>
      <c r="AN20" s="6" t="s">
        <v>82</v>
      </c>
      <c r="AO20" s="9" t="s">
        <v>49</v>
      </c>
      <c r="AP20" s="11">
        <v>7248.8885899999996</v>
      </c>
      <c r="AQ20" s="11">
        <v>0</v>
      </c>
      <c r="AR20" s="11">
        <v>0</v>
      </c>
      <c r="AS20" s="11">
        <v>41681.266040000002</v>
      </c>
      <c r="AT20" s="11">
        <v>0</v>
      </c>
      <c r="AU20" s="11">
        <v>0</v>
      </c>
      <c r="AV20" s="11">
        <v>0</v>
      </c>
    </row>
    <row r="21" spans="1:49" customFormat="1" ht="14.5" hidden="1">
      <c r="A21" s="6">
        <v>20</v>
      </c>
      <c r="B21" s="7" t="s">
        <v>112</v>
      </c>
      <c r="C21" s="7" t="s">
        <v>49</v>
      </c>
      <c r="D21" s="6">
        <v>15671</v>
      </c>
      <c r="E21" s="6" t="s">
        <v>49</v>
      </c>
      <c r="F21" s="12"/>
      <c r="G21" s="8"/>
      <c r="H21" s="7" t="s">
        <v>49</v>
      </c>
      <c r="I21" s="7"/>
      <c r="J21" s="6" t="s">
        <v>49</v>
      </c>
      <c r="K21" s="9" t="s">
        <v>49</v>
      </c>
      <c r="L21" s="9" t="s">
        <v>49</v>
      </c>
      <c r="M21" s="12"/>
      <c r="N21" s="10">
        <v>43773</v>
      </c>
      <c r="O21" s="10">
        <v>44196</v>
      </c>
      <c r="P21" s="9" t="s">
        <v>49</v>
      </c>
      <c r="Q21" s="9" t="s">
        <v>49</v>
      </c>
      <c r="R21" s="12"/>
      <c r="S21" s="12"/>
      <c r="T21" s="12"/>
      <c r="U21" s="12"/>
      <c r="V21" s="9" t="s">
        <v>49</v>
      </c>
      <c r="W21" s="9" t="s">
        <v>49</v>
      </c>
      <c r="X21" s="12"/>
      <c r="Y21" s="8"/>
      <c r="Z21" s="12"/>
      <c r="AA21" s="8"/>
      <c r="AB21" s="12"/>
      <c r="AC21" s="8"/>
      <c r="AD21" s="12"/>
      <c r="AE21" s="12"/>
      <c r="AF21" s="8"/>
      <c r="AG21" s="12"/>
      <c r="AH21" s="7" t="s">
        <v>57</v>
      </c>
      <c r="AI21" s="6" t="s">
        <v>71</v>
      </c>
      <c r="AJ21" s="6" t="s">
        <v>49</v>
      </c>
      <c r="AK21" s="6" t="s">
        <v>49</v>
      </c>
      <c r="AL21" s="9" t="s">
        <v>52</v>
      </c>
      <c r="AM21" s="9" t="s">
        <v>49</v>
      </c>
      <c r="AN21" s="6" t="s">
        <v>85</v>
      </c>
      <c r="AO21" s="9" t="s">
        <v>49</v>
      </c>
      <c r="AP21" s="11">
        <v>7248.8885899999996</v>
      </c>
      <c r="AQ21" s="11">
        <v>0</v>
      </c>
      <c r="AR21" s="11">
        <v>0</v>
      </c>
      <c r="AS21" s="11">
        <v>41681.266040000002</v>
      </c>
      <c r="AT21" s="11">
        <v>0</v>
      </c>
      <c r="AU21" s="11">
        <v>0</v>
      </c>
      <c r="AV21" s="11">
        <v>0</v>
      </c>
    </row>
    <row r="22" spans="1:49" customFormat="1" ht="14.5" hidden="1">
      <c r="A22" s="6">
        <v>21</v>
      </c>
      <c r="B22" s="7" t="s">
        <v>112</v>
      </c>
      <c r="C22" s="7" t="s">
        <v>49</v>
      </c>
      <c r="D22" s="6">
        <v>15671</v>
      </c>
      <c r="E22" s="6" t="s">
        <v>113</v>
      </c>
      <c r="F22" s="8"/>
      <c r="G22" s="8"/>
      <c r="H22" s="7" t="s">
        <v>49</v>
      </c>
      <c r="I22" s="7"/>
      <c r="J22" s="6" t="s">
        <v>49</v>
      </c>
      <c r="K22" s="9" t="s">
        <v>49</v>
      </c>
      <c r="L22" s="9" t="s">
        <v>49</v>
      </c>
      <c r="M22" s="8"/>
      <c r="N22" s="10">
        <v>43773</v>
      </c>
      <c r="O22" s="10">
        <v>44196</v>
      </c>
      <c r="P22" s="9" t="s">
        <v>49</v>
      </c>
      <c r="Q22" s="9" t="s">
        <v>49</v>
      </c>
      <c r="R22" s="8"/>
      <c r="S22" s="8"/>
      <c r="T22" s="8"/>
      <c r="U22" s="8"/>
      <c r="V22" s="9" t="s">
        <v>49</v>
      </c>
      <c r="W22" s="9" t="s">
        <v>49</v>
      </c>
      <c r="X22" s="8"/>
      <c r="Y22" s="8"/>
      <c r="Z22" s="8"/>
      <c r="AA22" s="8"/>
      <c r="AB22" s="8"/>
      <c r="AC22" s="8"/>
      <c r="AD22" s="8"/>
      <c r="AE22" s="8"/>
      <c r="AF22" s="8"/>
      <c r="AG22" s="8"/>
      <c r="AH22" s="7" t="s">
        <v>57</v>
      </c>
      <c r="AI22" s="6" t="s">
        <v>49</v>
      </c>
      <c r="AJ22" s="6" t="s">
        <v>49</v>
      </c>
      <c r="AK22" s="6" t="s">
        <v>49</v>
      </c>
      <c r="AL22" s="9" t="s">
        <v>49</v>
      </c>
      <c r="AM22" s="9" t="s">
        <v>52</v>
      </c>
      <c r="AN22" s="6" t="s">
        <v>49</v>
      </c>
      <c r="AO22" s="9" t="s">
        <v>52</v>
      </c>
      <c r="AP22" s="11">
        <v>0</v>
      </c>
      <c r="AQ22" s="11">
        <v>0</v>
      </c>
      <c r="AR22" s="11">
        <v>0</v>
      </c>
      <c r="AS22" s="11">
        <v>0</v>
      </c>
      <c r="AT22" s="11">
        <v>0</v>
      </c>
      <c r="AU22" s="11">
        <v>0</v>
      </c>
      <c r="AV22" s="11" t="s">
        <v>57</v>
      </c>
    </row>
    <row r="23" spans="1:49" customFormat="1" ht="14.5" hidden="1">
      <c r="A23" s="6">
        <v>22</v>
      </c>
      <c r="B23" s="7" t="s">
        <v>114</v>
      </c>
      <c r="C23" s="7" t="s">
        <v>49</v>
      </c>
      <c r="D23" s="6">
        <v>12517</v>
      </c>
      <c r="E23" s="6" t="s">
        <v>115</v>
      </c>
      <c r="F23" s="8"/>
      <c r="G23" s="8"/>
      <c r="H23" s="7" t="s">
        <v>49</v>
      </c>
      <c r="I23" s="7"/>
      <c r="J23" s="6" t="s">
        <v>49</v>
      </c>
      <c r="K23" s="9" t="s">
        <v>49</v>
      </c>
      <c r="L23" s="9" t="s">
        <v>49</v>
      </c>
      <c r="M23" s="8"/>
      <c r="N23" s="10">
        <v>42919</v>
      </c>
      <c r="O23" s="10">
        <v>43860</v>
      </c>
      <c r="P23" s="9" t="s">
        <v>49</v>
      </c>
      <c r="Q23" s="9" t="s">
        <v>49</v>
      </c>
      <c r="R23" s="8"/>
      <c r="S23" s="8"/>
      <c r="T23" s="8"/>
      <c r="U23" s="8"/>
      <c r="V23" s="9" t="s">
        <v>49</v>
      </c>
      <c r="W23" s="9" t="s">
        <v>49</v>
      </c>
      <c r="X23" s="8"/>
      <c r="Y23" s="8"/>
      <c r="Z23" s="8"/>
      <c r="AA23" s="8"/>
      <c r="AB23" s="8"/>
      <c r="AC23" s="8"/>
      <c r="AD23" s="8"/>
      <c r="AE23" s="8"/>
      <c r="AF23" s="8"/>
      <c r="AG23" s="8"/>
      <c r="AH23" s="7" t="s">
        <v>51</v>
      </c>
      <c r="AI23" s="6" t="s">
        <v>49</v>
      </c>
      <c r="AJ23" s="6" t="s">
        <v>49</v>
      </c>
      <c r="AK23" s="6" t="s">
        <v>49</v>
      </c>
      <c r="AL23" s="9" t="s">
        <v>49</v>
      </c>
      <c r="AM23" s="9" t="s">
        <v>116</v>
      </c>
      <c r="AN23" s="6" t="s">
        <v>49</v>
      </c>
      <c r="AO23" s="9" t="s">
        <v>116</v>
      </c>
      <c r="AP23" s="11">
        <v>0</v>
      </c>
      <c r="AQ23" s="11">
        <v>0</v>
      </c>
      <c r="AR23" s="11">
        <v>0</v>
      </c>
      <c r="AS23" s="11">
        <v>0</v>
      </c>
      <c r="AT23" s="11">
        <v>0</v>
      </c>
      <c r="AU23" s="11">
        <v>0</v>
      </c>
      <c r="AV23" s="11" t="s">
        <v>51</v>
      </c>
    </row>
    <row r="24" spans="1:49" customFormat="1" ht="14.5" hidden="1">
      <c r="A24" s="6">
        <v>23</v>
      </c>
      <c r="B24" s="7" t="s">
        <v>117</v>
      </c>
      <c r="C24" s="7" t="s">
        <v>49</v>
      </c>
      <c r="D24" s="6">
        <v>12505</v>
      </c>
      <c r="E24" s="6" t="s">
        <v>49</v>
      </c>
      <c r="F24" s="8"/>
      <c r="G24" s="8"/>
      <c r="H24" s="7" t="s">
        <v>49</v>
      </c>
      <c r="I24" s="7"/>
      <c r="J24" s="6" t="s">
        <v>49</v>
      </c>
      <c r="K24" s="9" t="s">
        <v>49</v>
      </c>
      <c r="L24" s="9" t="s">
        <v>49</v>
      </c>
      <c r="M24" s="8"/>
      <c r="N24" s="10">
        <v>43313</v>
      </c>
      <c r="O24" s="10">
        <v>43831</v>
      </c>
      <c r="P24" s="9" t="s">
        <v>49</v>
      </c>
      <c r="Q24" s="9" t="s">
        <v>49</v>
      </c>
      <c r="R24" s="8"/>
      <c r="S24" s="8"/>
      <c r="T24" s="8"/>
      <c r="U24" s="8"/>
      <c r="V24" s="9" t="s">
        <v>49</v>
      </c>
      <c r="W24" s="9" t="s">
        <v>49</v>
      </c>
      <c r="X24" s="8"/>
      <c r="Y24" s="8"/>
      <c r="Z24" s="8"/>
      <c r="AA24" s="8"/>
      <c r="AB24" s="8"/>
      <c r="AC24" s="8"/>
      <c r="AD24" s="8"/>
      <c r="AE24" s="8"/>
      <c r="AF24" s="8"/>
      <c r="AG24" s="8"/>
      <c r="AH24" s="7" t="s">
        <v>51</v>
      </c>
      <c r="AI24" s="6" t="s">
        <v>71</v>
      </c>
      <c r="AJ24" s="6" t="s">
        <v>49</v>
      </c>
      <c r="AK24" s="6" t="s">
        <v>118</v>
      </c>
      <c r="AL24" s="9" t="s">
        <v>119</v>
      </c>
      <c r="AM24" s="9" t="s">
        <v>49</v>
      </c>
      <c r="AN24" s="6" t="s">
        <v>82</v>
      </c>
      <c r="AO24" s="9" t="s">
        <v>49</v>
      </c>
      <c r="AP24" s="11">
        <v>7248.8885899999996</v>
      </c>
      <c r="AQ24" s="11">
        <v>0</v>
      </c>
      <c r="AR24" s="11">
        <v>0</v>
      </c>
      <c r="AS24" s="11">
        <v>41681.266040000002</v>
      </c>
      <c r="AT24" s="11">
        <v>0</v>
      </c>
      <c r="AU24" s="11">
        <v>0</v>
      </c>
      <c r="AV24" s="11">
        <v>0</v>
      </c>
    </row>
    <row r="25" spans="1:49" customFormat="1" ht="14.5" hidden="1">
      <c r="A25" s="6">
        <v>24</v>
      </c>
      <c r="B25" s="7" t="s">
        <v>120</v>
      </c>
      <c r="C25" s="7" t="s">
        <v>49</v>
      </c>
      <c r="D25" s="6">
        <v>12505</v>
      </c>
      <c r="E25" s="6" t="s">
        <v>121</v>
      </c>
      <c r="F25" s="8"/>
      <c r="G25" s="8"/>
      <c r="H25" s="7" t="s">
        <v>49</v>
      </c>
      <c r="I25" s="7"/>
      <c r="J25" s="6" t="s">
        <v>49</v>
      </c>
      <c r="K25" s="9" t="s">
        <v>49</v>
      </c>
      <c r="L25" s="9" t="s">
        <v>49</v>
      </c>
      <c r="M25" s="8"/>
      <c r="N25" s="10">
        <v>43313</v>
      </c>
      <c r="O25" s="10">
        <v>43831</v>
      </c>
      <c r="P25" s="9" t="s">
        <v>49</v>
      </c>
      <c r="Q25" s="9" t="s">
        <v>49</v>
      </c>
      <c r="R25" s="8"/>
      <c r="S25" s="8"/>
      <c r="T25" s="8"/>
      <c r="U25" s="8"/>
      <c r="V25" s="9" t="s">
        <v>49</v>
      </c>
      <c r="W25" s="9" t="s">
        <v>49</v>
      </c>
      <c r="X25" s="8"/>
      <c r="Y25" s="8"/>
      <c r="Z25" s="8"/>
      <c r="AA25" s="8"/>
      <c r="AB25" s="8"/>
      <c r="AC25" s="8"/>
      <c r="AD25" s="8"/>
      <c r="AE25" s="8"/>
      <c r="AF25" s="8"/>
      <c r="AG25" s="8"/>
      <c r="AH25" s="7" t="s">
        <v>51</v>
      </c>
      <c r="AI25" s="6" t="s">
        <v>49</v>
      </c>
      <c r="AJ25" s="6" t="s">
        <v>49</v>
      </c>
      <c r="AK25" s="6" t="s">
        <v>49</v>
      </c>
      <c r="AL25" s="9" t="s">
        <v>49</v>
      </c>
      <c r="AM25" s="9" t="s">
        <v>122</v>
      </c>
      <c r="AN25" s="6" t="s">
        <v>49</v>
      </c>
      <c r="AO25" s="9" t="s">
        <v>122</v>
      </c>
      <c r="AP25" s="11">
        <v>-4.4724399999999997</v>
      </c>
      <c r="AQ25" s="11">
        <v>-4472.4399999999996</v>
      </c>
      <c r="AR25" s="11">
        <v>-4472.4375000000009</v>
      </c>
      <c r="AS25" s="11">
        <v>-8.2207699999999999</v>
      </c>
      <c r="AT25" s="11">
        <v>-4.4724399999999997</v>
      </c>
      <c r="AU25" s="11">
        <v>0</v>
      </c>
      <c r="AV25" s="11" t="s">
        <v>51</v>
      </c>
    </row>
    <row r="26" spans="1:49" customFormat="1" ht="14.5" hidden="1">
      <c r="A26" s="6">
        <v>25</v>
      </c>
      <c r="B26" s="7" t="s">
        <v>123</v>
      </c>
      <c r="C26" s="7" t="s">
        <v>49</v>
      </c>
      <c r="D26" s="6">
        <v>15481</v>
      </c>
      <c r="E26" s="6" t="s">
        <v>124</v>
      </c>
      <c r="F26" s="12"/>
      <c r="G26" s="8"/>
      <c r="H26" s="7" t="s">
        <v>49</v>
      </c>
      <c r="I26" s="7"/>
      <c r="J26" s="6" t="s">
        <v>49</v>
      </c>
      <c r="K26" s="9" t="s">
        <v>49</v>
      </c>
      <c r="L26" s="9" t="s">
        <v>49</v>
      </c>
      <c r="M26" s="12"/>
      <c r="N26" s="12"/>
      <c r="O26" s="10">
        <v>44104</v>
      </c>
      <c r="P26" s="9" t="s">
        <v>49</v>
      </c>
      <c r="Q26" s="9" t="s">
        <v>49</v>
      </c>
      <c r="R26" s="8"/>
      <c r="S26" s="8"/>
      <c r="T26" s="8"/>
      <c r="U26" s="8"/>
      <c r="V26" s="9" t="s">
        <v>49</v>
      </c>
      <c r="W26" s="9" t="s">
        <v>49</v>
      </c>
      <c r="X26" s="8"/>
      <c r="Y26" s="8"/>
      <c r="Z26" s="12"/>
      <c r="AA26" s="8"/>
      <c r="AB26" s="12"/>
      <c r="AC26" s="8"/>
      <c r="AD26" s="12"/>
      <c r="AE26" s="12"/>
      <c r="AF26" s="8"/>
      <c r="AG26" s="12"/>
      <c r="AH26" s="7" t="s">
        <v>57</v>
      </c>
      <c r="AI26" s="6" t="s">
        <v>49</v>
      </c>
      <c r="AJ26" s="6" t="s">
        <v>49</v>
      </c>
      <c r="AK26" s="6" t="s">
        <v>49</v>
      </c>
      <c r="AL26" s="9" t="s">
        <v>49</v>
      </c>
      <c r="AM26" s="9" t="s">
        <v>67</v>
      </c>
      <c r="AN26" s="6" t="s">
        <v>49</v>
      </c>
      <c r="AO26" s="9" t="s">
        <v>67</v>
      </c>
      <c r="AP26" s="11">
        <v>0</v>
      </c>
      <c r="AQ26" s="11">
        <v>0</v>
      </c>
      <c r="AR26" s="11">
        <v>0</v>
      </c>
      <c r="AS26" s="11">
        <v>0</v>
      </c>
      <c r="AT26" s="11">
        <v>0</v>
      </c>
      <c r="AU26" s="11">
        <v>0</v>
      </c>
      <c r="AV26" s="11" t="s">
        <v>57</v>
      </c>
    </row>
    <row r="27" spans="1:49" customFormat="1" ht="14.5" hidden="1">
      <c r="A27" s="6">
        <v>26</v>
      </c>
      <c r="B27" s="7" t="s">
        <v>125</v>
      </c>
      <c r="C27" s="7" t="s">
        <v>49</v>
      </c>
      <c r="D27" s="6">
        <v>15481</v>
      </c>
      <c r="E27" s="6" t="s">
        <v>126</v>
      </c>
      <c r="F27" s="12"/>
      <c r="G27" s="8"/>
      <c r="H27" s="7" t="s">
        <v>49</v>
      </c>
      <c r="I27" s="7"/>
      <c r="J27" s="6" t="s">
        <v>49</v>
      </c>
      <c r="K27" s="9" t="s">
        <v>49</v>
      </c>
      <c r="L27" s="9" t="s">
        <v>49</v>
      </c>
      <c r="M27" s="12"/>
      <c r="N27" s="12"/>
      <c r="O27" s="10">
        <v>43525</v>
      </c>
      <c r="P27" s="9" t="s">
        <v>49</v>
      </c>
      <c r="Q27" s="9" t="s">
        <v>49</v>
      </c>
      <c r="R27" s="8"/>
      <c r="S27" s="8"/>
      <c r="T27" s="8"/>
      <c r="U27" s="8"/>
      <c r="V27" s="9" t="s">
        <v>49</v>
      </c>
      <c r="W27" s="9" t="s">
        <v>49</v>
      </c>
      <c r="X27" s="8"/>
      <c r="Y27" s="8"/>
      <c r="Z27" s="8"/>
      <c r="AA27" s="8"/>
      <c r="AB27" s="8"/>
      <c r="AC27" s="8"/>
      <c r="AD27" s="8"/>
      <c r="AE27" s="8"/>
      <c r="AF27" s="8"/>
      <c r="AG27" s="8"/>
      <c r="AH27" s="7" t="s">
        <v>57</v>
      </c>
      <c r="AI27" s="6" t="s">
        <v>49</v>
      </c>
      <c r="AJ27" s="6" t="s">
        <v>49</v>
      </c>
      <c r="AK27" s="6" t="s">
        <v>49</v>
      </c>
      <c r="AL27" s="9" t="s">
        <v>49</v>
      </c>
      <c r="AM27" s="9" t="s">
        <v>67</v>
      </c>
      <c r="AN27" s="6" t="s">
        <v>49</v>
      </c>
      <c r="AO27" s="9" t="s">
        <v>67</v>
      </c>
      <c r="AP27" s="11">
        <v>0</v>
      </c>
      <c r="AQ27" s="11">
        <v>0</v>
      </c>
      <c r="AR27" s="11">
        <v>0</v>
      </c>
      <c r="AS27" s="11">
        <v>0</v>
      </c>
      <c r="AT27" s="11">
        <v>0</v>
      </c>
      <c r="AU27" s="11">
        <v>0</v>
      </c>
      <c r="AV27" s="11" t="s">
        <v>57</v>
      </c>
    </row>
    <row r="28" spans="1:49" customFormat="1" ht="14.5" hidden="1">
      <c r="A28" s="6">
        <v>27</v>
      </c>
      <c r="B28" s="7" t="s">
        <v>127</v>
      </c>
      <c r="C28" s="7" t="s">
        <v>49</v>
      </c>
      <c r="D28" s="6">
        <v>12517</v>
      </c>
      <c r="E28" s="6" t="s">
        <v>49</v>
      </c>
      <c r="F28" s="8"/>
      <c r="G28" s="8"/>
      <c r="H28" s="7" t="s">
        <v>49</v>
      </c>
      <c r="I28" s="7"/>
      <c r="J28" s="6" t="s">
        <v>49</v>
      </c>
      <c r="K28" s="9" t="s">
        <v>49</v>
      </c>
      <c r="L28" s="9" t="s">
        <v>49</v>
      </c>
      <c r="M28" s="8"/>
      <c r="N28" s="10">
        <v>42919</v>
      </c>
      <c r="O28" s="10">
        <v>43860</v>
      </c>
      <c r="P28" s="9" t="s">
        <v>49</v>
      </c>
      <c r="Q28" s="9" t="s">
        <v>49</v>
      </c>
      <c r="R28" s="8"/>
      <c r="S28" s="8"/>
      <c r="T28" s="8"/>
      <c r="U28" s="8"/>
      <c r="V28" s="9" t="s">
        <v>49</v>
      </c>
      <c r="W28" s="9" t="s">
        <v>49</v>
      </c>
      <c r="X28" s="8"/>
      <c r="Y28" s="8"/>
      <c r="Z28" s="8"/>
      <c r="AA28" s="8"/>
      <c r="AB28" s="8"/>
      <c r="AC28" s="8"/>
      <c r="AD28" s="8"/>
      <c r="AE28" s="8"/>
      <c r="AF28" s="8"/>
      <c r="AG28" s="8"/>
      <c r="AH28" s="7" t="s">
        <v>51</v>
      </c>
      <c r="AI28" s="6" t="s">
        <v>71</v>
      </c>
      <c r="AJ28" s="6" t="s">
        <v>49</v>
      </c>
      <c r="AK28" s="6" t="s">
        <v>118</v>
      </c>
      <c r="AL28" s="9" t="s">
        <v>116</v>
      </c>
      <c r="AM28" s="9" t="s">
        <v>49</v>
      </c>
      <c r="AN28" s="6" t="s">
        <v>82</v>
      </c>
      <c r="AO28" s="9" t="s">
        <v>49</v>
      </c>
      <c r="AP28" s="11">
        <v>7248.8885899999996</v>
      </c>
      <c r="AQ28" s="11">
        <v>0</v>
      </c>
      <c r="AR28" s="11">
        <v>0</v>
      </c>
      <c r="AS28" s="11">
        <v>41681.266040000002</v>
      </c>
      <c r="AT28" s="11">
        <v>0</v>
      </c>
      <c r="AU28" s="11">
        <v>0</v>
      </c>
      <c r="AV28" s="11">
        <v>0</v>
      </c>
    </row>
    <row r="29" spans="1:49" customFormat="1" ht="14.5" hidden="1">
      <c r="A29" s="6">
        <v>28</v>
      </c>
      <c r="B29" s="7" t="s">
        <v>128</v>
      </c>
      <c r="C29" s="7" t="s">
        <v>49</v>
      </c>
      <c r="D29" s="6">
        <v>12517</v>
      </c>
      <c r="E29" s="6" t="s">
        <v>129</v>
      </c>
      <c r="F29" s="8"/>
      <c r="G29" s="8"/>
      <c r="H29" s="7" t="s">
        <v>49</v>
      </c>
      <c r="I29" s="7"/>
      <c r="J29" s="6" t="s">
        <v>49</v>
      </c>
      <c r="K29" s="9" t="s">
        <v>49</v>
      </c>
      <c r="L29" s="9" t="s">
        <v>49</v>
      </c>
      <c r="M29" s="8"/>
      <c r="N29" s="10">
        <v>43474</v>
      </c>
      <c r="O29" s="10">
        <v>43831</v>
      </c>
      <c r="P29" s="9" t="s">
        <v>49</v>
      </c>
      <c r="Q29" s="9" t="s">
        <v>49</v>
      </c>
      <c r="R29" s="8"/>
      <c r="S29" s="8"/>
      <c r="T29" s="8"/>
      <c r="U29" s="8"/>
      <c r="V29" s="9" t="s">
        <v>49</v>
      </c>
      <c r="W29" s="9" t="s">
        <v>49</v>
      </c>
      <c r="X29" s="8"/>
      <c r="Y29" s="8"/>
      <c r="Z29" s="8"/>
      <c r="AA29" s="8"/>
      <c r="AB29" s="8"/>
      <c r="AC29" s="8"/>
      <c r="AD29" s="8"/>
      <c r="AE29" s="8"/>
      <c r="AF29" s="8"/>
      <c r="AG29" s="8"/>
      <c r="AH29" s="7" t="s">
        <v>57</v>
      </c>
      <c r="AI29" s="6" t="s">
        <v>49</v>
      </c>
      <c r="AJ29" s="6" t="s">
        <v>49</v>
      </c>
      <c r="AK29" s="6" t="s">
        <v>49</v>
      </c>
      <c r="AL29" s="9" t="s">
        <v>49</v>
      </c>
      <c r="AM29" s="9" t="s">
        <v>116</v>
      </c>
      <c r="AN29" s="6" t="s">
        <v>49</v>
      </c>
      <c r="AO29" s="9" t="s">
        <v>116</v>
      </c>
      <c r="AP29" s="11">
        <v>0</v>
      </c>
      <c r="AQ29" s="11">
        <v>0</v>
      </c>
      <c r="AR29" s="11">
        <v>0</v>
      </c>
      <c r="AS29" s="11">
        <v>0</v>
      </c>
      <c r="AT29" s="11">
        <v>0</v>
      </c>
      <c r="AU29" s="11">
        <v>0</v>
      </c>
      <c r="AV29" s="11" t="s">
        <v>57</v>
      </c>
    </row>
    <row r="30" spans="1:49" customFormat="1" ht="14.5" hidden="1">
      <c r="A30" s="6">
        <v>29</v>
      </c>
      <c r="B30" s="7" t="s">
        <v>130</v>
      </c>
      <c r="C30" s="7" t="s">
        <v>131</v>
      </c>
      <c r="D30" s="6">
        <v>15378</v>
      </c>
      <c r="E30" s="6"/>
      <c r="F30" s="6"/>
      <c r="G30" s="8"/>
      <c r="H30" s="7" t="s">
        <v>49</v>
      </c>
      <c r="I30" s="7"/>
      <c r="J30" s="6" t="s">
        <v>49</v>
      </c>
      <c r="K30" s="9" t="s">
        <v>49</v>
      </c>
      <c r="L30" s="9" t="s">
        <v>73</v>
      </c>
      <c r="M30" s="12"/>
      <c r="N30" s="10">
        <v>43318</v>
      </c>
      <c r="O30" s="10">
        <v>44897</v>
      </c>
      <c r="P30" s="9" t="s">
        <v>130</v>
      </c>
      <c r="Q30" s="9" t="s">
        <v>107</v>
      </c>
      <c r="R30" s="8"/>
      <c r="S30" s="8"/>
      <c r="T30" s="8"/>
      <c r="U30" s="8"/>
      <c r="V30" s="9" t="s">
        <v>49</v>
      </c>
      <c r="W30" s="9" t="s">
        <v>132</v>
      </c>
      <c r="X30" s="8"/>
      <c r="Y30" s="8"/>
      <c r="Z30" s="12"/>
      <c r="AA30" s="8"/>
      <c r="AB30" s="12"/>
      <c r="AC30" s="12"/>
      <c r="AD30" s="12"/>
      <c r="AE30" s="12"/>
      <c r="AF30" s="8"/>
      <c r="AG30" s="12"/>
      <c r="AH30" s="7" t="s">
        <v>57</v>
      </c>
      <c r="AI30" s="6" t="s">
        <v>71</v>
      </c>
      <c r="AJ30" s="6" t="s">
        <v>49</v>
      </c>
      <c r="AK30" s="6" t="s">
        <v>49</v>
      </c>
      <c r="AL30" s="9" t="s">
        <v>133</v>
      </c>
      <c r="AM30" s="9" t="s">
        <v>49</v>
      </c>
      <c r="AN30" s="6" t="s">
        <v>73</v>
      </c>
      <c r="AO30" s="9" t="s">
        <v>134</v>
      </c>
      <c r="AP30" s="11">
        <v>0</v>
      </c>
      <c r="AQ30" s="11">
        <v>0</v>
      </c>
      <c r="AR30" s="11">
        <v>0</v>
      </c>
      <c r="AS30" s="11">
        <v>0</v>
      </c>
      <c r="AT30" s="11">
        <v>0</v>
      </c>
      <c r="AU30" s="11">
        <v>0</v>
      </c>
      <c r="AV30" s="11">
        <v>0</v>
      </c>
    </row>
    <row r="31" spans="1:49" customFormat="1" ht="14.5" hidden="1">
      <c r="A31" s="6">
        <v>30</v>
      </c>
      <c r="B31" s="7" t="s">
        <v>135</v>
      </c>
      <c r="C31" s="7" t="s">
        <v>86</v>
      </c>
      <c r="D31" s="6">
        <v>12506</v>
      </c>
      <c r="E31" s="6" t="s">
        <v>136</v>
      </c>
      <c r="F31" s="6">
        <v>49076</v>
      </c>
      <c r="G31" s="8"/>
      <c r="H31" s="7" t="s">
        <v>70</v>
      </c>
      <c r="I31" s="7"/>
      <c r="J31" s="6" t="s">
        <v>75</v>
      </c>
      <c r="K31" s="9" t="s">
        <v>89</v>
      </c>
      <c r="L31" s="9" t="s">
        <v>73</v>
      </c>
      <c r="M31" s="14">
        <v>202</v>
      </c>
      <c r="N31" s="10">
        <v>42919</v>
      </c>
      <c r="O31" s="10">
        <v>43845</v>
      </c>
      <c r="P31" s="9" t="s">
        <v>137</v>
      </c>
      <c r="Q31" s="9" t="s">
        <v>138</v>
      </c>
      <c r="R31" s="8"/>
      <c r="S31" s="8"/>
      <c r="T31" s="8"/>
      <c r="U31" s="8"/>
      <c r="V31" s="9" t="s">
        <v>49</v>
      </c>
      <c r="W31" s="9" t="s">
        <v>49</v>
      </c>
      <c r="X31" s="8"/>
      <c r="Y31" s="8"/>
      <c r="Z31" s="6">
        <v>0.20200000000000001</v>
      </c>
      <c r="AA31" s="8"/>
      <c r="AB31" s="6">
        <v>0.20200000000000001</v>
      </c>
      <c r="AC31" s="6">
        <v>0.47199999999999998</v>
      </c>
      <c r="AD31" s="6">
        <v>0.67400000000000004</v>
      </c>
      <c r="AE31" s="6">
        <v>0.16200000000000001</v>
      </c>
      <c r="AF31" s="8"/>
      <c r="AG31" s="6">
        <v>0.16200000000000001</v>
      </c>
      <c r="AH31" s="7" t="s">
        <v>51</v>
      </c>
      <c r="AI31" s="6" t="s">
        <v>49</v>
      </c>
      <c r="AJ31" s="6" t="s">
        <v>49</v>
      </c>
      <c r="AK31" s="6" t="s">
        <v>49</v>
      </c>
      <c r="AL31" s="9" t="s">
        <v>49</v>
      </c>
      <c r="AM31" s="9" t="s">
        <v>139</v>
      </c>
      <c r="AN31" s="6" t="s">
        <v>49</v>
      </c>
      <c r="AO31" s="9" t="s">
        <v>140</v>
      </c>
      <c r="AP31" s="11">
        <v>66.479350000000011</v>
      </c>
      <c r="AQ31" s="11">
        <v>111670.08</v>
      </c>
      <c r="AR31" s="11">
        <v>111670.08208333334</v>
      </c>
      <c r="AS31" s="11">
        <v>588.35106000000007</v>
      </c>
      <c r="AT31" s="11">
        <v>360.01384000000002</v>
      </c>
      <c r="AU31" s="11">
        <v>395</v>
      </c>
      <c r="AV31" s="11" t="s">
        <v>51</v>
      </c>
      <c r="AW31" t="s">
        <v>93</v>
      </c>
    </row>
    <row r="32" spans="1:49" customFormat="1" ht="14.5" hidden="1">
      <c r="A32" s="6">
        <v>31</v>
      </c>
      <c r="B32" s="7" t="s">
        <v>141</v>
      </c>
      <c r="C32" s="7" t="s">
        <v>86</v>
      </c>
      <c r="D32" s="6">
        <v>12506</v>
      </c>
      <c r="E32" s="6" t="s">
        <v>49</v>
      </c>
      <c r="F32" s="8"/>
      <c r="G32" s="8"/>
      <c r="H32" s="7" t="s">
        <v>49</v>
      </c>
      <c r="I32" s="7"/>
      <c r="J32" s="6" t="s">
        <v>49</v>
      </c>
      <c r="K32" s="9" t="s">
        <v>49</v>
      </c>
      <c r="L32" s="9" t="s">
        <v>49</v>
      </c>
      <c r="M32" s="8"/>
      <c r="N32" s="10">
        <v>42919</v>
      </c>
      <c r="O32" s="10">
        <v>43845</v>
      </c>
      <c r="P32" s="9" t="s">
        <v>49</v>
      </c>
      <c r="Q32" s="9" t="s">
        <v>49</v>
      </c>
      <c r="R32" s="8"/>
      <c r="S32" s="8"/>
      <c r="T32" s="8"/>
      <c r="U32" s="8"/>
      <c r="V32" s="9" t="s">
        <v>49</v>
      </c>
      <c r="W32" s="9" t="s">
        <v>49</v>
      </c>
      <c r="X32" s="8"/>
      <c r="Y32" s="8"/>
      <c r="Z32" s="8"/>
      <c r="AA32" s="8"/>
      <c r="AB32" s="8"/>
      <c r="AC32" s="8"/>
      <c r="AD32" s="8"/>
      <c r="AE32" s="8"/>
      <c r="AF32" s="8"/>
      <c r="AG32" s="8"/>
      <c r="AH32" s="7" t="s">
        <v>51</v>
      </c>
      <c r="AI32" s="6" t="s">
        <v>71</v>
      </c>
      <c r="AJ32" s="6" t="s">
        <v>49</v>
      </c>
      <c r="AK32" s="6" t="s">
        <v>118</v>
      </c>
      <c r="AL32" s="9" t="s">
        <v>139</v>
      </c>
      <c r="AM32" s="9" t="s">
        <v>49</v>
      </c>
      <c r="AN32" s="6" t="s">
        <v>96</v>
      </c>
      <c r="AO32" s="9" t="s">
        <v>49</v>
      </c>
      <c r="AP32" s="11">
        <v>7248.8885899999996</v>
      </c>
      <c r="AQ32" s="11">
        <v>0</v>
      </c>
      <c r="AR32" s="11">
        <v>0</v>
      </c>
      <c r="AS32" s="11">
        <v>41681.266040000002</v>
      </c>
      <c r="AT32" s="11">
        <v>0</v>
      </c>
      <c r="AU32" s="11">
        <v>0</v>
      </c>
      <c r="AV32" s="11">
        <v>0</v>
      </c>
    </row>
    <row r="33" spans="1:50" customFormat="1" ht="14.5" hidden="1">
      <c r="A33" s="6">
        <v>32</v>
      </c>
      <c r="B33" s="7" t="s">
        <v>142</v>
      </c>
      <c r="C33" s="7" t="s">
        <v>49</v>
      </c>
      <c r="D33" s="6">
        <v>15367</v>
      </c>
      <c r="E33" s="6" t="s">
        <v>143</v>
      </c>
      <c r="F33" s="8"/>
      <c r="G33" s="8"/>
      <c r="H33" s="7" t="s">
        <v>49</v>
      </c>
      <c r="I33" s="7"/>
      <c r="J33" s="6" t="s">
        <v>49</v>
      </c>
      <c r="K33" s="9" t="s">
        <v>49</v>
      </c>
      <c r="L33" s="9" t="s">
        <v>49</v>
      </c>
      <c r="M33" s="8"/>
      <c r="N33" s="10">
        <v>43598</v>
      </c>
      <c r="O33" s="10">
        <v>43859</v>
      </c>
      <c r="P33" s="9" t="s">
        <v>49</v>
      </c>
      <c r="Q33" s="9" t="s">
        <v>49</v>
      </c>
      <c r="R33" s="8"/>
      <c r="S33" s="8"/>
      <c r="T33" s="8"/>
      <c r="U33" s="8"/>
      <c r="V33" s="9" t="s">
        <v>49</v>
      </c>
      <c r="W33" s="9" t="s">
        <v>49</v>
      </c>
      <c r="X33" s="8"/>
      <c r="Y33" s="8"/>
      <c r="Z33" s="8"/>
      <c r="AA33" s="8"/>
      <c r="AB33" s="8"/>
      <c r="AC33" s="8"/>
      <c r="AD33" s="8"/>
      <c r="AE33" s="8"/>
      <c r="AF33" s="8"/>
      <c r="AG33" s="8"/>
      <c r="AH33" s="7" t="s">
        <v>57</v>
      </c>
      <c r="AI33" s="6" t="s">
        <v>49</v>
      </c>
      <c r="AJ33" s="6" t="s">
        <v>49</v>
      </c>
      <c r="AK33" s="6" t="s">
        <v>49</v>
      </c>
      <c r="AL33" s="9" t="s">
        <v>49</v>
      </c>
      <c r="AM33" s="9" t="s">
        <v>122</v>
      </c>
      <c r="AN33" s="6" t="s">
        <v>49</v>
      </c>
      <c r="AO33" s="9" t="s">
        <v>122</v>
      </c>
      <c r="AP33" s="11">
        <v>0</v>
      </c>
      <c r="AQ33" s="11">
        <v>0</v>
      </c>
      <c r="AR33" s="11">
        <v>0</v>
      </c>
      <c r="AS33" s="11">
        <v>180.57220999999998</v>
      </c>
      <c r="AT33" s="11">
        <v>0</v>
      </c>
      <c r="AU33" s="11">
        <v>0</v>
      </c>
      <c r="AV33" s="11" t="s">
        <v>57</v>
      </c>
    </row>
    <row r="34" spans="1:50" customFormat="1" ht="14.5" hidden="1">
      <c r="A34" s="6">
        <v>33</v>
      </c>
      <c r="B34" s="7" t="s">
        <v>144</v>
      </c>
      <c r="C34" s="7" t="s">
        <v>81</v>
      </c>
      <c r="D34" s="6">
        <v>15522</v>
      </c>
      <c r="E34" s="6" t="s">
        <v>49</v>
      </c>
      <c r="F34" s="12"/>
      <c r="G34" s="8"/>
      <c r="H34" s="7" t="s">
        <v>49</v>
      </c>
      <c r="I34" s="7"/>
      <c r="J34" s="6" t="s">
        <v>49</v>
      </c>
      <c r="K34" s="9" t="s">
        <v>49</v>
      </c>
      <c r="L34" s="9" t="s">
        <v>49</v>
      </c>
      <c r="M34" s="12"/>
      <c r="N34" s="10">
        <v>43500</v>
      </c>
      <c r="O34" s="10">
        <v>43889</v>
      </c>
      <c r="P34" s="9" t="s">
        <v>49</v>
      </c>
      <c r="Q34" s="9" t="s">
        <v>49</v>
      </c>
      <c r="R34" s="12"/>
      <c r="S34" s="12"/>
      <c r="T34" s="12"/>
      <c r="U34" s="12"/>
      <c r="V34" s="9" t="s">
        <v>49</v>
      </c>
      <c r="W34" s="9" t="s">
        <v>49</v>
      </c>
      <c r="X34" s="12"/>
      <c r="Y34" s="8"/>
      <c r="Z34" s="12"/>
      <c r="AA34" s="8"/>
      <c r="AB34" s="12"/>
      <c r="AC34" s="12"/>
      <c r="AD34" s="12"/>
      <c r="AE34" s="12"/>
      <c r="AF34" s="8"/>
      <c r="AG34" s="12"/>
      <c r="AH34" s="7" t="s">
        <v>57</v>
      </c>
      <c r="AI34" s="6" t="s">
        <v>71</v>
      </c>
      <c r="AJ34" s="6" t="s">
        <v>49</v>
      </c>
      <c r="AK34" s="6" t="s">
        <v>49</v>
      </c>
      <c r="AL34" s="9" t="s">
        <v>145</v>
      </c>
      <c r="AM34" s="9" t="s">
        <v>49</v>
      </c>
      <c r="AN34" s="6" t="s">
        <v>82</v>
      </c>
      <c r="AO34" s="9" t="s">
        <v>49</v>
      </c>
      <c r="AP34" s="11">
        <v>7248.8885899999996</v>
      </c>
      <c r="AQ34" s="11">
        <v>0</v>
      </c>
      <c r="AR34" s="11">
        <v>0</v>
      </c>
      <c r="AS34" s="11">
        <v>41681.266040000002</v>
      </c>
      <c r="AT34" s="11">
        <v>0</v>
      </c>
      <c r="AU34" s="11">
        <v>0</v>
      </c>
      <c r="AV34" s="11">
        <v>0</v>
      </c>
    </row>
    <row r="35" spans="1:50" ht="13.5" customHeight="1">
      <c r="A35" s="64"/>
      <c r="B35" s="47" t="s">
        <v>926</v>
      </c>
      <c r="C35" s="47" t="s">
        <v>569</v>
      </c>
      <c r="D35" s="67" t="s">
        <v>104</v>
      </c>
      <c r="E35" s="6" t="s">
        <v>104</v>
      </c>
      <c r="H35" s="64" t="s">
        <v>88</v>
      </c>
      <c r="I35" s="64" t="s">
        <v>147</v>
      </c>
      <c r="J35" s="64"/>
      <c r="K35" s="64"/>
      <c r="L35" s="69"/>
      <c r="N35" s="69"/>
      <c r="O35" s="69"/>
      <c r="P35" s="69"/>
      <c r="Q35" s="69"/>
      <c r="R35" s="45">
        <v>52.19</v>
      </c>
      <c r="S35" s="45">
        <v>232.2</v>
      </c>
      <c r="T35">
        <v>235.6</v>
      </c>
      <c r="U35" s="45">
        <v>4.5</v>
      </c>
      <c r="V35" s="78">
        <v>0.25</v>
      </c>
      <c r="W35" s="69" t="s">
        <v>108</v>
      </c>
      <c r="AH35" s="69"/>
      <c r="AI35" s="69"/>
      <c r="AJ35" s="69"/>
      <c r="AK35" s="69"/>
      <c r="AL35" s="69"/>
      <c r="AM35" s="69"/>
      <c r="AN35" s="69"/>
      <c r="AO35" s="69"/>
      <c r="AR35" s="11">
        <v>0</v>
      </c>
      <c r="AX35" s="60" t="s">
        <v>926</v>
      </c>
    </row>
    <row r="36" spans="1:50" customFormat="1" ht="14.5" hidden="1">
      <c r="A36" s="6">
        <v>35</v>
      </c>
      <c r="B36" s="7" t="s">
        <v>148</v>
      </c>
      <c r="C36" s="7" t="s">
        <v>49</v>
      </c>
      <c r="D36" s="6">
        <v>15298</v>
      </c>
      <c r="E36" s="6" t="s">
        <v>49</v>
      </c>
      <c r="F36" s="8"/>
      <c r="G36" s="8"/>
      <c r="H36" s="7" t="s">
        <v>49</v>
      </c>
      <c r="I36" s="7"/>
      <c r="J36" s="6" t="s">
        <v>49</v>
      </c>
      <c r="K36" s="9" t="s">
        <v>49</v>
      </c>
      <c r="L36" s="9" t="s">
        <v>49</v>
      </c>
      <c r="M36" s="8"/>
      <c r="N36" s="10">
        <v>42916</v>
      </c>
      <c r="O36" s="10">
        <v>44196</v>
      </c>
      <c r="P36" s="9" t="s">
        <v>49</v>
      </c>
      <c r="Q36" s="9" t="s">
        <v>49</v>
      </c>
      <c r="R36" s="8"/>
      <c r="S36" s="8"/>
      <c r="T36" s="8"/>
      <c r="U36" s="8"/>
      <c r="V36" s="9" t="s">
        <v>49</v>
      </c>
      <c r="W36" s="9" t="s">
        <v>49</v>
      </c>
      <c r="X36" s="8"/>
      <c r="Y36" s="8"/>
      <c r="Z36" s="8"/>
      <c r="AA36" s="8"/>
      <c r="AB36" s="8"/>
      <c r="AC36" s="8"/>
      <c r="AD36" s="8"/>
      <c r="AE36" s="8"/>
      <c r="AF36" s="8"/>
      <c r="AG36" s="8"/>
      <c r="AH36" s="7" t="s">
        <v>51</v>
      </c>
      <c r="AI36" s="6" t="s">
        <v>71</v>
      </c>
      <c r="AJ36" s="6" t="s">
        <v>49</v>
      </c>
      <c r="AK36" s="6" t="s">
        <v>49</v>
      </c>
      <c r="AL36" s="9" t="s">
        <v>149</v>
      </c>
      <c r="AM36" s="9" t="s">
        <v>49</v>
      </c>
      <c r="AN36" s="6" t="s">
        <v>96</v>
      </c>
      <c r="AO36" s="9" t="s">
        <v>49</v>
      </c>
      <c r="AP36" s="11">
        <v>7248.8885899999996</v>
      </c>
      <c r="AQ36" s="11">
        <v>0</v>
      </c>
      <c r="AR36" s="11">
        <v>0</v>
      </c>
      <c r="AS36" s="11">
        <v>41681.266040000002</v>
      </c>
      <c r="AT36" s="11">
        <v>0</v>
      </c>
      <c r="AU36" s="11">
        <v>0</v>
      </c>
      <c r="AV36" s="11">
        <v>0</v>
      </c>
    </row>
    <row r="37" spans="1:50" customFormat="1" ht="14.5" hidden="1">
      <c r="A37" s="6">
        <v>36</v>
      </c>
      <c r="B37" s="7" t="s">
        <v>150</v>
      </c>
      <c r="C37" s="7" t="s">
        <v>49</v>
      </c>
      <c r="D37" s="6">
        <v>15298</v>
      </c>
      <c r="E37" s="6" t="s">
        <v>151</v>
      </c>
      <c r="F37" s="8"/>
      <c r="G37" s="8"/>
      <c r="H37" s="7" t="s">
        <v>49</v>
      </c>
      <c r="I37" s="7"/>
      <c r="J37" s="6" t="s">
        <v>49</v>
      </c>
      <c r="K37" s="9" t="s">
        <v>49</v>
      </c>
      <c r="L37" s="9" t="s">
        <v>49</v>
      </c>
      <c r="M37" s="8"/>
      <c r="N37" s="10">
        <v>42916</v>
      </c>
      <c r="O37" s="10">
        <v>44196</v>
      </c>
      <c r="P37" s="9" t="s">
        <v>49</v>
      </c>
      <c r="Q37" s="9" t="s">
        <v>49</v>
      </c>
      <c r="R37" s="8"/>
      <c r="S37" s="8"/>
      <c r="T37" s="8"/>
      <c r="U37" s="8"/>
      <c r="V37" s="9" t="s">
        <v>49</v>
      </c>
      <c r="W37" s="9" t="s">
        <v>49</v>
      </c>
      <c r="X37" s="8"/>
      <c r="Y37" s="8"/>
      <c r="Z37" s="8"/>
      <c r="AA37" s="8"/>
      <c r="AB37" s="8"/>
      <c r="AC37" s="8"/>
      <c r="AD37" s="8"/>
      <c r="AE37" s="8"/>
      <c r="AF37" s="8"/>
      <c r="AG37" s="8"/>
      <c r="AH37" s="7" t="s">
        <v>57</v>
      </c>
      <c r="AI37" s="6" t="s">
        <v>49</v>
      </c>
      <c r="AJ37" s="6" t="s">
        <v>49</v>
      </c>
      <c r="AK37" s="6" t="s">
        <v>49</v>
      </c>
      <c r="AL37" s="9" t="s">
        <v>49</v>
      </c>
      <c r="AM37" s="9" t="s">
        <v>102</v>
      </c>
      <c r="AN37" s="6" t="s">
        <v>49</v>
      </c>
      <c r="AO37" s="9" t="s">
        <v>102</v>
      </c>
      <c r="AP37" s="11">
        <v>0</v>
      </c>
      <c r="AQ37" s="11">
        <v>0</v>
      </c>
      <c r="AR37" s="11">
        <v>0</v>
      </c>
      <c r="AS37" s="11">
        <v>0</v>
      </c>
      <c r="AT37" s="11">
        <v>0</v>
      </c>
      <c r="AU37" s="11">
        <v>0</v>
      </c>
      <c r="AV37" s="11" t="s">
        <v>57</v>
      </c>
    </row>
    <row r="38" spans="1:50" customFormat="1" ht="14.5" hidden="1">
      <c r="A38" s="6">
        <v>37</v>
      </c>
      <c r="B38" s="7" t="s">
        <v>152</v>
      </c>
      <c r="C38" s="7" t="s">
        <v>49</v>
      </c>
      <c r="D38" s="6">
        <v>12583</v>
      </c>
      <c r="E38" s="6" t="s">
        <v>153</v>
      </c>
      <c r="F38" s="8"/>
      <c r="G38" s="8"/>
      <c r="H38" s="7" t="s">
        <v>49</v>
      </c>
      <c r="I38" s="7"/>
      <c r="J38" s="6" t="s">
        <v>49</v>
      </c>
      <c r="K38" s="9" t="s">
        <v>49</v>
      </c>
      <c r="L38" s="9" t="s">
        <v>49</v>
      </c>
      <c r="M38" s="8"/>
      <c r="N38" s="10">
        <v>42737</v>
      </c>
      <c r="O38" s="10">
        <v>43831</v>
      </c>
      <c r="P38" s="9" t="s">
        <v>49</v>
      </c>
      <c r="Q38" s="9" t="s">
        <v>49</v>
      </c>
      <c r="R38" s="8"/>
      <c r="S38" s="8"/>
      <c r="T38" s="8"/>
      <c r="U38" s="8"/>
      <c r="V38" s="9" t="s">
        <v>49</v>
      </c>
      <c r="W38" s="9" t="s">
        <v>49</v>
      </c>
      <c r="X38" s="8"/>
      <c r="Y38" s="8"/>
      <c r="Z38" s="8"/>
      <c r="AA38" s="8"/>
      <c r="AB38" s="8"/>
      <c r="AC38" s="8"/>
      <c r="AD38" s="8"/>
      <c r="AE38" s="8"/>
      <c r="AF38" s="8"/>
      <c r="AG38" s="8"/>
      <c r="AH38" s="7" t="s">
        <v>51</v>
      </c>
      <c r="AI38" s="6" t="s">
        <v>49</v>
      </c>
      <c r="AJ38" s="6" t="s">
        <v>49</v>
      </c>
      <c r="AK38" s="6" t="s">
        <v>49</v>
      </c>
      <c r="AL38" s="9" t="s">
        <v>49</v>
      </c>
      <c r="AM38" s="9" t="s">
        <v>154</v>
      </c>
      <c r="AN38" s="6" t="s">
        <v>49</v>
      </c>
      <c r="AO38" s="9" t="s">
        <v>154</v>
      </c>
      <c r="AP38" s="11">
        <v>0</v>
      </c>
      <c r="AQ38" s="11">
        <v>0</v>
      </c>
      <c r="AR38" s="11">
        <v>0</v>
      </c>
      <c r="AS38" s="11">
        <v>0</v>
      </c>
      <c r="AT38" s="11">
        <v>0</v>
      </c>
      <c r="AU38" s="11">
        <v>0</v>
      </c>
      <c r="AV38" s="11" t="s">
        <v>51</v>
      </c>
    </row>
    <row r="39" spans="1:50" customFormat="1" ht="14.5" hidden="1">
      <c r="A39" s="6">
        <v>38</v>
      </c>
      <c r="B39" s="7" t="s">
        <v>155</v>
      </c>
      <c r="C39" s="7" t="s">
        <v>49</v>
      </c>
      <c r="D39" s="6">
        <v>12583</v>
      </c>
      <c r="E39" s="6" t="s">
        <v>49</v>
      </c>
      <c r="F39" s="8"/>
      <c r="G39" s="8"/>
      <c r="H39" s="7" t="s">
        <v>49</v>
      </c>
      <c r="I39" s="7"/>
      <c r="J39" s="6" t="s">
        <v>49</v>
      </c>
      <c r="K39" s="9" t="s">
        <v>49</v>
      </c>
      <c r="L39" s="9" t="s">
        <v>49</v>
      </c>
      <c r="M39" s="8"/>
      <c r="N39" s="10">
        <v>42704</v>
      </c>
      <c r="O39" s="10">
        <v>45687</v>
      </c>
      <c r="P39" s="9" t="s">
        <v>49</v>
      </c>
      <c r="Q39" s="9" t="s">
        <v>49</v>
      </c>
      <c r="R39" s="8"/>
      <c r="S39" s="8"/>
      <c r="T39" s="8"/>
      <c r="U39" s="8"/>
      <c r="V39" s="9" t="s">
        <v>49</v>
      </c>
      <c r="W39" s="9" t="s">
        <v>49</v>
      </c>
      <c r="X39" s="8"/>
      <c r="Y39" s="8"/>
      <c r="Z39" s="8"/>
      <c r="AA39" s="12"/>
      <c r="AB39" s="12"/>
      <c r="AC39" s="8"/>
      <c r="AD39" s="12"/>
      <c r="AE39" s="8"/>
      <c r="AF39" s="12"/>
      <c r="AG39" s="12"/>
      <c r="AH39" s="7" t="s">
        <v>51</v>
      </c>
      <c r="AI39" s="6" t="s">
        <v>71</v>
      </c>
      <c r="AJ39" s="6" t="s">
        <v>49</v>
      </c>
      <c r="AK39" s="6" t="s">
        <v>118</v>
      </c>
      <c r="AL39" s="9" t="s">
        <v>156</v>
      </c>
      <c r="AM39" s="9" t="s">
        <v>49</v>
      </c>
      <c r="AN39" s="6" t="s">
        <v>96</v>
      </c>
      <c r="AO39" s="9" t="s">
        <v>49</v>
      </c>
      <c r="AP39" s="11">
        <v>7248.8885899999996</v>
      </c>
      <c r="AQ39" s="11">
        <v>0</v>
      </c>
      <c r="AR39" s="11">
        <v>0</v>
      </c>
      <c r="AS39" s="11">
        <v>41681.266040000002</v>
      </c>
      <c r="AT39" s="11">
        <v>0</v>
      </c>
      <c r="AU39" s="11">
        <v>0</v>
      </c>
      <c r="AV39" s="11">
        <v>0</v>
      </c>
    </row>
    <row r="40" spans="1:50" customFormat="1" ht="14.5" hidden="1">
      <c r="A40" s="6">
        <v>39</v>
      </c>
      <c r="B40" s="7" t="s">
        <v>157</v>
      </c>
      <c r="C40" s="7" t="s">
        <v>49</v>
      </c>
      <c r="D40" s="6">
        <v>12583</v>
      </c>
      <c r="E40" s="6" t="s">
        <v>158</v>
      </c>
      <c r="F40" s="12"/>
      <c r="G40" s="8"/>
      <c r="H40" s="7" t="s">
        <v>49</v>
      </c>
      <c r="I40" s="7"/>
      <c r="J40" s="6" t="s">
        <v>49</v>
      </c>
      <c r="K40" s="9" t="s">
        <v>49</v>
      </c>
      <c r="L40" s="9" t="s">
        <v>49</v>
      </c>
      <c r="M40" s="12"/>
      <c r="N40" s="10">
        <v>42738</v>
      </c>
      <c r="O40" s="10">
        <v>45687</v>
      </c>
      <c r="P40" s="9" t="s">
        <v>49</v>
      </c>
      <c r="Q40" s="9" t="s">
        <v>49</v>
      </c>
      <c r="R40" s="12"/>
      <c r="S40" s="12"/>
      <c r="T40" s="12"/>
      <c r="U40" s="12"/>
      <c r="V40" s="9" t="s">
        <v>49</v>
      </c>
      <c r="W40" s="9" t="s">
        <v>49</v>
      </c>
      <c r="X40" s="8"/>
      <c r="Y40" s="8"/>
      <c r="Z40" s="12"/>
      <c r="AA40" s="8"/>
      <c r="AB40" s="12"/>
      <c r="AC40" s="12"/>
      <c r="AD40" s="12"/>
      <c r="AE40" s="12"/>
      <c r="AF40" s="8"/>
      <c r="AG40" s="12"/>
      <c r="AH40" s="7" t="s">
        <v>51</v>
      </c>
      <c r="AI40" s="6" t="s">
        <v>49</v>
      </c>
      <c r="AJ40" s="6" t="s">
        <v>49</v>
      </c>
      <c r="AK40" s="6" t="s">
        <v>49</v>
      </c>
      <c r="AL40" s="9" t="s">
        <v>49</v>
      </c>
      <c r="AM40" s="9" t="s">
        <v>156</v>
      </c>
      <c r="AN40" s="6" t="s">
        <v>49</v>
      </c>
      <c r="AO40" s="9" t="s">
        <v>159</v>
      </c>
      <c r="AP40" s="11">
        <v>0</v>
      </c>
      <c r="AQ40" s="11">
        <v>0</v>
      </c>
      <c r="AR40" s="11">
        <v>0</v>
      </c>
      <c r="AS40" s="11">
        <v>0</v>
      </c>
      <c r="AT40" s="11">
        <v>0</v>
      </c>
      <c r="AU40" s="11">
        <v>0</v>
      </c>
      <c r="AV40" s="11" t="s">
        <v>51</v>
      </c>
    </row>
    <row r="41" spans="1:50" customFormat="1" ht="14.5" hidden="1">
      <c r="A41" s="6">
        <v>40</v>
      </c>
      <c r="B41" s="7" t="s">
        <v>160</v>
      </c>
      <c r="C41" s="7" t="s">
        <v>49</v>
      </c>
      <c r="D41" s="6">
        <v>12583</v>
      </c>
      <c r="E41" s="6" t="s">
        <v>161</v>
      </c>
      <c r="F41" s="8"/>
      <c r="G41" s="8"/>
      <c r="H41" s="7" t="s">
        <v>88</v>
      </c>
      <c r="I41" s="7"/>
      <c r="J41" s="6" t="s">
        <v>75</v>
      </c>
      <c r="K41" s="9" t="s">
        <v>76</v>
      </c>
      <c r="L41" s="9" t="s">
        <v>49</v>
      </c>
      <c r="M41" s="8"/>
      <c r="N41" s="10">
        <v>42766</v>
      </c>
      <c r="O41" s="10">
        <v>43860</v>
      </c>
      <c r="P41" s="9" t="s">
        <v>49</v>
      </c>
      <c r="Q41" s="9" t="s">
        <v>49</v>
      </c>
      <c r="R41" s="8"/>
      <c r="S41" s="8"/>
      <c r="T41" s="8"/>
      <c r="U41" s="8"/>
      <c r="V41" s="9" t="s">
        <v>49</v>
      </c>
      <c r="W41" s="9" t="s">
        <v>49</v>
      </c>
      <c r="X41" s="8"/>
      <c r="Y41" s="8"/>
      <c r="Z41" s="8"/>
      <c r="AA41" s="6">
        <v>0.309</v>
      </c>
      <c r="AB41" s="6">
        <v>0.309</v>
      </c>
      <c r="AC41" s="8"/>
      <c r="AD41" s="6">
        <v>0.309</v>
      </c>
      <c r="AE41" s="8"/>
      <c r="AF41" s="6">
        <v>0.155</v>
      </c>
      <c r="AG41" s="6">
        <v>0.155</v>
      </c>
      <c r="AH41" s="7" t="s">
        <v>51</v>
      </c>
      <c r="AI41" s="6" t="s">
        <v>49</v>
      </c>
      <c r="AJ41" s="6" t="s">
        <v>49</v>
      </c>
      <c r="AK41" s="6" t="s">
        <v>49</v>
      </c>
      <c r="AL41" s="9" t="s">
        <v>49</v>
      </c>
      <c r="AM41" s="9" t="s">
        <v>156</v>
      </c>
      <c r="AN41" s="6" t="s">
        <v>49</v>
      </c>
      <c r="AO41" s="9" t="s">
        <v>162</v>
      </c>
      <c r="AP41" s="11">
        <v>0</v>
      </c>
      <c r="AQ41" s="11">
        <v>0</v>
      </c>
      <c r="AR41" s="11">
        <v>0</v>
      </c>
      <c r="AS41" s="11">
        <v>0</v>
      </c>
      <c r="AT41" s="11">
        <v>0</v>
      </c>
      <c r="AU41" s="11">
        <v>0</v>
      </c>
      <c r="AV41" s="11" t="s">
        <v>51</v>
      </c>
    </row>
    <row r="42" spans="1:50" customFormat="1" ht="14.5" hidden="1">
      <c r="A42" s="6">
        <v>41</v>
      </c>
      <c r="B42" s="7" t="s">
        <v>163</v>
      </c>
      <c r="C42" s="7" t="s">
        <v>49</v>
      </c>
      <c r="D42" s="6">
        <v>12583</v>
      </c>
      <c r="E42" s="6" t="s">
        <v>164</v>
      </c>
      <c r="F42" s="8"/>
      <c r="G42" s="8"/>
      <c r="H42" s="7" t="s">
        <v>49</v>
      </c>
      <c r="I42" s="7"/>
      <c r="J42" s="6" t="s">
        <v>49</v>
      </c>
      <c r="K42" s="9" t="s">
        <v>49</v>
      </c>
      <c r="L42" s="9" t="s">
        <v>49</v>
      </c>
      <c r="M42" s="8"/>
      <c r="N42" s="10">
        <v>42704</v>
      </c>
      <c r="O42" s="10">
        <v>43831</v>
      </c>
      <c r="P42" s="9" t="s">
        <v>49</v>
      </c>
      <c r="Q42" s="9" t="s">
        <v>49</v>
      </c>
      <c r="R42" s="8"/>
      <c r="S42" s="8"/>
      <c r="T42" s="8"/>
      <c r="U42" s="8"/>
      <c r="V42" s="9" t="s">
        <v>49</v>
      </c>
      <c r="W42" s="9" t="s">
        <v>49</v>
      </c>
      <c r="X42" s="8"/>
      <c r="Y42" s="8"/>
      <c r="Z42" s="8"/>
      <c r="AA42" s="8"/>
      <c r="AB42" s="8"/>
      <c r="AC42" s="8"/>
      <c r="AD42" s="8"/>
      <c r="AE42" s="8"/>
      <c r="AF42" s="8"/>
      <c r="AG42" s="8"/>
      <c r="AH42" s="7" t="s">
        <v>51</v>
      </c>
      <c r="AI42" s="6" t="s">
        <v>49</v>
      </c>
      <c r="AJ42" s="6" t="s">
        <v>49</v>
      </c>
      <c r="AK42" s="6" t="s">
        <v>49</v>
      </c>
      <c r="AL42" s="9" t="s">
        <v>49</v>
      </c>
      <c r="AM42" s="9" t="s">
        <v>156</v>
      </c>
      <c r="AN42" s="6" t="s">
        <v>49</v>
      </c>
      <c r="AO42" s="9" t="s">
        <v>162</v>
      </c>
      <c r="AP42" s="11">
        <v>0</v>
      </c>
      <c r="AQ42" s="11">
        <v>0</v>
      </c>
      <c r="AR42" s="11">
        <v>0</v>
      </c>
      <c r="AS42" s="11">
        <v>0</v>
      </c>
      <c r="AT42" s="11">
        <v>0</v>
      </c>
      <c r="AU42" s="11">
        <v>0</v>
      </c>
      <c r="AV42" s="11" t="s">
        <v>51</v>
      </c>
    </row>
    <row r="43" spans="1:50" customFormat="1" ht="14.5" hidden="1">
      <c r="A43" s="6">
        <v>42</v>
      </c>
      <c r="B43" s="7" t="s">
        <v>165</v>
      </c>
      <c r="C43" s="7" t="s">
        <v>49</v>
      </c>
      <c r="D43" s="6">
        <v>12583</v>
      </c>
      <c r="E43" s="6" t="s">
        <v>166</v>
      </c>
      <c r="F43" s="8"/>
      <c r="G43" s="8"/>
      <c r="H43" s="7" t="s">
        <v>49</v>
      </c>
      <c r="I43" s="7"/>
      <c r="J43" s="6" t="s">
        <v>49</v>
      </c>
      <c r="K43" s="9" t="s">
        <v>49</v>
      </c>
      <c r="L43" s="9" t="s">
        <v>49</v>
      </c>
      <c r="M43" s="8"/>
      <c r="N43" s="10">
        <v>42916</v>
      </c>
      <c r="O43" s="10">
        <v>43860</v>
      </c>
      <c r="P43" s="9" t="s">
        <v>49</v>
      </c>
      <c r="Q43" s="9" t="s">
        <v>49</v>
      </c>
      <c r="R43" s="8"/>
      <c r="S43" s="8"/>
      <c r="T43" s="8"/>
      <c r="U43" s="8"/>
      <c r="V43" s="9" t="s">
        <v>49</v>
      </c>
      <c r="W43" s="9" t="s">
        <v>49</v>
      </c>
      <c r="X43" s="8"/>
      <c r="Y43" s="8"/>
      <c r="Z43" s="8"/>
      <c r="AA43" s="8"/>
      <c r="AB43" s="8"/>
      <c r="AC43" s="8"/>
      <c r="AD43" s="8"/>
      <c r="AE43" s="8"/>
      <c r="AF43" s="8"/>
      <c r="AG43" s="8"/>
      <c r="AH43" s="7" t="s">
        <v>51</v>
      </c>
      <c r="AI43" s="6" t="s">
        <v>49</v>
      </c>
      <c r="AJ43" s="6" t="s">
        <v>49</v>
      </c>
      <c r="AK43" s="6" t="s">
        <v>49</v>
      </c>
      <c r="AL43" s="9" t="s">
        <v>49</v>
      </c>
      <c r="AM43" s="9" t="s">
        <v>156</v>
      </c>
      <c r="AN43" s="6" t="s">
        <v>49</v>
      </c>
      <c r="AO43" s="9" t="s">
        <v>162</v>
      </c>
      <c r="AP43" s="11">
        <v>0</v>
      </c>
      <c r="AQ43" s="11">
        <v>0</v>
      </c>
      <c r="AR43" s="11">
        <v>0</v>
      </c>
      <c r="AS43" s="11">
        <v>0</v>
      </c>
      <c r="AT43" s="11">
        <v>0</v>
      </c>
      <c r="AU43" s="11">
        <v>0</v>
      </c>
      <c r="AV43" s="11" t="s">
        <v>51</v>
      </c>
    </row>
    <row r="44" spans="1:50" customFormat="1" ht="14.5" hidden="1">
      <c r="A44" s="6">
        <v>43</v>
      </c>
      <c r="B44" s="7" t="s">
        <v>167</v>
      </c>
      <c r="C44" s="7" t="s">
        <v>49</v>
      </c>
      <c r="D44" s="6">
        <v>12583</v>
      </c>
      <c r="E44" s="6" t="s">
        <v>168</v>
      </c>
      <c r="F44" s="8"/>
      <c r="G44" s="8"/>
      <c r="H44" s="7" t="s">
        <v>49</v>
      </c>
      <c r="I44" s="7"/>
      <c r="J44" s="6" t="s">
        <v>49</v>
      </c>
      <c r="K44" s="9" t="s">
        <v>49</v>
      </c>
      <c r="L44" s="9" t="s">
        <v>49</v>
      </c>
      <c r="M44" s="12"/>
      <c r="N44" s="10">
        <v>42762</v>
      </c>
      <c r="O44" s="10">
        <v>43860</v>
      </c>
      <c r="P44" s="9" t="s">
        <v>49</v>
      </c>
      <c r="Q44" s="9" t="s">
        <v>49</v>
      </c>
      <c r="R44" s="8"/>
      <c r="S44" s="8"/>
      <c r="T44" s="8"/>
      <c r="U44" s="8"/>
      <c r="V44" s="9" t="s">
        <v>49</v>
      </c>
      <c r="W44" s="9" t="s">
        <v>49</v>
      </c>
      <c r="X44" s="8"/>
      <c r="Y44" s="8"/>
      <c r="Z44" s="8"/>
      <c r="AA44" s="8"/>
      <c r="AB44" s="8"/>
      <c r="AC44" s="8"/>
      <c r="AD44" s="8"/>
      <c r="AE44" s="8"/>
      <c r="AF44" s="8"/>
      <c r="AG44" s="8"/>
      <c r="AH44" s="7" t="s">
        <v>51</v>
      </c>
      <c r="AI44" s="6" t="s">
        <v>49</v>
      </c>
      <c r="AJ44" s="6" t="s">
        <v>49</v>
      </c>
      <c r="AK44" s="6" t="s">
        <v>49</v>
      </c>
      <c r="AL44" s="9" t="s">
        <v>49</v>
      </c>
      <c r="AM44" s="9" t="s">
        <v>156</v>
      </c>
      <c r="AN44" s="6" t="s">
        <v>49</v>
      </c>
      <c r="AO44" s="9" t="s">
        <v>162</v>
      </c>
      <c r="AP44" s="11">
        <v>0</v>
      </c>
      <c r="AQ44" s="11">
        <v>0</v>
      </c>
      <c r="AR44" s="11">
        <v>0</v>
      </c>
      <c r="AS44" s="11">
        <v>0</v>
      </c>
      <c r="AT44" s="11">
        <v>0</v>
      </c>
      <c r="AU44" s="11">
        <v>0</v>
      </c>
      <c r="AV44" s="11" t="s">
        <v>51</v>
      </c>
    </row>
    <row r="45" spans="1:50" customFormat="1" ht="14.5" hidden="1">
      <c r="A45" s="6">
        <v>44</v>
      </c>
      <c r="B45" s="7" t="s">
        <v>169</v>
      </c>
      <c r="C45" s="7" t="s">
        <v>49</v>
      </c>
      <c r="D45" s="6">
        <v>12583</v>
      </c>
      <c r="E45" s="6" t="s">
        <v>170</v>
      </c>
      <c r="F45" s="8"/>
      <c r="G45" s="8"/>
      <c r="H45" s="7" t="s">
        <v>49</v>
      </c>
      <c r="I45" s="7"/>
      <c r="J45" s="6" t="s">
        <v>49</v>
      </c>
      <c r="K45" s="9" t="s">
        <v>49</v>
      </c>
      <c r="L45" s="9" t="s">
        <v>49</v>
      </c>
      <c r="M45" s="8"/>
      <c r="N45" s="10">
        <v>42738</v>
      </c>
      <c r="O45" s="10">
        <v>43042</v>
      </c>
      <c r="P45" s="9" t="s">
        <v>49</v>
      </c>
      <c r="Q45" s="9" t="s">
        <v>49</v>
      </c>
      <c r="R45" s="8"/>
      <c r="S45" s="8"/>
      <c r="T45" s="8"/>
      <c r="U45" s="8"/>
      <c r="V45" s="9" t="s">
        <v>49</v>
      </c>
      <c r="W45" s="9" t="s">
        <v>49</v>
      </c>
      <c r="X45" s="8"/>
      <c r="Y45" s="8"/>
      <c r="Z45" s="8"/>
      <c r="AA45" s="8"/>
      <c r="AB45" s="8"/>
      <c r="AC45" s="8"/>
      <c r="AD45" s="8"/>
      <c r="AE45" s="8"/>
      <c r="AF45" s="8"/>
      <c r="AG45" s="8"/>
      <c r="AH45" s="7" t="s">
        <v>51</v>
      </c>
      <c r="AI45" s="6" t="s">
        <v>49</v>
      </c>
      <c r="AJ45" s="6" t="s">
        <v>49</v>
      </c>
      <c r="AK45" s="6" t="s">
        <v>49</v>
      </c>
      <c r="AL45" s="9" t="s">
        <v>49</v>
      </c>
      <c r="AM45" s="9" t="s">
        <v>156</v>
      </c>
      <c r="AN45" s="6" t="s">
        <v>49</v>
      </c>
      <c r="AO45" s="9" t="s">
        <v>156</v>
      </c>
      <c r="AP45" s="11">
        <v>0</v>
      </c>
      <c r="AQ45" s="11">
        <v>0</v>
      </c>
      <c r="AR45" s="11">
        <v>0</v>
      </c>
      <c r="AS45" s="11">
        <v>0</v>
      </c>
      <c r="AT45" s="11">
        <v>0</v>
      </c>
      <c r="AU45" s="11">
        <v>0</v>
      </c>
      <c r="AV45" s="11" t="s">
        <v>51</v>
      </c>
    </row>
    <row r="46" spans="1:50" customFormat="1" ht="14.5" hidden="1">
      <c r="A46" s="6">
        <v>45</v>
      </c>
      <c r="B46" s="7" t="s">
        <v>171</v>
      </c>
      <c r="C46" s="7" t="s">
        <v>49</v>
      </c>
      <c r="D46" s="6">
        <v>12583</v>
      </c>
      <c r="E46" s="6" t="s">
        <v>172</v>
      </c>
      <c r="F46" s="8"/>
      <c r="G46" s="8"/>
      <c r="H46" s="7" t="s">
        <v>49</v>
      </c>
      <c r="I46" s="7"/>
      <c r="J46" s="6" t="s">
        <v>49</v>
      </c>
      <c r="K46" s="9" t="s">
        <v>49</v>
      </c>
      <c r="L46" s="9" t="s">
        <v>49</v>
      </c>
      <c r="M46" s="12"/>
      <c r="N46" s="10">
        <v>42738</v>
      </c>
      <c r="O46" s="10">
        <v>44012</v>
      </c>
      <c r="P46" s="9" t="s">
        <v>49</v>
      </c>
      <c r="Q46" s="9" t="s">
        <v>49</v>
      </c>
      <c r="R46" s="8"/>
      <c r="S46" s="8"/>
      <c r="T46" s="8"/>
      <c r="U46" s="8"/>
      <c r="V46" s="9" t="s">
        <v>49</v>
      </c>
      <c r="W46" s="9" t="s">
        <v>49</v>
      </c>
      <c r="X46" s="8"/>
      <c r="Y46" s="8"/>
      <c r="Z46" s="8"/>
      <c r="AA46" s="8"/>
      <c r="AB46" s="8"/>
      <c r="AC46" s="8"/>
      <c r="AD46" s="8"/>
      <c r="AE46" s="8"/>
      <c r="AF46" s="8"/>
      <c r="AG46" s="8"/>
      <c r="AH46" s="7" t="s">
        <v>51</v>
      </c>
      <c r="AI46" s="6" t="s">
        <v>49</v>
      </c>
      <c r="AJ46" s="6" t="s">
        <v>49</v>
      </c>
      <c r="AK46" s="6" t="s">
        <v>49</v>
      </c>
      <c r="AL46" s="9" t="s">
        <v>49</v>
      </c>
      <c r="AM46" s="9" t="s">
        <v>156</v>
      </c>
      <c r="AN46" s="6" t="s">
        <v>49</v>
      </c>
      <c r="AO46" s="9" t="s">
        <v>156</v>
      </c>
      <c r="AP46" s="11">
        <v>0</v>
      </c>
      <c r="AQ46" s="11">
        <v>0</v>
      </c>
      <c r="AR46" s="11">
        <v>0</v>
      </c>
      <c r="AS46" s="11">
        <v>0</v>
      </c>
      <c r="AT46" s="11">
        <v>0</v>
      </c>
      <c r="AU46" s="11">
        <v>0</v>
      </c>
      <c r="AV46" s="11" t="s">
        <v>51</v>
      </c>
    </row>
    <row r="47" spans="1:50" customFormat="1" ht="14.5" hidden="1">
      <c r="A47" s="6">
        <v>46</v>
      </c>
      <c r="B47" s="7" t="s">
        <v>173</v>
      </c>
      <c r="C47" s="7" t="s">
        <v>49</v>
      </c>
      <c r="D47" s="6">
        <v>15389</v>
      </c>
      <c r="E47" s="6" t="s">
        <v>49</v>
      </c>
      <c r="F47" s="8"/>
      <c r="G47" s="8"/>
      <c r="H47" s="7" t="s">
        <v>49</v>
      </c>
      <c r="I47" s="7"/>
      <c r="J47" s="6" t="s">
        <v>49</v>
      </c>
      <c r="K47" s="9" t="s">
        <v>49</v>
      </c>
      <c r="L47" s="9" t="s">
        <v>49</v>
      </c>
      <c r="M47" s="8"/>
      <c r="N47" s="12"/>
      <c r="O47" s="10">
        <v>43830</v>
      </c>
      <c r="P47" s="9" t="s">
        <v>49</v>
      </c>
      <c r="Q47" s="9" t="s">
        <v>49</v>
      </c>
      <c r="R47" s="8"/>
      <c r="S47" s="8"/>
      <c r="T47" s="8"/>
      <c r="U47" s="8"/>
      <c r="V47" s="9" t="s">
        <v>49</v>
      </c>
      <c r="W47" s="9" t="s">
        <v>49</v>
      </c>
      <c r="X47" s="8"/>
      <c r="Y47" s="8"/>
      <c r="Z47" s="8"/>
      <c r="AA47" s="8"/>
      <c r="AB47" s="8"/>
      <c r="AC47" s="8"/>
      <c r="AD47" s="8"/>
      <c r="AE47" s="8"/>
      <c r="AF47" s="8"/>
      <c r="AG47" s="8"/>
      <c r="AH47" s="7" t="s">
        <v>57</v>
      </c>
      <c r="AI47" s="6" t="s">
        <v>71</v>
      </c>
      <c r="AJ47" s="6" t="s">
        <v>49</v>
      </c>
      <c r="AK47" s="6" t="s">
        <v>49</v>
      </c>
      <c r="AL47" s="9" t="s">
        <v>52</v>
      </c>
      <c r="AM47" s="9" t="s">
        <v>49</v>
      </c>
      <c r="AN47" s="6" t="s">
        <v>82</v>
      </c>
      <c r="AO47" s="9" t="s">
        <v>49</v>
      </c>
      <c r="AP47" s="11">
        <v>7248.8885899999996</v>
      </c>
      <c r="AQ47" s="11">
        <v>0</v>
      </c>
      <c r="AR47" s="11">
        <v>0</v>
      </c>
      <c r="AS47" s="11">
        <v>41681.266040000002</v>
      </c>
      <c r="AT47" s="11">
        <v>0</v>
      </c>
      <c r="AU47" s="11">
        <v>0</v>
      </c>
      <c r="AV47" s="11">
        <v>0</v>
      </c>
    </row>
    <row r="48" spans="1:50" customFormat="1" ht="14.5" hidden="1">
      <c r="A48" s="6">
        <v>47</v>
      </c>
      <c r="B48" s="7" t="s">
        <v>174</v>
      </c>
      <c r="C48" s="7" t="s">
        <v>49</v>
      </c>
      <c r="D48" s="6">
        <v>15389</v>
      </c>
      <c r="E48" s="6" t="s">
        <v>175</v>
      </c>
      <c r="F48" s="8"/>
      <c r="G48" s="8"/>
      <c r="H48" s="7" t="s">
        <v>49</v>
      </c>
      <c r="I48" s="7"/>
      <c r="J48" s="6" t="s">
        <v>49</v>
      </c>
      <c r="K48" s="9" t="s">
        <v>49</v>
      </c>
      <c r="L48" s="9" t="s">
        <v>49</v>
      </c>
      <c r="M48" s="8"/>
      <c r="N48" s="12"/>
      <c r="O48" s="10">
        <v>43830</v>
      </c>
      <c r="P48" s="9" t="s">
        <v>49</v>
      </c>
      <c r="Q48" s="9" t="s">
        <v>49</v>
      </c>
      <c r="R48" s="8"/>
      <c r="S48" s="8"/>
      <c r="T48" s="8"/>
      <c r="U48" s="8"/>
      <c r="V48" s="9" t="s">
        <v>49</v>
      </c>
      <c r="W48" s="9" t="s">
        <v>49</v>
      </c>
      <c r="X48" s="8"/>
      <c r="Y48" s="8"/>
      <c r="Z48" s="8"/>
      <c r="AA48" s="8"/>
      <c r="AB48" s="8"/>
      <c r="AC48" s="8"/>
      <c r="AD48" s="8"/>
      <c r="AE48" s="8"/>
      <c r="AF48" s="8"/>
      <c r="AG48" s="8"/>
      <c r="AH48" s="7" t="s">
        <v>51</v>
      </c>
      <c r="AI48" s="6" t="s">
        <v>49</v>
      </c>
      <c r="AJ48" s="6" t="s">
        <v>49</v>
      </c>
      <c r="AK48" s="6" t="s">
        <v>49</v>
      </c>
      <c r="AL48" s="9" t="s">
        <v>49</v>
      </c>
      <c r="AM48" s="9" t="s">
        <v>176</v>
      </c>
      <c r="AN48" s="6" t="s">
        <v>49</v>
      </c>
      <c r="AO48" s="9" t="s">
        <v>176</v>
      </c>
      <c r="AP48" s="11">
        <v>0</v>
      </c>
      <c r="AQ48" s="11">
        <v>0</v>
      </c>
      <c r="AR48" s="11">
        <v>0</v>
      </c>
      <c r="AS48" s="11">
        <v>0</v>
      </c>
      <c r="AT48" s="11">
        <v>0</v>
      </c>
      <c r="AU48" s="11">
        <v>0</v>
      </c>
      <c r="AV48" s="11" t="s">
        <v>51</v>
      </c>
    </row>
    <row r="49" spans="1:50" customFormat="1" ht="14.5" hidden="1">
      <c r="A49" s="6">
        <v>48</v>
      </c>
      <c r="B49" s="7" t="s">
        <v>177</v>
      </c>
      <c r="C49" s="7" t="s">
        <v>49</v>
      </c>
      <c r="D49" s="6">
        <v>15502</v>
      </c>
      <c r="E49" s="6" t="s">
        <v>49</v>
      </c>
      <c r="F49" s="8"/>
      <c r="G49" s="8"/>
      <c r="H49" s="7" t="s">
        <v>49</v>
      </c>
      <c r="I49" s="7"/>
      <c r="J49" s="6" t="s">
        <v>49</v>
      </c>
      <c r="K49" s="9" t="s">
        <v>49</v>
      </c>
      <c r="L49" s="9" t="s">
        <v>49</v>
      </c>
      <c r="M49" s="8"/>
      <c r="N49" s="12"/>
      <c r="O49" s="10">
        <v>43525</v>
      </c>
      <c r="P49" s="9" t="s">
        <v>49</v>
      </c>
      <c r="Q49" s="9" t="s">
        <v>49</v>
      </c>
      <c r="R49" s="8"/>
      <c r="S49" s="8"/>
      <c r="T49" s="8"/>
      <c r="U49" s="8"/>
      <c r="V49" s="9" t="s">
        <v>49</v>
      </c>
      <c r="W49" s="9" t="s">
        <v>49</v>
      </c>
      <c r="X49" s="8"/>
      <c r="Y49" s="8"/>
      <c r="Z49" s="8"/>
      <c r="AA49" s="8"/>
      <c r="AB49" s="8"/>
      <c r="AC49" s="8"/>
      <c r="AD49" s="8"/>
      <c r="AE49" s="8"/>
      <c r="AF49" s="8"/>
      <c r="AG49" s="8"/>
      <c r="AH49" s="7" t="s">
        <v>57</v>
      </c>
      <c r="AI49" s="6" t="s">
        <v>71</v>
      </c>
      <c r="AJ49" s="6" t="s">
        <v>49</v>
      </c>
      <c r="AK49" s="6" t="s">
        <v>49</v>
      </c>
      <c r="AL49" s="9" t="s">
        <v>67</v>
      </c>
      <c r="AM49" s="9" t="s">
        <v>49</v>
      </c>
      <c r="AN49" s="6" t="s">
        <v>85</v>
      </c>
      <c r="AO49" s="9" t="s">
        <v>49</v>
      </c>
      <c r="AP49" s="11">
        <v>7248.8885899999996</v>
      </c>
      <c r="AQ49" s="11">
        <v>0</v>
      </c>
      <c r="AR49" s="11">
        <v>0</v>
      </c>
      <c r="AS49" s="11">
        <v>41681.266040000002</v>
      </c>
      <c r="AT49" s="11">
        <v>0</v>
      </c>
      <c r="AU49" s="11">
        <v>0</v>
      </c>
      <c r="AV49" s="11">
        <v>0</v>
      </c>
    </row>
    <row r="50" spans="1:50" customFormat="1" ht="14.5" hidden="1">
      <c r="A50" s="6">
        <v>49</v>
      </c>
      <c r="B50" s="7" t="s">
        <v>177</v>
      </c>
      <c r="C50" s="7" t="s">
        <v>49</v>
      </c>
      <c r="D50" s="6">
        <v>15502</v>
      </c>
      <c r="E50" s="6" t="s">
        <v>178</v>
      </c>
      <c r="F50" s="8"/>
      <c r="G50" s="8"/>
      <c r="H50" s="7" t="s">
        <v>49</v>
      </c>
      <c r="I50" s="7"/>
      <c r="J50" s="6" t="s">
        <v>49</v>
      </c>
      <c r="K50" s="9" t="s">
        <v>49</v>
      </c>
      <c r="L50" s="9" t="s">
        <v>49</v>
      </c>
      <c r="M50" s="8"/>
      <c r="N50" s="8"/>
      <c r="O50" s="10">
        <v>43525</v>
      </c>
      <c r="P50" s="9" t="s">
        <v>49</v>
      </c>
      <c r="Q50" s="9" t="s">
        <v>49</v>
      </c>
      <c r="R50" s="8"/>
      <c r="S50" s="8"/>
      <c r="T50" s="8"/>
      <c r="U50" s="8"/>
      <c r="V50" s="9" t="s">
        <v>49</v>
      </c>
      <c r="W50" s="9" t="s">
        <v>49</v>
      </c>
      <c r="X50" s="8"/>
      <c r="Y50" s="8"/>
      <c r="Z50" s="8"/>
      <c r="AA50" s="8"/>
      <c r="AB50" s="8"/>
      <c r="AC50" s="8"/>
      <c r="AD50" s="8"/>
      <c r="AE50" s="8"/>
      <c r="AF50" s="8"/>
      <c r="AG50" s="8"/>
      <c r="AH50" s="7" t="s">
        <v>57</v>
      </c>
      <c r="AI50" s="6" t="s">
        <v>49</v>
      </c>
      <c r="AJ50" s="6" t="s">
        <v>49</v>
      </c>
      <c r="AK50" s="6" t="s">
        <v>49</v>
      </c>
      <c r="AL50" s="9" t="s">
        <v>49</v>
      </c>
      <c r="AM50" s="9" t="s">
        <v>67</v>
      </c>
      <c r="AN50" s="6" t="s">
        <v>49</v>
      </c>
      <c r="AO50" s="9" t="s">
        <v>67</v>
      </c>
      <c r="AP50" s="11">
        <v>0</v>
      </c>
      <c r="AQ50" s="11">
        <v>0</v>
      </c>
      <c r="AR50" s="11">
        <v>0</v>
      </c>
      <c r="AS50" s="11">
        <v>0</v>
      </c>
      <c r="AT50" s="11">
        <v>0</v>
      </c>
      <c r="AU50" s="11">
        <v>0</v>
      </c>
      <c r="AV50" s="11" t="s">
        <v>57</v>
      </c>
    </row>
    <row r="51" spans="1:50" customFormat="1" ht="14.5" hidden="1">
      <c r="A51" s="6">
        <v>50</v>
      </c>
      <c r="B51" s="7" t="s">
        <v>179</v>
      </c>
      <c r="C51" s="7" t="s">
        <v>49</v>
      </c>
      <c r="D51" s="6">
        <v>12561</v>
      </c>
      <c r="E51" s="6" t="s">
        <v>49</v>
      </c>
      <c r="F51" s="8"/>
      <c r="G51" s="8"/>
      <c r="H51" s="7" t="s">
        <v>49</v>
      </c>
      <c r="I51" s="7"/>
      <c r="J51" s="6" t="s">
        <v>49</v>
      </c>
      <c r="K51" s="9" t="s">
        <v>49</v>
      </c>
      <c r="L51" s="9" t="s">
        <v>49</v>
      </c>
      <c r="M51" s="8"/>
      <c r="N51" s="10">
        <v>42592</v>
      </c>
      <c r="O51" s="10">
        <v>44196</v>
      </c>
      <c r="P51" s="9" t="s">
        <v>49</v>
      </c>
      <c r="Q51" s="9" t="s">
        <v>49</v>
      </c>
      <c r="R51" s="8"/>
      <c r="S51" s="8"/>
      <c r="T51" s="8"/>
      <c r="U51" s="8"/>
      <c r="V51" s="9" t="s">
        <v>49</v>
      </c>
      <c r="W51" s="9" t="s">
        <v>49</v>
      </c>
      <c r="X51" s="8"/>
      <c r="Y51" s="8"/>
      <c r="Z51" s="8"/>
      <c r="AA51" s="8"/>
      <c r="AB51" s="8"/>
      <c r="AC51" s="8"/>
      <c r="AD51" s="8"/>
      <c r="AE51" s="8"/>
      <c r="AF51" s="8"/>
      <c r="AG51" s="8"/>
      <c r="AH51" s="7" t="s">
        <v>51</v>
      </c>
      <c r="AI51" s="6" t="s">
        <v>180</v>
      </c>
      <c r="AJ51" s="6" t="s">
        <v>49</v>
      </c>
      <c r="AK51" s="6" t="s">
        <v>118</v>
      </c>
      <c r="AL51" s="9" t="s">
        <v>181</v>
      </c>
      <c r="AM51" s="9" t="s">
        <v>49</v>
      </c>
      <c r="AN51" s="6" t="s">
        <v>96</v>
      </c>
      <c r="AO51" s="9" t="s">
        <v>49</v>
      </c>
      <c r="AP51" s="11">
        <v>7248.8885899999996</v>
      </c>
      <c r="AQ51" s="11">
        <v>0</v>
      </c>
      <c r="AR51" s="11">
        <v>0</v>
      </c>
      <c r="AS51" s="11">
        <v>41681.266040000002</v>
      </c>
      <c r="AT51" s="11">
        <v>0</v>
      </c>
      <c r="AU51" s="11">
        <v>0</v>
      </c>
      <c r="AV51" s="11">
        <v>0</v>
      </c>
    </row>
    <row r="52" spans="1:50" customFormat="1" ht="14.5" hidden="1">
      <c r="A52" s="6">
        <v>51</v>
      </c>
      <c r="B52" s="7" t="s">
        <v>182</v>
      </c>
      <c r="C52" s="7" t="s">
        <v>49</v>
      </c>
      <c r="D52" s="6">
        <v>12561</v>
      </c>
      <c r="E52" s="6" t="s">
        <v>183</v>
      </c>
      <c r="F52" s="8"/>
      <c r="G52" s="8"/>
      <c r="H52" s="7" t="s">
        <v>49</v>
      </c>
      <c r="I52" s="7"/>
      <c r="J52" s="6" t="s">
        <v>49</v>
      </c>
      <c r="K52" s="9" t="s">
        <v>49</v>
      </c>
      <c r="L52" s="9" t="s">
        <v>49</v>
      </c>
      <c r="M52" s="8"/>
      <c r="N52" s="10">
        <v>43132</v>
      </c>
      <c r="O52" s="10">
        <v>44196</v>
      </c>
      <c r="P52" s="9" t="s">
        <v>49</v>
      </c>
      <c r="Q52" s="9" t="s">
        <v>49</v>
      </c>
      <c r="R52" s="8"/>
      <c r="S52" s="8"/>
      <c r="T52" s="8"/>
      <c r="U52" s="8"/>
      <c r="V52" s="9" t="s">
        <v>49</v>
      </c>
      <c r="W52" s="9" t="s">
        <v>49</v>
      </c>
      <c r="X52" s="8"/>
      <c r="Y52" s="8"/>
      <c r="Z52" s="8"/>
      <c r="AA52" s="8"/>
      <c r="AB52" s="8"/>
      <c r="AC52" s="8"/>
      <c r="AD52" s="8"/>
      <c r="AE52" s="8"/>
      <c r="AF52" s="8"/>
      <c r="AG52" s="8"/>
      <c r="AH52" s="7" t="s">
        <v>51</v>
      </c>
      <c r="AI52" s="6" t="s">
        <v>49</v>
      </c>
      <c r="AJ52" s="6" t="s">
        <v>49</v>
      </c>
      <c r="AK52" s="6" t="s">
        <v>49</v>
      </c>
      <c r="AL52" s="9" t="s">
        <v>49</v>
      </c>
      <c r="AM52" s="9" t="s">
        <v>184</v>
      </c>
      <c r="AN52" s="6" t="s">
        <v>49</v>
      </c>
      <c r="AO52" s="9" t="s">
        <v>184</v>
      </c>
      <c r="AP52" s="11">
        <v>-29.665400000000002</v>
      </c>
      <c r="AQ52" s="11">
        <v>-69610.36</v>
      </c>
      <c r="AR52" s="11">
        <v>0</v>
      </c>
      <c r="AS52" s="11">
        <v>99.280710000000013</v>
      </c>
      <c r="AT52" s="11">
        <v>-69.61036</v>
      </c>
      <c r="AU52" s="11">
        <v>0</v>
      </c>
      <c r="AV52" s="11" t="s">
        <v>51</v>
      </c>
    </row>
    <row r="53" spans="1:50" customFormat="1" ht="14.5" hidden="1">
      <c r="A53" s="6">
        <v>52</v>
      </c>
      <c r="B53" s="7" t="s">
        <v>185</v>
      </c>
      <c r="C53" s="7" t="s">
        <v>49</v>
      </c>
      <c r="D53" s="6">
        <v>12561</v>
      </c>
      <c r="E53" s="6" t="s">
        <v>186</v>
      </c>
      <c r="F53" s="8"/>
      <c r="G53" s="8"/>
      <c r="H53" s="7" t="s">
        <v>49</v>
      </c>
      <c r="I53" s="7"/>
      <c r="J53" s="6" t="s">
        <v>49</v>
      </c>
      <c r="K53" s="9" t="s">
        <v>49</v>
      </c>
      <c r="L53" s="9" t="s">
        <v>49</v>
      </c>
      <c r="M53" s="8"/>
      <c r="N53" s="8"/>
      <c r="O53" s="10">
        <v>43525</v>
      </c>
      <c r="P53" s="9" t="s">
        <v>49</v>
      </c>
      <c r="Q53" s="9" t="s">
        <v>49</v>
      </c>
      <c r="R53" s="8"/>
      <c r="S53" s="8"/>
      <c r="T53" s="8"/>
      <c r="U53" s="8"/>
      <c r="V53" s="9" t="s">
        <v>49</v>
      </c>
      <c r="W53" s="9" t="s">
        <v>49</v>
      </c>
      <c r="X53" s="8"/>
      <c r="Y53" s="8"/>
      <c r="Z53" s="8"/>
      <c r="AA53" s="8"/>
      <c r="AB53" s="8"/>
      <c r="AC53" s="8"/>
      <c r="AD53" s="8"/>
      <c r="AE53" s="8"/>
      <c r="AF53" s="8"/>
      <c r="AG53" s="8"/>
      <c r="AH53" s="7" t="s">
        <v>57</v>
      </c>
      <c r="AI53" s="6" t="s">
        <v>49</v>
      </c>
      <c r="AJ53" s="6" t="s">
        <v>49</v>
      </c>
      <c r="AK53" s="6" t="s">
        <v>49</v>
      </c>
      <c r="AL53" s="9" t="s">
        <v>49</v>
      </c>
      <c r="AM53" s="9" t="s">
        <v>187</v>
      </c>
      <c r="AN53" s="6" t="s">
        <v>49</v>
      </c>
      <c r="AO53" s="9" t="s">
        <v>188</v>
      </c>
      <c r="AP53" s="11">
        <v>0</v>
      </c>
      <c r="AQ53" s="11">
        <v>0</v>
      </c>
      <c r="AR53" s="11">
        <v>0</v>
      </c>
      <c r="AS53" s="11">
        <v>0</v>
      </c>
      <c r="AT53" s="11">
        <v>134</v>
      </c>
      <c r="AU53" s="11">
        <v>0</v>
      </c>
      <c r="AV53" s="11" t="s">
        <v>57</v>
      </c>
    </row>
    <row r="54" spans="1:50" customFormat="1" ht="14.5" hidden="1">
      <c r="A54" s="6">
        <v>53</v>
      </c>
      <c r="B54" s="7" t="s">
        <v>189</v>
      </c>
      <c r="C54" s="7" t="s">
        <v>49</v>
      </c>
      <c r="D54" s="6">
        <v>15225</v>
      </c>
      <c r="E54" s="6" t="s">
        <v>49</v>
      </c>
      <c r="F54" s="8"/>
      <c r="G54" s="8"/>
      <c r="H54" s="7" t="s">
        <v>49</v>
      </c>
      <c r="I54" s="7"/>
      <c r="J54" s="6" t="s">
        <v>49</v>
      </c>
      <c r="K54" s="9" t="s">
        <v>49</v>
      </c>
      <c r="L54" s="9" t="s">
        <v>49</v>
      </c>
      <c r="M54" s="8"/>
      <c r="N54" s="10">
        <v>43038</v>
      </c>
      <c r="O54" s="10">
        <v>43889</v>
      </c>
      <c r="P54" s="9" t="s">
        <v>49</v>
      </c>
      <c r="Q54" s="9" t="s">
        <v>49</v>
      </c>
      <c r="R54" s="8"/>
      <c r="S54" s="8"/>
      <c r="T54" s="8"/>
      <c r="U54" s="8"/>
      <c r="V54" s="9" t="s">
        <v>49</v>
      </c>
      <c r="W54" s="9" t="s">
        <v>49</v>
      </c>
      <c r="X54" s="8"/>
      <c r="Y54" s="8"/>
      <c r="Z54" s="8"/>
      <c r="AA54" s="8"/>
      <c r="AB54" s="8"/>
      <c r="AC54" s="8"/>
      <c r="AD54" s="8"/>
      <c r="AE54" s="8"/>
      <c r="AF54" s="8"/>
      <c r="AG54" s="8"/>
      <c r="AH54" s="7" t="s">
        <v>51</v>
      </c>
      <c r="AI54" s="6" t="s">
        <v>71</v>
      </c>
      <c r="AJ54" s="6" t="s">
        <v>49</v>
      </c>
      <c r="AK54" s="6" t="s">
        <v>49</v>
      </c>
      <c r="AL54" s="9" t="s">
        <v>119</v>
      </c>
      <c r="AM54" s="9" t="s">
        <v>49</v>
      </c>
      <c r="AN54" s="6" t="s">
        <v>96</v>
      </c>
      <c r="AO54" s="9" t="s">
        <v>49</v>
      </c>
      <c r="AP54" s="11">
        <v>7248.8885899999996</v>
      </c>
      <c r="AQ54" s="11">
        <v>0</v>
      </c>
      <c r="AR54" s="11">
        <v>0</v>
      </c>
      <c r="AS54" s="11">
        <v>41681.266040000002</v>
      </c>
      <c r="AT54" s="11">
        <v>0</v>
      </c>
      <c r="AU54" s="11">
        <v>0</v>
      </c>
      <c r="AV54" s="11">
        <v>0</v>
      </c>
    </row>
    <row r="55" spans="1:50" customFormat="1" ht="14.5" hidden="1">
      <c r="A55" s="6">
        <v>54</v>
      </c>
      <c r="B55" s="7" t="s">
        <v>190</v>
      </c>
      <c r="C55" s="7" t="s">
        <v>49</v>
      </c>
      <c r="D55" s="6">
        <v>15225</v>
      </c>
      <c r="E55" s="6" t="s">
        <v>191</v>
      </c>
      <c r="F55" s="12"/>
      <c r="G55" s="8"/>
      <c r="H55" s="7" t="s">
        <v>49</v>
      </c>
      <c r="I55" s="7"/>
      <c r="J55" s="6" t="s">
        <v>49</v>
      </c>
      <c r="K55" s="9" t="s">
        <v>49</v>
      </c>
      <c r="L55" s="9" t="s">
        <v>49</v>
      </c>
      <c r="M55" s="8"/>
      <c r="N55" s="10">
        <v>43038</v>
      </c>
      <c r="O55" s="10">
        <v>43889</v>
      </c>
      <c r="P55" s="9" t="s">
        <v>49</v>
      </c>
      <c r="Q55" s="9" t="s">
        <v>49</v>
      </c>
      <c r="R55" s="12"/>
      <c r="S55" s="12"/>
      <c r="T55" s="12"/>
      <c r="U55" s="12"/>
      <c r="V55" s="9" t="s">
        <v>49</v>
      </c>
      <c r="W55" s="9" t="s">
        <v>49</v>
      </c>
      <c r="X55" s="12"/>
      <c r="Y55" s="12"/>
      <c r="Z55" s="8"/>
      <c r="AA55" s="8"/>
      <c r="AB55" s="12"/>
      <c r="AC55" s="8"/>
      <c r="AD55" s="12"/>
      <c r="AE55" s="12"/>
      <c r="AF55" s="12"/>
      <c r="AG55" s="12"/>
      <c r="AH55" s="7" t="s">
        <v>51</v>
      </c>
      <c r="AI55" s="6" t="s">
        <v>49</v>
      </c>
      <c r="AJ55" s="6" t="s">
        <v>49</v>
      </c>
      <c r="AK55" s="6" t="s">
        <v>49</v>
      </c>
      <c r="AL55" s="9" t="s">
        <v>49</v>
      </c>
      <c r="AM55" s="9" t="s">
        <v>122</v>
      </c>
      <c r="AN55" s="6" t="s">
        <v>49</v>
      </c>
      <c r="AO55" s="9" t="s">
        <v>122</v>
      </c>
      <c r="AP55" s="11">
        <v>0</v>
      </c>
      <c r="AQ55" s="11">
        <v>0</v>
      </c>
      <c r="AR55" s="11">
        <v>0</v>
      </c>
      <c r="AS55" s="11">
        <v>0</v>
      </c>
      <c r="AT55" s="11">
        <v>0</v>
      </c>
      <c r="AU55" s="11">
        <v>0</v>
      </c>
      <c r="AV55" s="11" t="s">
        <v>51</v>
      </c>
    </row>
    <row r="56" spans="1:50" customFormat="1" ht="14.5" hidden="1">
      <c r="A56" s="6">
        <v>55</v>
      </c>
      <c r="B56" s="7" t="s">
        <v>192</v>
      </c>
      <c r="C56" s="7" t="s">
        <v>49</v>
      </c>
      <c r="D56" s="6">
        <v>15644</v>
      </c>
      <c r="E56" s="6" t="s">
        <v>49</v>
      </c>
      <c r="F56" s="8"/>
      <c r="G56" s="8"/>
      <c r="H56" s="7" t="s">
        <v>49</v>
      </c>
      <c r="I56" s="7"/>
      <c r="J56" s="6" t="s">
        <v>49</v>
      </c>
      <c r="K56" s="9" t="s">
        <v>49</v>
      </c>
      <c r="L56" s="9" t="s">
        <v>49</v>
      </c>
      <c r="M56" s="8"/>
      <c r="N56" s="12"/>
      <c r="O56" s="12"/>
      <c r="P56" s="9" t="s">
        <v>49</v>
      </c>
      <c r="Q56" s="9" t="s">
        <v>49</v>
      </c>
      <c r="R56" s="8"/>
      <c r="S56" s="8"/>
      <c r="T56" s="8"/>
      <c r="U56" s="8"/>
      <c r="V56" s="9" t="s">
        <v>49</v>
      </c>
      <c r="W56" s="9" t="s">
        <v>49</v>
      </c>
      <c r="X56" s="8"/>
      <c r="Y56" s="8"/>
      <c r="Z56" s="8"/>
      <c r="AA56" s="8"/>
      <c r="AB56" s="8"/>
      <c r="AC56" s="8"/>
      <c r="AD56" s="8"/>
      <c r="AE56" s="8"/>
      <c r="AF56" s="8"/>
      <c r="AG56" s="8"/>
      <c r="AH56" s="7" t="s">
        <v>79</v>
      </c>
      <c r="AI56" s="6" t="s">
        <v>110</v>
      </c>
      <c r="AJ56" s="6" t="s">
        <v>49</v>
      </c>
      <c r="AK56" s="6" t="s">
        <v>49</v>
      </c>
      <c r="AL56" s="9" t="s">
        <v>111</v>
      </c>
      <c r="AM56" s="9" t="s">
        <v>49</v>
      </c>
      <c r="AN56" s="6" t="s">
        <v>82</v>
      </c>
      <c r="AO56" s="9" t="s">
        <v>49</v>
      </c>
      <c r="AP56" s="11">
        <v>7248.8885899999996</v>
      </c>
      <c r="AQ56" s="11">
        <v>0</v>
      </c>
      <c r="AR56" s="11">
        <v>0</v>
      </c>
      <c r="AS56" s="11">
        <v>41681.266040000002</v>
      </c>
      <c r="AT56" s="11">
        <v>0</v>
      </c>
      <c r="AU56" s="11">
        <v>0</v>
      </c>
      <c r="AV56" s="11">
        <v>0</v>
      </c>
    </row>
    <row r="57" spans="1:50" customFormat="1" ht="14.5" hidden="1">
      <c r="A57" s="6">
        <v>56</v>
      </c>
      <c r="B57" s="7" t="s">
        <v>193</v>
      </c>
      <c r="C57" s="7" t="s">
        <v>49</v>
      </c>
      <c r="D57" s="6">
        <v>15644</v>
      </c>
      <c r="E57" s="6" t="s">
        <v>49</v>
      </c>
      <c r="F57" s="12"/>
      <c r="G57" s="8"/>
      <c r="H57" s="7" t="s">
        <v>49</v>
      </c>
      <c r="I57" s="7"/>
      <c r="J57" s="6" t="s">
        <v>49</v>
      </c>
      <c r="K57" s="9" t="s">
        <v>49</v>
      </c>
      <c r="L57" s="9" t="s">
        <v>49</v>
      </c>
      <c r="M57" s="12"/>
      <c r="N57" s="12"/>
      <c r="O57" s="12"/>
      <c r="P57" s="9" t="s">
        <v>49</v>
      </c>
      <c r="Q57" s="9" t="s">
        <v>49</v>
      </c>
      <c r="R57" s="12"/>
      <c r="S57" s="12"/>
      <c r="T57" s="12"/>
      <c r="U57" s="12"/>
      <c r="V57" s="9" t="s">
        <v>49</v>
      </c>
      <c r="W57" s="9" t="s">
        <v>49</v>
      </c>
      <c r="X57" s="8"/>
      <c r="Y57" s="8"/>
      <c r="Z57" s="12"/>
      <c r="AA57" s="8"/>
      <c r="AB57" s="12"/>
      <c r="AC57" s="8"/>
      <c r="AD57" s="12"/>
      <c r="AE57" s="12"/>
      <c r="AF57" s="8"/>
      <c r="AG57" s="12"/>
      <c r="AH57" s="7" t="s">
        <v>79</v>
      </c>
      <c r="AI57" s="6" t="s">
        <v>110</v>
      </c>
      <c r="AJ57" s="6" t="s">
        <v>49</v>
      </c>
      <c r="AK57" s="6" t="s">
        <v>49</v>
      </c>
      <c r="AL57" s="9" t="s">
        <v>111</v>
      </c>
      <c r="AM57" s="9" t="s">
        <v>49</v>
      </c>
      <c r="AN57" s="6" t="s">
        <v>82</v>
      </c>
      <c r="AO57" s="9" t="s">
        <v>49</v>
      </c>
      <c r="AP57" s="11">
        <v>7248.8885899999996</v>
      </c>
      <c r="AQ57" s="11">
        <v>0</v>
      </c>
      <c r="AR57" s="11">
        <v>0</v>
      </c>
      <c r="AS57" s="11">
        <v>41681.266040000002</v>
      </c>
      <c r="AT57" s="11">
        <v>0</v>
      </c>
      <c r="AU57" s="11">
        <v>0</v>
      </c>
      <c r="AV57" s="11">
        <v>0</v>
      </c>
    </row>
    <row r="58" spans="1:50" ht="13.5" customHeight="1">
      <c r="A58" s="46">
        <v>123</v>
      </c>
      <c r="B58" s="47" t="s">
        <v>339</v>
      </c>
      <c r="C58" s="47" t="s">
        <v>337</v>
      </c>
      <c r="D58" s="6">
        <v>15545</v>
      </c>
      <c r="E58" s="6" t="s">
        <v>340</v>
      </c>
      <c r="F58" s="68"/>
      <c r="G58" s="8"/>
      <c r="H58" s="47" t="s">
        <v>88</v>
      </c>
      <c r="I58" s="47"/>
      <c r="J58" s="46" t="s">
        <v>75</v>
      </c>
      <c r="K58" s="48" t="s">
        <v>76</v>
      </c>
      <c r="L58" s="9" t="s">
        <v>218</v>
      </c>
      <c r="M58" s="68"/>
      <c r="N58" s="10">
        <v>43556</v>
      </c>
      <c r="O58" s="10">
        <v>43860</v>
      </c>
      <c r="P58" s="9" t="s">
        <v>336</v>
      </c>
      <c r="Q58" s="9" t="s">
        <v>341</v>
      </c>
      <c r="R58" s="46">
        <v>27.6</v>
      </c>
      <c r="S58" s="46">
        <v>43.6</v>
      </c>
      <c r="T58" s="6">
        <v>90.2</v>
      </c>
      <c r="U58" s="46">
        <v>6.4</v>
      </c>
      <c r="V58" s="48" t="s">
        <v>342</v>
      </c>
      <c r="W58" s="9" t="s">
        <v>49</v>
      </c>
      <c r="X58" s="8"/>
      <c r="Y58" s="38">
        <v>0.16</v>
      </c>
      <c r="Z58" s="68"/>
      <c r="AA58" s="38">
        <v>8.6999999999999994E-2</v>
      </c>
      <c r="AB58" s="6">
        <v>0.247</v>
      </c>
      <c r="AC58" s="38">
        <v>4.0570000000000004</v>
      </c>
      <c r="AD58" s="6">
        <v>4.3040000000000003</v>
      </c>
      <c r="AE58" s="68"/>
      <c r="AF58" s="38">
        <v>0.247</v>
      </c>
      <c r="AG58" s="6">
        <v>0.247</v>
      </c>
      <c r="AH58" s="7" t="s">
        <v>51</v>
      </c>
      <c r="AI58" s="6" t="s">
        <v>49</v>
      </c>
      <c r="AJ58" s="6" t="s">
        <v>49</v>
      </c>
      <c r="AK58" s="6" t="s">
        <v>49</v>
      </c>
      <c r="AL58" s="9" t="s">
        <v>49</v>
      </c>
      <c r="AM58" s="9" t="s">
        <v>338</v>
      </c>
      <c r="AN58" s="6" t="s">
        <v>49</v>
      </c>
      <c r="AO58" s="9" t="s">
        <v>343</v>
      </c>
      <c r="AP58" s="11">
        <v>95.139399999999995</v>
      </c>
      <c r="AQ58" s="11">
        <v>104067.74</v>
      </c>
      <c r="AR58" s="11">
        <v>104067.73833333336</v>
      </c>
      <c r="AS58" s="11">
        <v>1106.8086799999999</v>
      </c>
      <c r="AT58" s="11">
        <v>104.06774</v>
      </c>
      <c r="AU58" s="11">
        <v>200</v>
      </c>
      <c r="AV58" s="11" t="s">
        <v>51</v>
      </c>
      <c r="AW58" t="s">
        <v>93</v>
      </c>
      <c r="AX58" s="58" t="s">
        <v>931</v>
      </c>
    </row>
    <row r="59" spans="1:50" customFormat="1" ht="14.5" hidden="1">
      <c r="A59" s="6">
        <v>58</v>
      </c>
      <c r="B59" s="7" t="s">
        <v>202</v>
      </c>
      <c r="C59" s="7" t="s">
        <v>203</v>
      </c>
      <c r="D59" s="12"/>
      <c r="E59" s="6" t="s">
        <v>104</v>
      </c>
      <c r="F59" s="8"/>
      <c r="G59" s="8"/>
      <c r="H59" s="7" t="s">
        <v>49</v>
      </c>
      <c r="I59" s="7"/>
      <c r="J59" s="6" t="s">
        <v>49</v>
      </c>
      <c r="K59" s="9" t="s">
        <v>49</v>
      </c>
      <c r="L59" s="9" t="s">
        <v>49</v>
      </c>
      <c r="M59" s="18">
        <v>250</v>
      </c>
      <c r="N59" s="12"/>
      <c r="O59" s="12"/>
      <c r="P59" s="9" t="s">
        <v>49</v>
      </c>
      <c r="Q59" s="9" t="s">
        <v>49</v>
      </c>
      <c r="R59" s="8"/>
      <c r="S59" s="8"/>
      <c r="T59" s="8"/>
      <c r="U59" s="8"/>
      <c r="V59" s="9" t="s">
        <v>49</v>
      </c>
      <c r="W59" s="9" t="s">
        <v>49</v>
      </c>
      <c r="X59" s="8"/>
      <c r="Y59" s="8"/>
      <c r="Z59" s="8"/>
      <c r="AA59" s="8"/>
      <c r="AB59" s="8"/>
      <c r="AC59" s="8"/>
      <c r="AD59" s="8"/>
      <c r="AE59" s="8"/>
      <c r="AF59" s="8"/>
      <c r="AG59" s="8"/>
      <c r="AH59" s="7" t="s">
        <v>49</v>
      </c>
      <c r="AI59" s="6" t="s">
        <v>49</v>
      </c>
      <c r="AJ59" s="6" t="s">
        <v>49</v>
      </c>
      <c r="AK59" s="6" t="s">
        <v>49</v>
      </c>
      <c r="AL59" s="9" t="s">
        <v>49</v>
      </c>
      <c r="AM59" s="9" t="s">
        <v>49</v>
      </c>
      <c r="AN59" s="6" t="s">
        <v>49</v>
      </c>
      <c r="AO59" s="9" t="s">
        <v>49</v>
      </c>
      <c r="AP59" s="11">
        <v>0</v>
      </c>
      <c r="AQ59" s="11">
        <v>0</v>
      </c>
      <c r="AR59" s="11">
        <v>0</v>
      </c>
      <c r="AS59" s="11">
        <v>0</v>
      </c>
      <c r="AT59" s="11">
        <v>0</v>
      </c>
      <c r="AU59" s="11">
        <v>0</v>
      </c>
      <c r="AV59" s="11">
        <v>0</v>
      </c>
    </row>
    <row r="60" spans="1:50" customFormat="1" ht="14.5" hidden="1">
      <c r="A60" s="6">
        <v>59</v>
      </c>
      <c r="B60" s="7" t="s">
        <v>204</v>
      </c>
      <c r="C60" s="7" t="s">
        <v>49</v>
      </c>
      <c r="D60" s="6">
        <v>15377</v>
      </c>
      <c r="E60" s="6" t="s">
        <v>205</v>
      </c>
      <c r="F60" s="8"/>
      <c r="G60" s="8"/>
      <c r="H60" s="7" t="s">
        <v>49</v>
      </c>
      <c r="I60" s="7"/>
      <c r="J60" s="6" t="s">
        <v>49</v>
      </c>
      <c r="K60" s="9" t="s">
        <v>49</v>
      </c>
      <c r="L60" s="9" t="s">
        <v>49</v>
      </c>
      <c r="M60" s="8"/>
      <c r="N60" s="10">
        <v>43437</v>
      </c>
      <c r="O60" s="10">
        <v>43860</v>
      </c>
      <c r="P60" s="9" t="s">
        <v>49</v>
      </c>
      <c r="Q60" s="9" t="s">
        <v>49</v>
      </c>
      <c r="R60" s="8"/>
      <c r="S60" s="8"/>
      <c r="T60" s="8"/>
      <c r="U60" s="8"/>
      <c r="V60" s="9" t="s">
        <v>49</v>
      </c>
      <c r="W60" s="9" t="s">
        <v>49</v>
      </c>
      <c r="X60" s="8"/>
      <c r="Y60" s="8"/>
      <c r="Z60" s="8"/>
      <c r="AA60" s="8"/>
      <c r="AB60" s="8"/>
      <c r="AC60" s="8"/>
      <c r="AD60" s="8"/>
      <c r="AE60" s="8"/>
      <c r="AF60" s="8"/>
      <c r="AG60" s="8"/>
      <c r="AH60" s="7" t="s">
        <v>51</v>
      </c>
      <c r="AI60" s="6" t="s">
        <v>49</v>
      </c>
      <c r="AJ60" s="6" t="s">
        <v>49</v>
      </c>
      <c r="AK60" s="6" t="s">
        <v>49</v>
      </c>
      <c r="AL60" s="9" t="s">
        <v>49</v>
      </c>
      <c r="AM60" s="9" t="s">
        <v>206</v>
      </c>
      <c r="AN60" s="6" t="s">
        <v>49</v>
      </c>
      <c r="AO60" s="9" t="s">
        <v>206</v>
      </c>
      <c r="AP60" s="11">
        <v>0</v>
      </c>
      <c r="AQ60" s="11">
        <v>0</v>
      </c>
      <c r="AR60" s="11">
        <v>0</v>
      </c>
      <c r="AS60" s="11">
        <v>0</v>
      </c>
      <c r="AT60" s="11">
        <v>250</v>
      </c>
      <c r="AU60" s="11">
        <v>0</v>
      </c>
      <c r="AV60" s="11" t="s">
        <v>51</v>
      </c>
    </row>
    <row r="61" spans="1:50" customFormat="1" ht="14.5" hidden="1">
      <c r="A61" s="6">
        <v>60</v>
      </c>
      <c r="B61" s="7" t="s">
        <v>207</v>
      </c>
      <c r="C61" s="7" t="s">
        <v>49</v>
      </c>
      <c r="D61" s="6">
        <v>12531</v>
      </c>
      <c r="E61" s="6" t="s">
        <v>208</v>
      </c>
      <c r="F61" s="8"/>
      <c r="G61" s="8"/>
      <c r="H61" s="7" t="s">
        <v>49</v>
      </c>
      <c r="I61" s="7"/>
      <c r="J61" s="6" t="s">
        <v>49</v>
      </c>
      <c r="K61" s="9" t="s">
        <v>49</v>
      </c>
      <c r="L61" s="9" t="s">
        <v>49</v>
      </c>
      <c r="M61" s="8"/>
      <c r="N61" s="10">
        <v>42916</v>
      </c>
      <c r="O61" s="10">
        <v>44851</v>
      </c>
      <c r="P61" s="9" t="s">
        <v>49</v>
      </c>
      <c r="Q61" s="9" t="s">
        <v>49</v>
      </c>
      <c r="R61" s="8"/>
      <c r="S61" s="8"/>
      <c r="T61" s="8"/>
      <c r="U61" s="8"/>
      <c r="V61" s="9" t="s">
        <v>49</v>
      </c>
      <c r="W61" s="9" t="s">
        <v>49</v>
      </c>
      <c r="X61" s="8"/>
      <c r="Y61" s="8"/>
      <c r="Z61" s="8"/>
      <c r="AA61" s="8"/>
      <c r="AB61" s="8"/>
      <c r="AC61" s="8"/>
      <c r="AD61" s="8"/>
      <c r="AE61" s="8"/>
      <c r="AF61" s="8"/>
      <c r="AG61" s="8"/>
      <c r="AH61" s="7" t="s">
        <v>51</v>
      </c>
      <c r="AI61" s="6" t="s">
        <v>49</v>
      </c>
      <c r="AJ61" s="6" t="s">
        <v>49</v>
      </c>
      <c r="AK61" s="6" t="s">
        <v>49</v>
      </c>
      <c r="AL61" s="9" t="s">
        <v>49</v>
      </c>
      <c r="AM61" s="9" t="s">
        <v>122</v>
      </c>
      <c r="AN61" s="6" t="s">
        <v>49</v>
      </c>
      <c r="AO61" s="9" t="s">
        <v>162</v>
      </c>
      <c r="AP61" s="11">
        <v>0</v>
      </c>
      <c r="AQ61" s="11">
        <v>0</v>
      </c>
      <c r="AR61" s="11">
        <v>0</v>
      </c>
      <c r="AS61" s="11">
        <v>0</v>
      </c>
      <c r="AT61" s="11">
        <v>0</v>
      </c>
      <c r="AU61" s="11">
        <v>0</v>
      </c>
      <c r="AV61" s="11" t="s">
        <v>51</v>
      </c>
    </row>
    <row r="62" spans="1:50" customFormat="1" ht="14.5" hidden="1">
      <c r="A62" s="6">
        <v>61</v>
      </c>
      <c r="B62" s="7" t="s">
        <v>209</v>
      </c>
      <c r="C62" s="7" t="s">
        <v>49</v>
      </c>
      <c r="D62" s="6">
        <v>12531</v>
      </c>
      <c r="E62" s="6" t="s">
        <v>49</v>
      </c>
      <c r="F62" s="8"/>
      <c r="G62" s="8"/>
      <c r="H62" s="7" t="s">
        <v>49</v>
      </c>
      <c r="I62" s="7"/>
      <c r="J62" s="6" t="s">
        <v>49</v>
      </c>
      <c r="K62" s="9" t="s">
        <v>49</v>
      </c>
      <c r="L62" s="9" t="s">
        <v>49</v>
      </c>
      <c r="M62" s="8"/>
      <c r="N62" s="10">
        <v>42916</v>
      </c>
      <c r="O62" s="10">
        <v>44851</v>
      </c>
      <c r="P62" s="9" t="s">
        <v>49</v>
      </c>
      <c r="Q62" s="9" t="s">
        <v>49</v>
      </c>
      <c r="R62" s="8"/>
      <c r="S62" s="8"/>
      <c r="T62" s="8"/>
      <c r="U62" s="8"/>
      <c r="V62" s="9" t="s">
        <v>49</v>
      </c>
      <c r="W62" s="9" t="s">
        <v>49</v>
      </c>
      <c r="X62" s="8"/>
      <c r="Y62" s="8"/>
      <c r="Z62" s="8"/>
      <c r="AA62" s="8"/>
      <c r="AB62" s="8"/>
      <c r="AC62" s="8"/>
      <c r="AD62" s="8"/>
      <c r="AE62" s="8"/>
      <c r="AF62" s="8"/>
      <c r="AG62" s="8"/>
      <c r="AH62" s="7" t="s">
        <v>51</v>
      </c>
      <c r="AI62" s="6" t="s">
        <v>71</v>
      </c>
      <c r="AJ62" s="6" t="s">
        <v>49</v>
      </c>
      <c r="AK62" s="6" t="s">
        <v>118</v>
      </c>
      <c r="AL62" s="9" t="s">
        <v>119</v>
      </c>
      <c r="AM62" s="9" t="s">
        <v>49</v>
      </c>
      <c r="AN62" s="6" t="s">
        <v>210</v>
      </c>
      <c r="AO62" s="9" t="s">
        <v>49</v>
      </c>
      <c r="AP62" s="11">
        <v>7248.8885899999996</v>
      </c>
      <c r="AQ62" s="11">
        <v>0</v>
      </c>
      <c r="AR62" s="11">
        <v>0</v>
      </c>
      <c r="AS62" s="11">
        <v>41681.266040000002</v>
      </c>
      <c r="AT62" s="11">
        <v>0</v>
      </c>
      <c r="AU62" s="11">
        <v>0</v>
      </c>
      <c r="AV62" s="11">
        <v>0</v>
      </c>
    </row>
    <row r="63" spans="1:50" customFormat="1" ht="14.5" hidden="1">
      <c r="A63" s="6">
        <v>62</v>
      </c>
      <c r="B63" s="7" t="s">
        <v>211</v>
      </c>
      <c r="C63" s="7" t="s">
        <v>49</v>
      </c>
      <c r="D63" s="6">
        <v>15432</v>
      </c>
      <c r="E63" s="6" t="s">
        <v>212</v>
      </c>
      <c r="F63" s="8"/>
      <c r="G63" s="8"/>
      <c r="H63" s="7" t="s">
        <v>49</v>
      </c>
      <c r="I63" s="7"/>
      <c r="J63" s="6" t="s">
        <v>49</v>
      </c>
      <c r="K63" s="9" t="s">
        <v>49</v>
      </c>
      <c r="L63" s="9" t="s">
        <v>49</v>
      </c>
      <c r="M63" s="8"/>
      <c r="N63" s="12"/>
      <c r="O63" s="12"/>
      <c r="P63" s="9" t="s">
        <v>49</v>
      </c>
      <c r="Q63" s="9" t="s">
        <v>49</v>
      </c>
      <c r="R63" s="8"/>
      <c r="S63" s="8"/>
      <c r="T63" s="8"/>
      <c r="U63" s="8"/>
      <c r="V63" s="9" t="s">
        <v>49</v>
      </c>
      <c r="W63" s="9" t="s">
        <v>49</v>
      </c>
      <c r="X63" s="8"/>
      <c r="Y63" s="8"/>
      <c r="Z63" s="8"/>
      <c r="AA63" s="6">
        <v>0.28000000000000003</v>
      </c>
      <c r="AB63" s="6">
        <v>0.28000000000000003</v>
      </c>
      <c r="AC63" s="8"/>
      <c r="AD63" s="6">
        <v>0.28000000000000003</v>
      </c>
      <c r="AE63" s="8"/>
      <c r="AF63" s="6">
        <v>0.14000000000000001</v>
      </c>
      <c r="AG63" s="6">
        <v>0.14000000000000001</v>
      </c>
      <c r="AH63" s="7" t="s">
        <v>57</v>
      </c>
      <c r="AI63" s="6" t="s">
        <v>49</v>
      </c>
      <c r="AJ63" s="6" t="s">
        <v>49</v>
      </c>
      <c r="AK63" s="6" t="s">
        <v>49</v>
      </c>
      <c r="AL63" s="9" t="s">
        <v>49</v>
      </c>
      <c r="AM63" s="9" t="s">
        <v>213</v>
      </c>
      <c r="AN63" s="6" t="s">
        <v>49</v>
      </c>
      <c r="AO63" s="9" t="s">
        <v>201</v>
      </c>
      <c r="AP63" s="11">
        <v>0</v>
      </c>
      <c r="AQ63" s="11">
        <v>0</v>
      </c>
      <c r="AR63" s="11">
        <v>0</v>
      </c>
      <c r="AS63" s="11">
        <v>0</v>
      </c>
      <c r="AT63" s="11">
        <v>0</v>
      </c>
      <c r="AU63" s="11">
        <v>0</v>
      </c>
      <c r="AV63" s="11" t="s">
        <v>57</v>
      </c>
    </row>
    <row r="64" spans="1:50" customFormat="1" ht="14.5" hidden="1">
      <c r="A64" s="6">
        <v>63</v>
      </c>
      <c r="B64" s="7" t="s">
        <v>214</v>
      </c>
      <c r="C64" s="7" t="s">
        <v>49</v>
      </c>
      <c r="D64" s="6">
        <v>15432</v>
      </c>
      <c r="E64" s="6" t="s">
        <v>49</v>
      </c>
      <c r="F64" s="8"/>
      <c r="G64" s="8"/>
      <c r="H64" s="7" t="s">
        <v>49</v>
      </c>
      <c r="I64" s="7"/>
      <c r="J64" s="6" t="s">
        <v>49</v>
      </c>
      <c r="K64" s="9" t="s">
        <v>49</v>
      </c>
      <c r="L64" s="9" t="s">
        <v>49</v>
      </c>
      <c r="M64" s="8"/>
      <c r="N64" s="12"/>
      <c r="O64" s="12"/>
      <c r="P64" s="9" t="s">
        <v>49</v>
      </c>
      <c r="Q64" s="9" t="s">
        <v>49</v>
      </c>
      <c r="R64" s="8"/>
      <c r="S64" s="8"/>
      <c r="T64" s="8"/>
      <c r="U64" s="8"/>
      <c r="V64" s="9" t="s">
        <v>49</v>
      </c>
      <c r="W64" s="9" t="s">
        <v>49</v>
      </c>
      <c r="X64" s="8"/>
      <c r="Y64" s="8"/>
      <c r="Z64" s="8"/>
      <c r="AA64" s="8"/>
      <c r="AB64" s="8"/>
      <c r="AC64" s="8"/>
      <c r="AD64" s="8"/>
      <c r="AE64" s="8"/>
      <c r="AF64" s="8"/>
      <c r="AG64" s="8"/>
      <c r="AH64" s="7" t="s">
        <v>57</v>
      </c>
      <c r="AI64" s="6" t="s">
        <v>71</v>
      </c>
      <c r="AJ64" s="6" t="s">
        <v>49</v>
      </c>
      <c r="AK64" s="6" t="s">
        <v>49</v>
      </c>
      <c r="AL64" s="9" t="s">
        <v>213</v>
      </c>
      <c r="AM64" s="9" t="s">
        <v>49</v>
      </c>
      <c r="AN64" s="6" t="s">
        <v>85</v>
      </c>
      <c r="AO64" s="9" t="s">
        <v>49</v>
      </c>
      <c r="AP64" s="11">
        <v>7248.8885899999996</v>
      </c>
      <c r="AQ64" s="11">
        <v>0</v>
      </c>
      <c r="AR64" s="11">
        <v>0</v>
      </c>
      <c r="AS64" s="11">
        <v>41681.266040000002</v>
      </c>
      <c r="AT64" s="11">
        <v>0</v>
      </c>
      <c r="AU64" s="11">
        <v>0</v>
      </c>
      <c r="AV64" s="11">
        <v>0</v>
      </c>
    </row>
    <row r="65" spans="1:50" customFormat="1" ht="14.5" hidden="1">
      <c r="A65" s="6">
        <v>64</v>
      </c>
      <c r="B65" s="7" t="s">
        <v>215</v>
      </c>
      <c r="C65" s="7" t="s">
        <v>49</v>
      </c>
      <c r="D65" s="6">
        <v>16009</v>
      </c>
      <c r="E65" s="6" t="s">
        <v>49</v>
      </c>
      <c r="F65" s="8"/>
      <c r="G65" s="8"/>
      <c r="H65" s="7" t="s">
        <v>49</v>
      </c>
      <c r="I65" s="7"/>
      <c r="J65" s="6" t="s">
        <v>49</v>
      </c>
      <c r="K65" s="9" t="s">
        <v>49</v>
      </c>
      <c r="L65" s="9" t="s">
        <v>49</v>
      </c>
      <c r="M65" s="8"/>
      <c r="N65" s="12"/>
      <c r="O65" s="10">
        <v>43525</v>
      </c>
      <c r="P65" s="9" t="s">
        <v>49</v>
      </c>
      <c r="Q65" s="9" t="s">
        <v>49</v>
      </c>
      <c r="R65" s="8"/>
      <c r="S65" s="8"/>
      <c r="T65" s="8"/>
      <c r="U65" s="8"/>
      <c r="V65" s="9" t="s">
        <v>49</v>
      </c>
      <c r="W65" s="9" t="s">
        <v>49</v>
      </c>
      <c r="X65" s="8"/>
      <c r="Y65" s="8"/>
      <c r="Z65" s="8"/>
      <c r="AA65" s="8"/>
      <c r="AB65" s="8"/>
      <c r="AC65" s="8"/>
      <c r="AD65" s="8"/>
      <c r="AE65" s="8"/>
      <c r="AF65" s="8"/>
      <c r="AG65" s="8"/>
      <c r="AH65" s="7" t="s">
        <v>57</v>
      </c>
      <c r="AI65" s="6" t="s">
        <v>71</v>
      </c>
      <c r="AJ65" s="6" t="s">
        <v>49</v>
      </c>
      <c r="AK65" s="6" t="s">
        <v>49</v>
      </c>
      <c r="AL65" s="9" t="s">
        <v>213</v>
      </c>
      <c r="AM65" s="9" t="s">
        <v>49</v>
      </c>
      <c r="AN65" s="6" t="s">
        <v>85</v>
      </c>
      <c r="AO65" s="9" t="s">
        <v>49</v>
      </c>
      <c r="AP65" s="11">
        <v>7248.8885899999996</v>
      </c>
      <c r="AQ65" s="11">
        <v>0</v>
      </c>
      <c r="AR65" s="11">
        <v>0</v>
      </c>
      <c r="AS65" s="11">
        <v>41681.266040000002</v>
      </c>
      <c r="AT65" s="11">
        <v>0</v>
      </c>
      <c r="AU65" s="11">
        <v>0</v>
      </c>
      <c r="AV65" s="11">
        <v>0</v>
      </c>
    </row>
    <row r="66" spans="1:50" customFormat="1" ht="14.5" hidden="1">
      <c r="A66" s="6">
        <v>65</v>
      </c>
      <c r="B66" s="7" t="s">
        <v>215</v>
      </c>
      <c r="C66" s="7" t="s">
        <v>81</v>
      </c>
      <c r="D66" s="6">
        <v>16009</v>
      </c>
      <c r="E66" s="6" t="s">
        <v>216</v>
      </c>
      <c r="F66" s="8"/>
      <c r="G66" s="8"/>
      <c r="H66" s="7" t="s">
        <v>88</v>
      </c>
      <c r="I66" s="7" t="s">
        <v>217</v>
      </c>
      <c r="J66" s="6" t="s">
        <v>75</v>
      </c>
      <c r="K66" s="9" t="s">
        <v>76</v>
      </c>
      <c r="L66" s="9" t="s">
        <v>49</v>
      </c>
      <c r="M66" s="8"/>
      <c r="N66" s="8"/>
      <c r="O66" s="10">
        <v>43525</v>
      </c>
      <c r="P66" s="9" t="s">
        <v>49</v>
      </c>
      <c r="Q66" s="9" t="s">
        <v>49</v>
      </c>
      <c r="R66" s="8"/>
      <c r="S66" s="8"/>
      <c r="T66" s="8"/>
      <c r="U66" s="8"/>
      <c r="V66" s="9" t="s">
        <v>49</v>
      </c>
      <c r="W66" s="9" t="s">
        <v>49</v>
      </c>
      <c r="X66" s="8"/>
      <c r="Y66" s="8"/>
      <c r="Z66" s="8"/>
      <c r="AA66" s="6">
        <v>0.90900000000000003</v>
      </c>
      <c r="AB66" s="6">
        <v>0.90900000000000003</v>
      </c>
      <c r="AC66" s="8"/>
      <c r="AD66" s="6">
        <v>0.90900000000000003</v>
      </c>
      <c r="AE66" s="8"/>
      <c r="AF66" s="6">
        <v>0.45500000000000002</v>
      </c>
      <c r="AG66" s="6">
        <v>0.45500000000000002</v>
      </c>
      <c r="AH66" s="7" t="s">
        <v>57</v>
      </c>
      <c r="AI66" s="6" t="s">
        <v>49</v>
      </c>
      <c r="AJ66" s="6" t="s">
        <v>49</v>
      </c>
      <c r="AK66" s="6" t="s">
        <v>49</v>
      </c>
      <c r="AL66" s="9" t="s">
        <v>49</v>
      </c>
      <c r="AM66" s="9" t="s">
        <v>52</v>
      </c>
      <c r="AN66" s="6" t="s">
        <v>218</v>
      </c>
      <c r="AO66" s="9" t="s">
        <v>201</v>
      </c>
      <c r="AP66" s="11">
        <v>22.050009999999997</v>
      </c>
      <c r="AQ66" s="11">
        <v>18375.009999999998</v>
      </c>
      <c r="AR66" s="11">
        <v>18375.009999999998</v>
      </c>
      <c r="AS66" s="11">
        <v>22.050009999999997</v>
      </c>
      <c r="AT66" s="11">
        <v>975.89201000000003</v>
      </c>
      <c r="AU66" s="11">
        <v>990</v>
      </c>
      <c r="AV66" s="11" t="s">
        <v>57</v>
      </c>
      <c r="AW66" t="s">
        <v>93</v>
      </c>
    </row>
    <row r="67" spans="1:50" customFormat="1" ht="14.5" hidden="1">
      <c r="A67" s="6">
        <v>66</v>
      </c>
      <c r="B67" s="7" t="s">
        <v>219</v>
      </c>
      <c r="C67" s="7" t="s">
        <v>49</v>
      </c>
      <c r="D67" s="6">
        <v>15067</v>
      </c>
      <c r="E67" s="6" t="s">
        <v>220</v>
      </c>
      <c r="F67" s="8"/>
      <c r="G67" s="8"/>
      <c r="H67" s="7" t="s">
        <v>49</v>
      </c>
      <c r="I67" s="7"/>
      <c r="J67" s="6" t="s">
        <v>49</v>
      </c>
      <c r="K67" s="9" t="s">
        <v>49</v>
      </c>
      <c r="L67" s="9" t="s">
        <v>49</v>
      </c>
      <c r="M67" s="8"/>
      <c r="N67" s="10">
        <v>43007</v>
      </c>
      <c r="O67" s="10">
        <v>44196</v>
      </c>
      <c r="P67" s="9" t="s">
        <v>49</v>
      </c>
      <c r="Q67" s="9" t="s">
        <v>49</v>
      </c>
      <c r="R67" s="8"/>
      <c r="S67" s="8"/>
      <c r="T67" s="8"/>
      <c r="U67" s="8"/>
      <c r="V67" s="9" t="s">
        <v>49</v>
      </c>
      <c r="W67" s="9" t="s">
        <v>49</v>
      </c>
      <c r="X67" s="8"/>
      <c r="Y67" s="8"/>
      <c r="Z67" s="8"/>
      <c r="AA67" s="8"/>
      <c r="AB67" s="8"/>
      <c r="AC67" s="8"/>
      <c r="AD67" s="8"/>
      <c r="AE67" s="8"/>
      <c r="AF67" s="8"/>
      <c r="AG67" s="8"/>
      <c r="AH67" s="7" t="s">
        <v>51</v>
      </c>
      <c r="AI67" s="6" t="s">
        <v>49</v>
      </c>
      <c r="AJ67" s="6" t="s">
        <v>49</v>
      </c>
      <c r="AK67" s="6" t="s">
        <v>49</v>
      </c>
      <c r="AL67" s="9" t="s">
        <v>49</v>
      </c>
      <c r="AM67" s="9" t="s">
        <v>221</v>
      </c>
      <c r="AN67" s="6" t="s">
        <v>49</v>
      </c>
      <c r="AO67" s="9" t="s">
        <v>222</v>
      </c>
      <c r="AP67" s="11">
        <v>0</v>
      </c>
      <c r="AQ67" s="11">
        <v>0</v>
      </c>
      <c r="AR67" s="11">
        <v>0</v>
      </c>
      <c r="AS67" s="11">
        <v>0</v>
      </c>
      <c r="AT67" s="11">
        <v>0</v>
      </c>
      <c r="AU67" s="11">
        <v>0</v>
      </c>
      <c r="AV67" s="11" t="s">
        <v>51</v>
      </c>
    </row>
    <row r="68" spans="1:50" customFormat="1" ht="14.5" hidden="1">
      <c r="A68" s="6">
        <v>67</v>
      </c>
      <c r="B68" s="7" t="s">
        <v>223</v>
      </c>
      <c r="C68" s="7" t="s">
        <v>49</v>
      </c>
      <c r="D68" s="6">
        <v>15491</v>
      </c>
      <c r="E68" s="6" t="s">
        <v>49</v>
      </c>
      <c r="F68" s="8"/>
      <c r="G68" s="8"/>
      <c r="H68" s="7" t="s">
        <v>49</v>
      </c>
      <c r="I68" s="7"/>
      <c r="J68" s="6" t="s">
        <v>49</v>
      </c>
      <c r="K68" s="9" t="s">
        <v>49</v>
      </c>
      <c r="L68" s="9" t="s">
        <v>49</v>
      </c>
      <c r="M68" s="8"/>
      <c r="N68" s="8"/>
      <c r="O68" s="10">
        <v>44196</v>
      </c>
      <c r="P68" s="9" t="s">
        <v>49</v>
      </c>
      <c r="Q68" s="9" t="s">
        <v>49</v>
      </c>
      <c r="R68" s="8"/>
      <c r="S68" s="8"/>
      <c r="T68" s="8"/>
      <c r="U68" s="8"/>
      <c r="V68" s="9" t="s">
        <v>49</v>
      </c>
      <c r="W68" s="9" t="s">
        <v>49</v>
      </c>
      <c r="X68" s="8"/>
      <c r="Y68" s="8"/>
      <c r="Z68" s="8"/>
      <c r="AA68" s="8"/>
      <c r="AB68" s="8"/>
      <c r="AC68" s="8"/>
      <c r="AD68" s="8"/>
      <c r="AE68" s="8"/>
      <c r="AF68" s="8"/>
      <c r="AG68" s="8"/>
      <c r="AH68" s="7" t="s">
        <v>57</v>
      </c>
      <c r="AI68" s="6" t="s">
        <v>71</v>
      </c>
      <c r="AJ68" s="6" t="s">
        <v>49</v>
      </c>
      <c r="AK68" s="6" t="s">
        <v>49</v>
      </c>
      <c r="AL68" s="9" t="s">
        <v>52</v>
      </c>
      <c r="AM68" s="9" t="s">
        <v>49</v>
      </c>
      <c r="AN68" s="6" t="s">
        <v>85</v>
      </c>
      <c r="AO68" s="9" t="s">
        <v>49</v>
      </c>
      <c r="AP68" s="11">
        <v>7248.8885899999996</v>
      </c>
      <c r="AQ68" s="11">
        <v>0</v>
      </c>
      <c r="AR68" s="11">
        <v>0</v>
      </c>
      <c r="AS68" s="11">
        <v>41681.266040000002</v>
      </c>
      <c r="AT68" s="11">
        <v>0</v>
      </c>
      <c r="AU68" s="11">
        <v>0</v>
      </c>
      <c r="AV68" s="11">
        <v>0</v>
      </c>
    </row>
    <row r="69" spans="1:50" customFormat="1" ht="14.5" hidden="1">
      <c r="A69" s="6">
        <v>68</v>
      </c>
      <c r="B69" s="7" t="s">
        <v>223</v>
      </c>
      <c r="C69" s="7" t="s">
        <v>49</v>
      </c>
      <c r="D69" s="6">
        <v>15491</v>
      </c>
      <c r="E69" s="6" t="s">
        <v>224</v>
      </c>
      <c r="F69" s="8"/>
      <c r="G69" s="8"/>
      <c r="H69" s="7" t="s">
        <v>49</v>
      </c>
      <c r="I69" s="7"/>
      <c r="J69" s="6" t="s">
        <v>49</v>
      </c>
      <c r="K69" s="9" t="s">
        <v>49</v>
      </c>
      <c r="L69" s="9" t="s">
        <v>49</v>
      </c>
      <c r="M69" s="8"/>
      <c r="N69" s="8"/>
      <c r="O69" s="10">
        <v>44196</v>
      </c>
      <c r="P69" s="9" t="s">
        <v>49</v>
      </c>
      <c r="Q69" s="9" t="s">
        <v>49</v>
      </c>
      <c r="R69" s="8"/>
      <c r="S69" s="8"/>
      <c r="T69" s="8"/>
      <c r="U69" s="8"/>
      <c r="V69" s="9" t="s">
        <v>49</v>
      </c>
      <c r="W69" s="9" t="s">
        <v>49</v>
      </c>
      <c r="X69" s="8"/>
      <c r="Y69" s="8"/>
      <c r="Z69" s="8"/>
      <c r="AA69" s="12"/>
      <c r="AB69" s="12"/>
      <c r="AC69" s="8"/>
      <c r="AD69" s="12"/>
      <c r="AE69" s="8"/>
      <c r="AF69" s="12"/>
      <c r="AG69" s="12"/>
      <c r="AH69" s="7" t="s">
        <v>57</v>
      </c>
      <c r="AI69" s="6" t="s">
        <v>49</v>
      </c>
      <c r="AJ69" s="6" t="s">
        <v>49</v>
      </c>
      <c r="AK69" s="6" t="s">
        <v>49</v>
      </c>
      <c r="AL69" s="9" t="s">
        <v>49</v>
      </c>
      <c r="AM69" s="9" t="s">
        <v>92</v>
      </c>
      <c r="AN69" s="6" t="s">
        <v>49</v>
      </c>
      <c r="AO69" s="9" t="s">
        <v>92</v>
      </c>
      <c r="AP69" s="11">
        <v>0</v>
      </c>
      <c r="AQ69" s="11">
        <v>0</v>
      </c>
      <c r="AR69" s="11">
        <v>0</v>
      </c>
      <c r="AS69" s="11">
        <v>0</v>
      </c>
      <c r="AT69" s="11">
        <v>0</v>
      </c>
      <c r="AU69" s="11">
        <v>0</v>
      </c>
      <c r="AV69" s="11" t="s">
        <v>57</v>
      </c>
    </row>
    <row r="70" spans="1:50" customFormat="1" ht="14.5" hidden="1">
      <c r="A70" s="6">
        <v>69</v>
      </c>
      <c r="B70" s="7" t="s">
        <v>225</v>
      </c>
      <c r="C70" s="7" t="s">
        <v>86</v>
      </c>
      <c r="D70" s="6">
        <v>15701</v>
      </c>
      <c r="E70" s="6" t="s">
        <v>49</v>
      </c>
      <c r="F70" s="8"/>
      <c r="G70" s="8"/>
      <c r="H70" s="7" t="s">
        <v>49</v>
      </c>
      <c r="I70" s="7"/>
      <c r="J70" s="6" t="s">
        <v>49</v>
      </c>
      <c r="K70" s="9" t="s">
        <v>49</v>
      </c>
      <c r="L70" s="9" t="s">
        <v>49</v>
      </c>
      <c r="M70" s="8"/>
      <c r="N70" s="12"/>
      <c r="O70" s="12"/>
      <c r="P70" s="9" t="s">
        <v>49</v>
      </c>
      <c r="Q70" s="9" t="s">
        <v>49</v>
      </c>
      <c r="R70" s="8"/>
      <c r="S70" s="8"/>
      <c r="T70" s="8"/>
      <c r="U70" s="8"/>
      <c r="V70" s="9" t="s">
        <v>49</v>
      </c>
      <c r="W70" s="9" t="s">
        <v>49</v>
      </c>
      <c r="X70" s="8"/>
      <c r="Y70" s="8"/>
      <c r="Z70" s="8"/>
      <c r="AA70" s="8"/>
      <c r="AB70" s="8"/>
      <c r="AC70" s="8"/>
      <c r="AD70" s="8"/>
      <c r="AE70" s="8"/>
      <c r="AF70" s="8"/>
      <c r="AG70" s="8"/>
      <c r="AH70" s="7" t="s">
        <v>57</v>
      </c>
      <c r="AI70" s="6" t="s">
        <v>71</v>
      </c>
      <c r="AJ70" s="6" t="s">
        <v>49</v>
      </c>
      <c r="AK70" s="6" t="s">
        <v>49</v>
      </c>
      <c r="AL70" s="9" t="s">
        <v>52</v>
      </c>
      <c r="AM70" s="9" t="s">
        <v>49</v>
      </c>
      <c r="AN70" s="6" t="s">
        <v>85</v>
      </c>
      <c r="AO70" s="9" t="s">
        <v>49</v>
      </c>
      <c r="AP70" s="11">
        <v>7248.8885899999996</v>
      </c>
      <c r="AQ70" s="11">
        <v>0</v>
      </c>
      <c r="AR70" s="11">
        <v>0</v>
      </c>
      <c r="AS70" s="11">
        <v>41681.266040000002</v>
      </c>
      <c r="AT70" s="11">
        <v>0</v>
      </c>
      <c r="AU70" s="11">
        <v>0</v>
      </c>
      <c r="AV70" s="11">
        <v>0</v>
      </c>
    </row>
    <row r="71" spans="1:50" ht="13.5" hidden="1" customHeight="1">
      <c r="A71" s="46">
        <v>70</v>
      </c>
      <c r="B71" s="47" t="s">
        <v>226</v>
      </c>
      <c r="C71" s="47" t="s">
        <v>86</v>
      </c>
      <c r="D71" s="6">
        <v>15701</v>
      </c>
      <c r="E71" s="6" t="s">
        <v>227</v>
      </c>
      <c r="F71" s="6">
        <v>82864</v>
      </c>
      <c r="G71" s="8"/>
      <c r="H71" s="57" t="s">
        <v>70</v>
      </c>
      <c r="I71" s="47"/>
      <c r="J71" s="46" t="s">
        <v>75</v>
      </c>
      <c r="K71" s="48" t="s">
        <v>76</v>
      </c>
      <c r="L71" s="9" t="s">
        <v>218</v>
      </c>
      <c r="M71" s="8"/>
      <c r="N71" s="12"/>
      <c r="O71" s="12"/>
      <c r="P71" s="9" t="s">
        <v>49</v>
      </c>
      <c r="Q71" s="9" t="s">
        <v>49</v>
      </c>
      <c r="R71" s="46">
        <v>9.0999999999999998E-2</v>
      </c>
      <c r="S71" s="46">
        <v>1.7</v>
      </c>
      <c r="T71" s="6">
        <v>3.4</v>
      </c>
      <c r="U71" s="46">
        <v>1</v>
      </c>
      <c r="V71" s="48" t="s">
        <v>228</v>
      </c>
      <c r="W71" s="9" t="s">
        <v>49</v>
      </c>
      <c r="X71" s="8"/>
      <c r="Y71" s="8"/>
      <c r="Z71" s="8"/>
      <c r="AA71" s="6">
        <v>0.95</v>
      </c>
      <c r="AB71" s="6">
        <v>0.95</v>
      </c>
      <c r="AC71" s="12"/>
      <c r="AD71" s="6">
        <v>0.95</v>
      </c>
      <c r="AE71" s="8"/>
      <c r="AF71" s="6">
        <v>0.47499999999999998</v>
      </c>
      <c r="AG71" s="6">
        <v>0.47499999999999998</v>
      </c>
      <c r="AH71" s="7" t="s">
        <v>79</v>
      </c>
      <c r="AI71" s="6" t="s">
        <v>49</v>
      </c>
      <c r="AJ71" s="6" t="s">
        <v>49</v>
      </c>
      <c r="AK71" s="6" t="s">
        <v>49</v>
      </c>
      <c r="AL71" s="9" t="s">
        <v>49</v>
      </c>
      <c r="AM71" s="9" t="s">
        <v>92</v>
      </c>
      <c r="AN71" s="6" t="s">
        <v>49</v>
      </c>
      <c r="AO71" s="9" t="s">
        <v>92</v>
      </c>
      <c r="AP71" s="11">
        <v>0</v>
      </c>
      <c r="AQ71" s="11">
        <v>0</v>
      </c>
      <c r="AR71" s="11">
        <v>0</v>
      </c>
      <c r="AS71" s="11">
        <v>0</v>
      </c>
      <c r="AT71" s="11">
        <v>712.49999000000003</v>
      </c>
      <c r="AU71" s="11">
        <v>0</v>
      </c>
      <c r="AV71" s="11" t="s">
        <v>57</v>
      </c>
      <c r="AX71" s="45" t="s">
        <v>226</v>
      </c>
    </row>
    <row r="72" spans="1:50" customFormat="1" ht="14.5" hidden="1">
      <c r="A72" s="6">
        <v>71</v>
      </c>
      <c r="B72" s="7" t="s">
        <v>229</v>
      </c>
      <c r="C72" s="7" t="s">
        <v>49</v>
      </c>
      <c r="D72" s="6">
        <v>15560</v>
      </c>
      <c r="E72" s="6" t="s">
        <v>49</v>
      </c>
      <c r="F72" s="8"/>
      <c r="G72" s="8"/>
      <c r="H72" s="7" t="s">
        <v>49</v>
      </c>
      <c r="I72" s="7"/>
      <c r="J72" s="6" t="s">
        <v>49</v>
      </c>
      <c r="K72" s="9" t="s">
        <v>49</v>
      </c>
      <c r="L72" s="9" t="s">
        <v>49</v>
      </c>
      <c r="M72" s="8"/>
      <c r="N72" s="10">
        <v>43570</v>
      </c>
      <c r="O72" s="10">
        <v>44012</v>
      </c>
      <c r="P72" s="9" t="s">
        <v>49</v>
      </c>
      <c r="Q72" s="9" t="s">
        <v>49</v>
      </c>
      <c r="R72" s="8"/>
      <c r="S72" s="8"/>
      <c r="T72" s="8"/>
      <c r="U72" s="8"/>
      <c r="V72" s="9" t="s">
        <v>49</v>
      </c>
      <c r="W72" s="9" t="s">
        <v>49</v>
      </c>
      <c r="X72" s="8"/>
      <c r="Y72" s="8"/>
      <c r="Z72" s="8"/>
      <c r="AA72" s="8"/>
      <c r="AB72" s="8"/>
      <c r="AC72" s="8"/>
      <c r="AD72" s="8"/>
      <c r="AE72" s="8"/>
      <c r="AF72" s="8"/>
      <c r="AG72" s="8"/>
      <c r="AH72" s="7" t="s">
        <v>51</v>
      </c>
      <c r="AI72" s="6" t="s">
        <v>71</v>
      </c>
      <c r="AJ72" s="6" t="s">
        <v>49</v>
      </c>
      <c r="AK72" s="6" t="s">
        <v>49</v>
      </c>
      <c r="AL72" s="9" t="s">
        <v>230</v>
      </c>
      <c r="AM72" s="9" t="s">
        <v>49</v>
      </c>
      <c r="AN72" s="6" t="s">
        <v>96</v>
      </c>
      <c r="AO72" s="9" t="s">
        <v>49</v>
      </c>
      <c r="AP72" s="11">
        <v>7248.8885899999996</v>
      </c>
      <c r="AQ72" s="11">
        <v>0</v>
      </c>
      <c r="AR72" s="11">
        <v>0</v>
      </c>
      <c r="AS72" s="11">
        <v>41681.266040000002</v>
      </c>
      <c r="AT72" s="11">
        <v>0</v>
      </c>
      <c r="AU72" s="11">
        <v>0</v>
      </c>
      <c r="AV72" s="11">
        <v>0</v>
      </c>
    </row>
    <row r="73" spans="1:50" ht="13.5" hidden="1" customHeight="1">
      <c r="A73" s="46">
        <v>72</v>
      </c>
      <c r="B73" s="47" t="s">
        <v>231</v>
      </c>
      <c r="C73" s="47" t="s">
        <v>81</v>
      </c>
      <c r="D73" s="6">
        <v>15560</v>
      </c>
      <c r="E73" s="6" t="s">
        <v>232</v>
      </c>
      <c r="F73" s="6">
        <v>85794</v>
      </c>
      <c r="G73" s="8"/>
      <c r="H73" s="57" t="s">
        <v>70</v>
      </c>
      <c r="I73" s="47"/>
      <c r="J73" s="46" t="s">
        <v>75</v>
      </c>
      <c r="K73" s="48" t="s">
        <v>76</v>
      </c>
      <c r="L73" s="9" t="s">
        <v>73</v>
      </c>
      <c r="M73" s="17">
        <v>348</v>
      </c>
      <c r="N73" s="10">
        <v>43570</v>
      </c>
      <c r="O73" s="10">
        <v>44012</v>
      </c>
      <c r="P73" s="9" t="s">
        <v>231</v>
      </c>
      <c r="Q73" s="9" t="s">
        <v>233</v>
      </c>
      <c r="R73" s="46">
        <v>8</v>
      </c>
      <c r="S73" s="46">
        <v>2.8</v>
      </c>
      <c r="T73" s="6">
        <v>4.9000000000000004</v>
      </c>
      <c r="U73" s="46">
        <v>0.4</v>
      </c>
      <c r="V73" s="48" t="s">
        <v>234</v>
      </c>
      <c r="W73" s="9" t="s">
        <v>108</v>
      </c>
      <c r="X73" s="6">
        <v>3.2000000000000001E-2</v>
      </c>
      <c r="Y73" s="8"/>
      <c r="Z73" s="6">
        <v>0.316</v>
      </c>
      <c r="AA73" s="8"/>
      <c r="AB73" s="6">
        <v>0.34799999999999998</v>
      </c>
      <c r="AC73" s="8"/>
      <c r="AD73" s="6">
        <v>0.34799999999999998</v>
      </c>
      <c r="AE73" s="6">
        <v>0.27800000000000002</v>
      </c>
      <c r="AF73" s="8"/>
      <c r="AG73" s="6">
        <v>0.27800000000000002</v>
      </c>
      <c r="AH73" s="7" t="s">
        <v>51</v>
      </c>
      <c r="AI73" s="6" t="s">
        <v>49</v>
      </c>
      <c r="AJ73" s="6" t="s">
        <v>49</v>
      </c>
      <c r="AK73" s="6" t="s">
        <v>49</v>
      </c>
      <c r="AL73" s="9" t="s">
        <v>49</v>
      </c>
      <c r="AM73" s="9" t="s">
        <v>230</v>
      </c>
      <c r="AN73" s="6" t="s">
        <v>73</v>
      </c>
      <c r="AO73" s="9" t="s">
        <v>201</v>
      </c>
      <c r="AP73" s="11">
        <v>114.16815</v>
      </c>
      <c r="AQ73" s="11">
        <v>176267.87</v>
      </c>
      <c r="AR73" s="11">
        <v>176267.86250000002</v>
      </c>
      <c r="AS73" s="11">
        <v>468.07249999999999</v>
      </c>
      <c r="AT73" s="11">
        <v>339.26787000000002</v>
      </c>
      <c r="AU73" s="11">
        <v>0</v>
      </c>
      <c r="AV73" s="11" t="s">
        <v>51</v>
      </c>
    </row>
    <row r="74" spans="1:50" customFormat="1" ht="14.5" hidden="1">
      <c r="A74" s="6">
        <v>73</v>
      </c>
      <c r="B74" s="7" t="s">
        <v>235</v>
      </c>
      <c r="C74" s="7" t="s">
        <v>49</v>
      </c>
      <c r="D74" s="6">
        <v>12486</v>
      </c>
      <c r="E74" s="6" t="s">
        <v>49</v>
      </c>
      <c r="F74" s="8"/>
      <c r="G74" s="8"/>
      <c r="H74" s="7" t="s">
        <v>49</v>
      </c>
      <c r="I74" s="7"/>
      <c r="J74" s="6" t="s">
        <v>49</v>
      </c>
      <c r="K74" s="9" t="s">
        <v>49</v>
      </c>
      <c r="L74" s="9" t="s">
        <v>49</v>
      </c>
      <c r="M74" s="8"/>
      <c r="N74" s="10">
        <v>42928</v>
      </c>
      <c r="O74" s="10">
        <v>43858</v>
      </c>
      <c r="P74" s="9" t="s">
        <v>49</v>
      </c>
      <c r="Q74" s="9" t="s">
        <v>49</v>
      </c>
      <c r="R74" s="8"/>
      <c r="S74" s="8"/>
      <c r="T74" s="8"/>
      <c r="U74" s="8"/>
      <c r="V74" s="9" t="s">
        <v>49</v>
      </c>
      <c r="W74" s="9" t="s">
        <v>49</v>
      </c>
      <c r="X74" s="8"/>
      <c r="Y74" s="8"/>
      <c r="Z74" s="8"/>
      <c r="AA74" s="8"/>
      <c r="AB74" s="8"/>
      <c r="AC74" s="8"/>
      <c r="AD74" s="8"/>
      <c r="AE74" s="8"/>
      <c r="AF74" s="8"/>
      <c r="AG74" s="8"/>
      <c r="AH74" s="7" t="s">
        <v>51</v>
      </c>
      <c r="AI74" s="6" t="s">
        <v>71</v>
      </c>
      <c r="AJ74" s="6" t="s">
        <v>49</v>
      </c>
      <c r="AK74" s="6" t="s">
        <v>118</v>
      </c>
      <c r="AL74" s="9" t="s">
        <v>236</v>
      </c>
      <c r="AM74" s="9" t="s">
        <v>49</v>
      </c>
      <c r="AN74" s="6" t="s">
        <v>210</v>
      </c>
      <c r="AO74" s="9" t="s">
        <v>49</v>
      </c>
      <c r="AP74" s="11">
        <v>7248.8885899999996</v>
      </c>
      <c r="AQ74" s="11">
        <v>0</v>
      </c>
      <c r="AR74" s="11">
        <v>0</v>
      </c>
      <c r="AS74" s="11">
        <v>41681.266040000002</v>
      </c>
      <c r="AT74" s="11">
        <v>0</v>
      </c>
      <c r="AU74" s="11">
        <v>0</v>
      </c>
      <c r="AV74" s="11">
        <v>0</v>
      </c>
    </row>
    <row r="75" spans="1:50" customFormat="1" ht="14.5" hidden="1">
      <c r="A75" s="6">
        <v>74</v>
      </c>
      <c r="B75" s="7" t="s">
        <v>235</v>
      </c>
      <c r="C75" s="7" t="s">
        <v>49</v>
      </c>
      <c r="D75" s="6">
        <v>12486</v>
      </c>
      <c r="E75" s="6" t="s">
        <v>237</v>
      </c>
      <c r="F75" s="8"/>
      <c r="G75" s="8"/>
      <c r="H75" s="7" t="s">
        <v>49</v>
      </c>
      <c r="I75" s="7"/>
      <c r="J75" s="6" t="s">
        <v>49</v>
      </c>
      <c r="K75" s="9" t="s">
        <v>49</v>
      </c>
      <c r="L75" s="9" t="s">
        <v>49</v>
      </c>
      <c r="M75" s="8"/>
      <c r="N75" s="10">
        <v>42928</v>
      </c>
      <c r="O75" s="10">
        <v>43858</v>
      </c>
      <c r="P75" s="9" t="s">
        <v>49</v>
      </c>
      <c r="Q75" s="9" t="s">
        <v>49</v>
      </c>
      <c r="R75" s="8"/>
      <c r="S75" s="8"/>
      <c r="T75" s="8"/>
      <c r="U75" s="8"/>
      <c r="V75" s="9" t="s">
        <v>49</v>
      </c>
      <c r="W75" s="9" t="s">
        <v>49</v>
      </c>
      <c r="X75" s="8"/>
      <c r="Y75" s="8"/>
      <c r="Z75" s="8"/>
      <c r="AA75" s="8"/>
      <c r="AB75" s="8"/>
      <c r="AC75" s="8"/>
      <c r="AD75" s="8"/>
      <c r="AE75" s="8"/>
      <c r="AF75" s="8"/>
      <c r="AG75" s="8"/>
      <c r="AH75" s="7" t="s">
        <v>51</v>
      </c>
      <c r="AI75" s="6" t="s">
        <v>49</v>
      </c>
      <c r="AJ75" s="6" t="s">
        <v>49</v>
      </c>
      <c r="AK75" s="6" t="s">
        <v>49</v>
      </c>
      <c r="AL75" s="9" t="s">
        <v>49</v>
      </c>
      <c r="AM75" s="9" t="s">
        <v>236</v>
      </c>
      <c r="AN75" s="6" t="s">
        <v>49</v>
      </c>
      <c r="AO75" s="9" t="s">
        <v>162</v>
      </c>
      <c r="AP75" s="11">
        <v>0</v>
      </c>
      <c r="AQ75" s="11">
        <v>0</v>
      </c>
      <c r="AR75" s="11">
        <v>0</v>
      </c>
      <c r="AS75" s="11">
        <v>0</v>
      </c>
      <c r="AT75" s="11">
        <v>0</v>
      </c>
      <c r="AU75" s="11">
        <v>0</v>
      </c>
      <c r="AV75" s="11" t="s">
        <v>51</v>
      </c>
    </row>
    <row r="76" spans="1:50" customFormat="1" ht="14.5" hidden="1">
      <c r="A76" s="6">
        <v>75</v>
      </c>
      <c r="B76" s="7" t="s">
        <v>238</v>
      </c>
      <c r="C76" s="7" t="s">
        <v>49</v>
      </c>
      <c r="D76" s="6">
        <v>15644</v>
      </c>
      <c r="E76" s="6" t="s">
        <v>49</v>
      </c>
      <c r="F76" s="8"/>
      <c r="G76" s="8"/>
      <c r="H76" s="7" t="s">
        <v>49</v>
      </c>
      <c r="I76" s="7"/>
      <c r="J76" s="6" t="s">
        <v>49</v>
      </c>
      <c r="K76" s="9" t="s">
        <v>49</v>
      </c>
      <c r="L76" s="9" t="s">
        <v>49</v>
      </c>
      <c r="M76" s="8"/>
      <c r="N76" s="12"/>
      <c r="O76" s="12"/>
      <c r="P76" s="9" t="s">
        <v>49</v>
      </c>
      <c r="Q76" s="9" t="s">
        <v>49</v>
      </c>
      <c r="R76" s="8"/>
      <c r="S76" s="8"/>
      <c r="T76" s="8"/>
      <c r="U76" s="8"/>
      <c r="V76" s="9" t="s">
        <v>49</v>
      </c>
      <c r="W76" s="9" t="s">
        <v>49</v>
      </c>
      <c r="X76" s="8"/>
      <c r="Y76" s="8"/>
      <c r="Z76" s="8"/>
      <c r="AA76" s="8"/>
      <c r="AB76" s="8"/>
      <c r="AC76" s="8"/>
      <c r="AD76" s="8"/>
      <c r="AE76" s="8"/>
      <c r="AF76" s="8"/>
      <c r="AG76" s="8"/>
      <c r="AH76" s="7" t="s">
        <v>79</v>
      </c>
      <c r="AI76" s="6" t="s">
        <v>110</v>
      </c>
      <c r="AJ76" s="6" t="s">
        <v>49</v>
      </c>
      <c r="AK76" s="6" t="s">
        <v>49</v>
      </c>
      <c r="AL76" s="9" t="s">
        <v>52</v>
      </c>
      <c r="AM76" s="9" t="s">
        <v>49</v>
      </c>
      <c r="AN76" s="6" t="s">
        <v>82</v>
      </c>
      <c r="AO76" s="9" t="s">
        <v>49</v>
      </c>
      <c r="AP76" s="11">
        <v>7248.8885899999996</v>
      </c>
      <c r="AQ76" s="11">
        <v>0</v>
      </c>
      <c r="AR76" s="11">
        <v>0</v>
      </c>
      <c r="AS76" s="11">
        <v>41681.266040000002</v>
      </c>
      <c r="AT76" s="11">
        <v>0</v>
      </c>
      <c r="AU76" s="11">
        <v>0</v>
      </c>
      <c r="AV76" s="11">
        <v>0</v>
      </c>
    </row>
    <row r="77" spans="1:50" customFormat="1" ht="14.5" hidden="1">
      <c r="A77" s="6">
        <v>76</v>
      </c>
      <c r="B77" s="7" t="s">
        <v>239</v>
      </c>
      <c r="C77" s="7" t="s">
        <v>81</v>
      </c>
      <c r="D77" s="6">
        <v>15464</v>
      </c>
      <c r="E77" s="6"/>
      <c r="F77" s="6"/>
      <c r="G77" s="8"/>
      <c r="H77" s="7" t="s">
        <v>49</v>
      </c>
      <c r="I77" s="7"/>
      <c r="J77" s="6" t="s">
        <v>75</v>
      </c>
      <c r="K77" s="9" t="s">
        <v>89</v>
      </c>
      <c r="L77" s="9" t="s">
        <v>73</v>
      </c>
      <c r="M77" s="6"/>
      <c r="N77" s="10">
        <v>43467</v>
      </c>
      <c r="O77" s="10">
        <v>44196</v>
      </c>
      <c r="P77" s="9" t="s">
        <v>240</v>
      </c>
      <c r="Q77" s="9" t="s">
        <v>241</v>
      </c>
      <c r="R77" s="8"/>
      <c r="S77" s="8"/>
      <c r="T77" s="8"/>
      <c r="U77" s="8"/>
      <c r="V77" s="9" t="s">
        <v>49</v>
      </c>
      <c r="W77" s="9" t="s">
        <v>49</v>
      </c>
      <c r="X77" s="8"/>
      <c r="Y77" s="8"/>
      <c r="Z77" s="6">
        <v>0.3</v>
      </c>
      <c r="AA77" s="12"/>
      <c r="AB77" s="6">
        <v>0.3</v>
      </c>
      <c r="AC77" s="8"/>
      <c r="AD77" s="6">
        <v>0.3</v>
      </c>
      <c r="AE77" s="6">
        <v>0.24</v>
      </c>
      <c r="AF77" s="12"/>
      <c r="AG77" s="6">
        <v>0.24</v>
      </c>
      <c r="AH77" s="7" t="s">
        <v>51</v>
      </c>
      <c r="AI77" s="6" t="s">
        <v>49</v>
      </c>
      <c r="AJ77" s="6" t="s">
        <v>49</v>
      </c>
      <c r="AK77" s="6" t="s">
        <v>49</v>
      </c>
      <c r="AL77" s="9" t="s">
        <v>49</v>
      </c>
      <c r="AM77" s="9" t="s">
        <v>213</v>
      </c>
      <c r="AN77" s="6" t="s">
        <v>49</v>
      </c>
      <c r="AO77" s="9" t="s">
        <v>242</v>
      </c>
      <c r="AP77" s="11">
        <v>0</v>
      </c>
      <c r="AQ77" s="11">
        <v>0</v>
      </c>
      <c r="AR77" s="11">
        <v>0</v>
      </c>
      <c r="AS77" s="11">
        <v>0</v>
      </c>
      <c r="AT77" s="11">
        <v>0</v>
      </c>
      <c r="AU77" s="11">
        <v>0</v>
      </c>
      <c r="AV77" s="11">
        <v>0</v>
      </c>
    </row>
    <row r="78" spans="1:50" customFormat="1" ht="14.5" hidden="1">
      <c r="A78" s="6">
        <v>77</v>
      </c>
      <c r="B78" s="7" t="s">
        <v>243</v>
      </c>
      <c r="C78" s="7" t="s">
        <v>81</v>
      </c>
      <c r="D78" s="6">
        <v>15464</v>
      </c>
      <c r="E78" s="19" t="s">
        <v>244</v>
      </c>
      <c r="F78" s="6">
        <v>83387</v>
      </c>
      <c r="G78" s="8"/>
      <c r="H78" s="7" t="s">
        <v>245</v>
      </c>
      <c r="I78" s="7"/>
      <c r="J78" s="6" t="s">
        <v>49</v>
      </c>
      <c r="K78" s="9" t="s">
        <v>49</v>
      </c>
      <c r="L78" s="9" t="s">
        <v>49</v>
      </c>
      <c r="M78" s="17">
        <v>300</v>
      </c>
      <c r="N78" s="10">
        <v>43467</v>
      </c>
      <c r="O78" s="10">
        <v>44196</v>
      </c>
      <c r="P78" s="9" t="s">
        <v>49</v>
      </c>
      <c r="Q78" s="9" t="s">
        <v>49</v>
      </c>
      <c r="R78" s="8"/>
      <c r="S78" s="8"/>
      <c r="T78" s="8"/>
      <c r="U78" s="8"/>
      <c r="V78" s="9" t="s">
        <v>49</v>
      </c>
      <c r="W78" s="9" t="s">
        <v>49</v>
      </c>
      <c r="X78" s="8"/>
      <c r="Y78" s="8"/>
      <c r="Z78" s="8"/>
      <c r="AA78" s="8"/>
      <c r="AB78" s="8"/>
      <c r="AC78" s="8"/>
      <c r="AD78" s="8"/>
      <c r="AE78" s="8"/>
      <c r="AF78" s="8"/>
      <c r="AG78" s="8"/>
      <c r="AH78" s="7" t="s">
        <v>57</v>
      </c>
      <c r="AI78" s="6" t="s">
        <v>71</v>
      </c>
      <c r="AJ78" s="6" t="s">
        <v>49</v>
      </c>
      <c r="AK78" s="6" t="s">
        <v>49</v>
      </c>
      <c r="AL78" s="9" t="s">
        <v>213</v>
      </c>
      <c r="AM78" s="9" t="s">
        <v>49</v>
      </c>
      <c r="AN78" s="6" t="s">
        <v>85</v>
      </c>
      <c r="AO78" s="9" t="s">
        <v>49</v>
      </c>
      <c r="AP78" s="11">
        <v>563.37393000000009</v>
      </c>
      <c r="AQ78" s="11">
        <v>739891.79</v>
      </c>
      <c r="AR78" s="11">
        <v>739891.79208333325</v>
      </c>
      <c r="AS78" s="11">
        <v>2046.8381200000001</v>
      </c>
      <c r="AT78" s="11">
        <v>959.40879000000007</v>
      </c>
      <c r="AU78" s="11">
        <v>783</v>
      </c>
      <c r="AV78" s="11" t="s">
        <v>51</v>
      </c>
      <c r="AW78" t="s">
        <v>93</v>
      </c>
    </row>
    <row r="79" spans="1:50" customFormat="1" ht="14.5" hidden="1">
      <c r="A79" s="6">
        <v>78</v>
      </c>
      <c r="B79" s="7" t="s">
        <v>246</v>
      </c>
      <c r="C79" s="7" t="s">
        <v>49</v>
      </c>
      <c r="D79" s="6">
        <v>15644</v>
      </c>
      <c r="E79" s="6" t="s">
        <v>49</v>
      </c>
      <c r="F79" s="8"/>
      <c r="G79" s="8"/>
      <c r="H79" s="7" t="s">
        <v>49</v>
      </c>
      <c r="I79" s="7"/>
      <c r="J79" s="6" t="s">
        <v>49</v>
      </c>
      <c r="K79" s="9" t="s">
        <v>49</v>
      </c>
      <c r="L79" s="9" t="s">
        <v>49</v>
      </c>
      <c r="M79" s="8"/>
      <c r="N79" s="12"/>
      <c r="O79" s="12"/>
      <c r="P79" s="9" t="s">
        <v>49</v>
      </c>
      <c r="Q79" s="9" t="s">
        <v>49</v>
      </c>
      <c r="R79" s="8"/>
      <c r="S79" s="8"/>
      <c r="T79" s="8"/>
      <c r="U79" s="8"/>
      <c r="V79" s="9" t="s">
        <v>49</v>
      </c>
      <c r="W79" s="9" t="s">
        <v>49</v>
      </c>
      <c r="X79" s="8"/>
      <c r="Y79" s="8"/>
      <c r="Z79" s="8"/>
      <c r="AA79" s="12"/>
      <c r="AB79" s="12"/>
      <c r="AC79" s="8"/>
      <c r="AD79" s="12"/>
      <c r="AE79" s="8"/>
      <c r="AF79" s="12"/>
      <c r="AG79" s="12"/>
      <c r="AH79" s="7" t="s">
        <v>79</v>
      </c>
      <c r="AI79" s="6" t="s">
        <v>110</v>
      </c>
      <c r="AJ79" s="6" t="s">
        <v>49</v>
      </c>
      <c r="AK79" s="6" t="s">
        <v>49</v>
      </c>
      <c r="AL79" s="9" t="s">
        <v>111</v>
      </c>
      <c r="AM79" s="9" t="s">
        <v>49</v>
      </c>
      <c r="AN79" s="6" t="s">
        <v>82</v>
      </c>
      <c r="AO79" s="9" t="s">
        <v>49</v>
      </c>
      <c r="AP79" s="11">
        <v>7248.8885899999996</v>
      </c>
      <c r="AQ79" s="11">
        <v>0</v>
      </c>
      <c r="AR79" s="11">
        <v>0</v>
      </c>
      <c r="AS79" s="11">
        <v>41681.266040000002</v>
      </c>
      <c r="AT79" s="11">
        <v>0</v>
      </c>
      <c r="AU79" s="11">
        <v>0</v>
      </c>
      <c r="AV79" s="11">
        <v>0</v>
      </c>
    </row>
    <row r="80" spans="1:50" customFormat="1" ht="14.5" hidden="1">
      <c r="A80" s="6">
        <v>79</v>
      </c>
      <c r="B80" s="7" t="s">
        <v>247</v>
      </c>
      <c r="C80" s="7" t="s">
        <v>49</v>
      </c>
      <c r="D80" s="6">
        <v>15441</v>
      </c>
      <c r="E80" s="6" t="s">
        <v>248</v>
      </c>
      <c r="F80" s="8"/>
      <c r="G80" s="8"/>
      <c r="H80" s="7" t="s">
        <v>49</v>
      </c>
      <c r="I80" s="7"/>
      <c r="J80" s="6" t="s">
        <v>49</v>
      </c>
      <c r="K80" s="9" t="s">
        <v>49</v>
      </c>
      <c r="L80" s="9" t="s">
        <v>49</v>
      </c>
      <c r="M80" s="8"/>
      <c r="N80" s="12"/>
      <c r="O80" s="12"/>
      <c r="P80" s="9" t="s">
        <v>49</v>
      </c>
      <c r="Q80" s="9" t="s">
        <v>49</v>
      </c>
      <c r="R80" s="8"/>
      <c r="S80" s="8"/>
      <c r="T80" s="8"/>
      <c r="U80" s="8"/>
      <c r="V80" s="9" t="s">
        <v>49</v>
      </c>
      <c r="W80" s="9" t="s">
        <v>49</v>
      </c>
      <c r="X80" s="8"/>
      <c r="Y80" s="8"/>
      <c r="Z80" s="8"/>
      <c r="AA80" s="8"/>
      <c r="AB80" s="8"/>
      <c r="AC80" s="8"/>
      <c r="AD80" s="8"/>
      <c r="AE80" s="8"/>
      <c r="AF80" s="8"/>
      <c r="AG80" s="8"/>
      <c r="AH80" s="7" t="s">
        <v>79</v>
      </c>
      <c r="AI80" s="6" t="s">
        <v>49</v>
      </c>
      <c r="AJ80" s="6" t="s">
        <v>49</v>
      </c>
      <c r="AK80" s="6" t="s">
        <v>49</v>
      </c>
      <c r="AL80" s="9" t="s">
        <v>49</v>
      </c>
      <c r="AM80" s="9" t="s">
        <v>249</v>
      </c>
      <c r="AN80" s="6" t="s">
        <v>49</v>
      </c>
      <c r="AO80" s="9" t="s">
        <v>249</v>
      </c>
      <c r="AP80" s="11">
        <v>0</v>
      </c>
      <c r="AQ80" s="11">
        <v>0</v>
      </c>
      <c r="AR80" s="11">
        <v>0</v>
      </c>
      <c r="AS80" s="11">
        <v>0</v>
      </c>
      <c r="AT80" s="11">
        <v>0</v>
      </c>
      <c r="AU80" s="11">
        <v>0</v>
      </c>
      <c r="AV80" s="11" t="s">
        <v>79</v>
      </c>
    </row>
    <row r="81" spans="1:50" customFormat="1" ht="14.5" hidden="1">
      <c r="A81" s="6">
        <v>80</v>
      </c>
      <c r="B81" s="7" t="s">
        <v>250</v>
      </c>
      <c r="C81" s="7" t="s">
        <v>49</v>
      </c>
      <c r="D81" s="6">
        <v>15524</v>
      </c>
      <c r="E81" s="6" t="s">
        <v>251</v>
      </c>
      <c r="F81" s="8"/>
      <c r="G81" s="8"/>
      <c r="H81" s="7" t="s">
        <v>49</v>
      </c>
      <c r="I81" s="7"/>
      <c r="J81" s="6" t="s">
        <v>49</v>
      </c>
      <c r="K81" s="9" t="s">
        <v>49</v>
      </c>
      <c r="L81" s="9" t="s">
        <v>49</v>
      </c>
      <c r="M81" s="8"/>
      <c r="N81" s="12"/>
      <c r="O81" s="10">
        <v>44225</v>
      </c>
      <c r="P81" s="9" t="s">
        <v>49</v>
      </c>
      <c r="Q81" s="9" t="s">
        <v>49</v>
      </c>
      <c r="R81" s="12"/>
      <c r="S81" s="12"/>
      <c r="T81" s="12"/>
      <c r="U81" s="12"/>
      <c r="V81" s="9" t="s">
        <v>49</v>
      </c>
      <c r="W81" s="9" t="s">
        <v>49</v>
      </c>
      <c r="X81" s="8"/>
      <c r="Y81" s="12"/>
      <c r="Z81" s="8"/>
      <c r="AA81" s="12"/>
      <c r="AB81" s="12"/>
      <c r="AC81" s="12"/>
      <c r="AD81" s="12"/>
      <c r="AE81" s="8"/>
      <c r="AF81" s="12"/>
      <c r="AG81" s="12"/>
      <c r="AH81" s="7" t="s">
        <v>57</v>
      </c>
      <c r="AI81" s="6" t="s">
        <v>49</v>
      </c>
      <c r="AJ81" s="6" t="s">
        <v>49</v>
      </c>
      <c r="AK81" s="6" t="s">
        <v>49</v>
      </c>
      <c r="AL81" s="9" t="s">
        <v>49</v>
      </c>
      <c r="AM81" s="9" t="s">
        <v>252</v>
      </c>
      <c r="AN81" s="6" t="s">
        <v>49</v>
      </c>
      <c r="AO81" s="9" t="s">
        <v>253</v>
      </c>
      <c r="AP81" s="11">
        <v>0</v>
      </c>
      <c r="AQ81" s="11">
        <v>0</v>
      </c>
      <c r="AR81" s="11">
        <v>0</v>
      </c>
      <c r="AS81" s="11">
        <v>0</v>
      </c>
      <c r="AT81" s="11">
        <v>0</v>
      </c>
      <c r="AU81" s="11">
        <v>0</v>
      </c>
      <c r="AV81" s="11" t="s">
        <v>57</v>
      </c>
    </row>
    <row r="82" spans="1:50" customFormat="1" ht="29" hidden="1">
      <c r="A82" s="6">
        <v>81</v>
      </c>
      <c r="B82" s="7" t="s">
        <v>254</v>
      </c>
      <c r="C82" s="7" t="s">
        <v>81</v>
      </c>
      <c r="D82" s="6">
        <v>15390</v>
      </c>
      <c r="E82" s="6" t="s">
        <v>49</v>
      </c>
      <c r="F82" s="8"/>
      <c r="G82" s="8"/>
      <c r="H82" s="7" t="s">
        <v>88</v>
      </c>
      <c r="I82" s="7" t="s">
        <v>255</v>
      </c>
      <c r="J82" s="6" t="s">
        <v>49</v>
      </c>
      <c r="K82" s="9" t="s">
        <v>49</v>
      </c>
      <c r="L82" s="9" t="s">
        <v>49</v>
      </c>
      <c r="M82" s="8"/>
      <c r="N82" s="10">
        <v>43313</v>
      </c>
      <c r="O82" s="10">
        <v>44196</v>
      </c>
      <c r="P82" s="9" t="s">
        <v>49</v>
      </c>
      <c r="Q82" s="9" t="s">
        <v>49</v>
      </c>
      <c r="R82" s="8"/>
      <c r="S82" s="8"/>
      <c r="T82" s="8"/>
      <c r="U82" s="8"/>
      <c r="V82" s="9" t="s">
        <v>49</v>
      </c>
      <c r="W82" s="9" t="s">
        <v>49</v>
      </c>
      <c r="X82" s="8"/>
      <c r="Y82" s="8"/>
      <c r="Z82" s="8"/>
      <c r="AA82" s="8"/>
      <c r="AB82" s="8"/>
      <c r="AC82" s="8"/>
      <c r="AD82" s="8"/>
      <c r="AE82" s="8"/>
      <c r="AF82" s="8"/>
      <c r="AG82" s="8"/>
      <c r="AH82" s="7" t="s">
        <v>51</v>
      </c>
      <c r="AI82" s="6" t="s">
        <v>71</v>
      </c>
      <c r="AJ82" s="6" t="s">
        <v>49</v>
      </c>
      <c r="AK82" s="6" t="s">
        <v>49</v>
      </c>
      <c r="AL82" s="9" t="s">
        <v>256</v>
      </c>
      <c r="AM82" s="9" t="s">
        <v>49</v>
      </c>
      <c r="AN82" s="6" t="s">
        <v>73</v>
      </c>
      <c r="AO82" s="9" t="s">
        <v>49</v>
      </c>
      <c r="AP82" s="11">
        <v>7248.8885899999996</v>
      </c>
      <c r="AQ82" s="11">
        <v>0</v>
      </c>
      <c r="AR82" s="11">
        <v>0</v>
      </c>
      <c r="AS82" s="11">
        <v>41681.266040000002</v>
      </c>
      <c r="AT82" s="11">
        <v>0</v>
      </c>
      <c r="AU82" s="11">
        <v>0</v>
      </c>
      <c r="AV82" s="11">
        <v>0</v>
      </c>
    </row>
    <row r="83" spans="1:50" ht="13.5" customHeight="1">
      <c r="A83" s="64"/>
      <c r="B83" s="47" t="s">
        <v>929</v>
      </c>
      <c r="C83" s="47" t="s">
        <v>292</v>
      </c>
      <c r="D83" s="67" t="s">
        <v>104</v>
      </c>
      <c r="E83" s="6" t="s">
        <v>104</v>
      </c>
      <c r="F83" s="69"/>
      <c r="H83" s="64" t="s">
        <v>88</v>
      </c>
      <c r="I83" s="64" t="s">
        <v>924</v>
      </c>
      <c r="J83" s="64"/>
      <c r="K83" s="64"/>
      <c r="L83" s="69"/>
      <c r="M83" s="69"/>
      <c r="N83" s="69"/>
      <c r="O83" s="69"/>
      <c r="P83" s="69"/>
      <c r="Q83" s="69"/>
      <c r="R83" s="64">
        <v>26.9</v>
      </c>
      <c r="S83" s="64">
        <v>96</v>
      </c>
      <c r="T83" s="69"/>
      <c r="U83" s="64">
        <v>5.9</v>
      </c>
      <c r="V83" s="78">
        <v>0.85</v>
      </c>
      <c r="W83" s="69" t="s">
        <v>199</v>
      </c>
      <c r="X83" s="69"/>
      <c r="Z83" s="69"/>
      <c r="AB83" s="69"/>
      <c r="AC83" s="69"/>
      <c r="AD83" s="69"/>
      <c r="AE83" s="69"/>
      <c r="AG83" s="69"/>
      <c r="AH83" s="69"/>
      <c r="AI83" s="69"/>
      <c r="AJ83" s="69"/>
      <c r="AK83" s="69"/>
      <c r="AL83" s="69"/>
      <c r="AM83" s="69"/>
      <c r="AN83" s="69"/>
      <c r="AO83" s="69"/>
      <c r="AR83" s="11">
        <v>0</v>
      </c>
      <c r="AX83" s="58" t="s">
        <v>929</v>
      </c>
    </row>
    <row r="84" spans="1:50" customFormat="1" ht="14.5" hidden="1">
      <c r="A84" s="6">
        <v>83</v>
      </c>
      <c r="B84" s="7" t="s">
        <v>260</v>
      </c>
      <c r="C84" s="7" t="s">
        <v>49</v>
      </c>
      <c r="D84" s="6">
        <v>15448</v>
      </c>
      <c r="E84" s="6" t="s">
        <v>49</v>
      </c>
      <c r="F84" s="8"/>
      <c r="G84" s="8"/>
      <c r="H84" s="7" t="s">
        <v>49</v>
      </c>
      <c r="I84" s="7"/>
      <c r="J84" s="6" t="s">
        <v>49</v>
      </c>
      <c r="K84" s="9" t="s">
        <v>49</v>
      </c>
      <c r="L84" s="9" t="s">
        <v>49</v>
      </c>
      <c r="M84" s="8"/>
      <c r="N84" s="12"/>
      <c r="O84" s="10">
        <v>44561</v>
      </c>
      <c r="P84" s="9" t="s">
        <v>49</v>
      </c>
      <c r="Q84" s="9" t="s">
        <v>49</v>
      </c>
      <c r="R84" s="8"/>
      <c r="S84" s="8"/>
      <c r="T84" s="8"/>
      <c r="U84" s="8"/>
      <c r="V84" s="9" t="s">
        <v>49</v>
      </c>
      <c r="W84" s="9" t="s">
        <v>49</v>
      </c>
      <c r="X84" s="8"/>
      <c r="Y84" s="8"/>
      <c r="Z84" s="8"/>
      <c r="AA84" s="8"/>
      <c r="AB84" s="8"/>
      <c r="AC84" s="8"/>
      <c r="AD84" s="8"/>
      <c r="AE84" s="8"/>
      <c r="AF84" s="8"/>
      <c r="AG84" s="8"/>
      <c r="AH84" s="7" t="s">
        <v>57</v>
      </c>
      <c r="AI84" s="6" t="s">
        <v>71</v>
      </c>
      <c r="AJ84" s="6" t="s">
        <v>49</v>
      </c>
      <c r="AK84" s="6" t="s">
        <v>49</v>
      </c>
      <c r="AL84" s="9" t="s">
        <v>213</v>
      </c>
      <c r="AM84" s="9" t="s">
        <v>49</v>
      </c>
      <c r="AN84" s="6" t="s">
        <v>85</v>
      </c>
      <c r="AO84" s="9" t="s">
        <v>49</v>
      </c>
      <c r="AP84" s="11">
        <v>7248.8885899999996</v>
      </c>
      <c r="AQ84" s="11">
        <v>0</v>
      </c>
      <c r="AR84" s="11">
        <v>0</v>
      </c>
      <c r="AS84" s="11">
        <v>41681.266040000002</v>
      </c>
      <c r="AT84" s="11">
        <v>0</v>
      </c>
      <c r="AU84" s="11">
        <v>0</v>
      </c>
      <c r="AV84" s="11">
        <v>0</v>
      </c>
    </row>
    <row r="85" spans="1:50" customFormat="1" ht="14.5" hidden="1">
      <c r="A85" s="6">
        <v>84</v>
      </c>
      <c r="B85" s="7" t="s">
        <v>260</v>
      </c>
      <c r="C85" s="7" t="s">
        <v>49</v>
      </c>
      <c r="D85" s="6">
        <v>15448</v>
      </c>
      <c r="E85" s="6" t="s">
        <v>261</v>
      </c>
      <c r="F85" s="8"/>
      <c r="G85" s="8"/>
      <c r="H85" s="7" t="s">
        <v>49</v>
      </c>
      <c r="I85" s="7"/>
      <c r="J85" s="6" t="s">
        <v>49</v>
      </c>
      <c r="K85" s="9" t="s">
        <v>49</v>
      </c>
      <c r="L85" s="9" t="s">
        <v>49</v>
      </c>
      <c r="M85" s="8"/>
      <c r="N85" s="12"/>
      <c r="O85" s="10">
        <v>44561</v>
      </c>
      <c r="P85" s="9" t="s">
        <v>49</v>
      </c>
      <c r="Q85" s="9" t="s">
        <v>49</v>
      </c>
      <c r="R85" s="8"/>
      <c r="S85" s="8"/>
      <c r="T85" s="8"/>
      <c r="U85" s="8"/>
      <c r="V85" s="9" t="s">
        <v>49</v>
      </c>
      <c r="W85" s="9" t="s">
        <v>49</v>
      </c>
      <c r="X85" s="8"/>
      <c r="Y85" s="8"/>
      <c r="Z85" s="8"/>
      <c r="AA85" s="8"/>
      <c r="AB85" s="8"/>
      <c r="AC85" s="8"/>
      <c r="AD85" s="8"/>
      <c r="AE85" s="8"/>
      <c r="AF85" s="8"/>
      <c r="AG85" s="8"/>
      <c r="AH85" s="7" t="s">
        <v>57</v>
      </c>
      <c r="AI85" s="6" t="s">
        <v>49</v>
      </c>
      <c r="AJ85" s="6" t="s">
        <v>49</v>
      </c>
      <c r="AK85" s="6" t="s">
        <v>49</v>
      </c>
      <c r="AL85" s="9" t="s">
        <v>49</v>
      </c>
      <c r="AM85" s="9" t="s">
        <v>262</v>
      </c>
      <c r="AN85" s="6" t="s">
        <v>49</v>
      </c>
      <c r="AO85" s="9" t="s">
        <v>201</v>
      </c>
      <c r="AP85" s="11">
        <v>0</v>
      </c>
      <c r="AQ85" s="11">
        <v>0</v>
      </c>
      <c r="AR85" s="11">
        <v>0</v>
      </c>
      <c r="AS85" s="11">
        <v>0</v>
      </c>
      <c r="AT85" s="11">
        <v>0</v>
      </c>
      <c r="AU85" s="11">
        <v>0</v>
      </c>
      <c r="AV85" s="11" t="s">
        <v>57</v>
      </c>
    </row>
    <row r="86" spans="1:50" customFormat="1" ht="14.5" hidden="1">
      <c r="A86" s="6">
        <v>85</v>
      </c>
      <c r="B86" s="7" t="s">
        <v>263</v>
      </c>
      <c r="C86" s="7" t="s">
        <v>49</v>
      </c>
      <c r="D86" s="6">
        <v>15441</v>
      </c>
      <c r="E86" s="6" t="s">
        <v>49</v>
      </c>
      <c r="F86" s="8"/>
      <c r="G86" s="8"/>
      <c r="H86" s="7" t="s">
        <v>49</v>
      </c>
      <c r="I86" s="7"/>
      <c r="J86" s="6" t="s">
        <v>49</v>
      </c>
      <c r="K86" s="9" t="s">
        <v>49</v>
      </c>
      <c r="L86" s="9" t="s">
        <v>49</v>
      </c>
      <c r="M86" s="8"/>
      <c r="N86" s="10">
        <v>43437</v>
      </c>
      <c r="O86" s="12"/>
      <c r="P86" s="9" t="s">
        <v>49</v>
      </c>
      <c r="Q86" s="9" t="s">
        <v>49</v>
      </c>
      <c r="R86" s="8"/>
      <c r="S86" s="8"/>
      <c r="T86" s="8"/>
      <c r="U86" s="8"/>
      <c r="V86" s="9" t="s">
        <v>49</v>
      </c>
      <c r="W86" s="9" t="s">
        <v>49</v>
      </c>
      <c r="X86" s="8"/>
      <c r="Y86" s="8"/>
      <c r="Z86" s="8"/>
      <c r="AA86" s="8"/>
      <c r="AB86" s="8"/>
      <c r="AC86" s="8"/>
      <c r="AD86" s="8"/>
      <c r="AE86" s="8"/>
      <c r="AF86" s="8"/>
      <c r="AG86" s="8"/>
      <c r="AH86" s="7" t="s">
        <v>57</v>
      </c>
      <c r="AI86" s="6" t="s">
        <v>71</v>
      </c>
      <c r="AJ86" s="6" t="s">
        <v>49</v>
      </c>
      <c r="AK86" s="6" t="s">
        <v>49</v>
      </c>
      <c r="AL86" s="9" t="s">
        <v>213</v>
      </c>
      <c r="AM86" s="9" t="s">
        <v>49</v>
      </c>
      <c r="AN86" s="6" t="s">
        <v>85</v>
      </c>
      <c r="AO86" s="9" t="s">
        <v>49</v>
      </c>
      <c r="AP86" s="11">
        <v>7248.8885899999996</v>
      </c>
      <c r="AQ86" s="11">
        <v>0</v>
      </c>
      <c r="AR86" s="11">
        <v>0</v>
      </c>
      <c r="AS86" s="11">
        <v>41681.266040000002</v>
      </c>
      <c r="AT86" s="11">
        <v>0</v>
      </c>
      <c r="AU86" s="11">
        <v>0</v>
      </c>
      <c r="AV86" s="11">
        <v>0</v>
      </c>
    </row>
    <row r="87" spans="1:50" customFormat="1" ht="14.5" hidden="1">
      <c r="A87" s="6">
        <v>86</v>
      </c>
      <c r="B87" s="7" t="s">
        <v>264</v>
      </c>
      <c r="C87" s="7" t="s">
        <v>81</v>
      </c>
      <c r="D87" s="6">
        <v>15441</v>
      </c>
      <c r="E87" s="6" t="s">
        <v>265</v>
      </c>
      <c r="F87" s="8"/>
      <c r="G87" s="8"/>
      <c r="H87" s="7" t="s">
        <v>88</v>
      </c>
      <c r="I87" s="7" t="s">
        <v>266</v>
      </c>
      <c r="J87" s="6" t="s">
        <v>105</v>
      </c>
      <c r="K87" s="9" t="s">
        <v>76</v>
      </c>
      <c r="L87" s="9" t="s">
        <v>49</v>
      </c>
      <c r="M87" s="8"/>
      <c r="N87" s="10">
        <v>43437</v>
      </c>
      <c r="O87" s="12"/>
      <c r="P87" s="9" t="s">
        <v>49</v>
      </c>
      <c r="Q87" s="9" t="s">
        <v>49</v>
      </c>
      <c r="R87" s="8"/>
      <c r="S87" s="8"/>
      <c r="T87" s="8"/>
      <c r="U87" s="8"/>
      <c r="V87" s="9" t="s">
        <v>49</v>
      </c>
      <c r="W87" s="9" t="s">
        <v>49</v>
      </c>
      <c r="X87" s="8"/>
      <c r="Y87" s="8"/>
      <c r="Z87" s="8"/>
      <c r="AA87" s="6">
        <v>2.5</v>
      </c>
      <c r="AB87" s="6">
        <v>2.5</v>
      </c>
      <c r="AC87" s="8"/>
      <c r="AD87" s="6">
        <v>2.5</v>
      </c>
      <c r="AE87" s="8"/>
      <c r="AF87" s="6">
        <v>1.25</v>
      </c>
      <c r="AG87" s="6">
        <v>1.25</v>
      </c>
      <c r="AH87" s="7" t="s">
        <v>57</v>
      </c>
      <c r="AI87" s="6" t="s">
        <v>49</v>
      </c>
      <c r="AJ87" s="6" t="s">
        <v>49</v>
      </c>
      <c r="AK87" s="6" t="s">
        <v>49</v>
      </c>
      <c r="AL87" s="9" t="s">
        <v>49</v>
      </c>
      <c r="AM87" s="9" t="s">
        <v>249</v>
      </c>
      <c r="AN87" s="6" t="s">
        <v>218</v>
      </c>
      <c r="AO87" s="9" t="s">
        <v>242</v>
      </c>
      <c r="AP87" s="11">
        <v>0</v>
      </c>
      <c r="AQ87" s="11">
        <v>0</v>
      </c>
      <c r="AR87" s="11">
        <v>0</v>
      </c>
      <c r="AS87" s="11">
        <v>0</v>
      </c>
      <c r="AT87" s="11">
        <v>1799</v>
      </c>
      <c r="AU87" s="11">
        <v>0</v>
      </c>
      <c r="AV87" s="11" t="s">
        <v>57</v>
      </c>
    </row>
    <row r="88" spans="1:50" ht="13.5" hidden="1" customHeight="1">
      <c r="A88" s="46">
        <v>87</v>
      </c>
      <c r="B88" s="47" t="s">
        <v>267</v>
      </c>
      <c r="C88" s="47" t="s">
        <v>81</v>
      </c>
      <c r="D88" s="6">
        <v>15449</v>
      </c>
      <c r="E88" s="6" t="s">
        <v>268</v>
      </c>
      <c r="F88" s="6">
        <v>83204</v>
      </c>
      <c r="G88" s="8"/>
      <c r="H88" s="57" t="s">
        <v>245</v>
      </c>
      <c r="I88" s="47"/>
      <c r="J88" s="46" t="s">
        <v>75</v>
      </c>
      <c r="K88" s="48" t="s">
        <v>89</v>
      </c>
      <c r="L88" s="9" t="s">
        <v>73</v>
      </c>
      <c r="M88" s="17">
        <v>1606</v>
      </c>
      <c r="N88" s="10">
        <v>43616</v>
      </c>
      <c r="O88" s="10">
        <v>44225</v>
      </c>
      <c r="P88" s="9" t="s">
        <v>49</v>
      </c>
      <c r="Q88" s="9" t="s">
        <v>49</v>
      </c>
      <c r="R88" s="46">
        <v>7.82</v>
      </c>
      <c r="S88" s="46">
        <v>13.1</v>
      </c>
      <c r="T88" s="6">
        <v>29.6</v>
      </c>
      <c r="U88" s="46">
        <v>3.1</v>
      </c>
      <c r="V88" s="48" t="s">
        <v>269</v>
      </c>
      <c r="W88" s="9" t="s">
        <v>199</v>
      </c>
      <c r="X88" s="8"/>
      <c r="Y88" s="8"/>
      <c r="Z88" s="6">
        <v>1.6060000000000001</v>
      </c>
      <c r="AA88" s="8"/>
      <c r="AB88" s="6">
        <v>1.6060000000000001</v>
      </c>
      <c r="AC88" s="6">
        <v>2.375</v>
      </c>
      <c r="AD88" s="6">
        <v>3.9809999999999999</v>
      </c>
      <c r="AE88" s="6">
        <v>1.2849999999999999</v>
      </c>
      <c r="AF88" s="8"/>
      <c r="AG88" s="6">
        <v>1.2849999999999999</v>
      </c>
      <c r="AH88" s="7" t="s">
        <v>57</v>
      </c>
      <c r="AI88" s="6" t="s">
        <v>49</v>
      </c>
      <c r="AJ88" s="6" t="s">
        <v>49</v>
      </c>
      <c r="AK88" s="6" t="s">
        <v>49</v>
      </c>
      <c r="AL88" s="9" t="s">
        <v>49</v>
      </c>
      <c r="AM88" s="9" t="s">
        <v>262</v>
      </c>
      <c r="AN88" s="6" t="s">
        <v>73</v>
      </c>
      <c r="AO88" s="9" t="s">
        <v>270</v>
      </c>
      <c r="AP88" s="11">
        <v>161.06589000000002</v>
      </c>
      <c r="AQ88" s="11">
        <v>287124.15999999997</v>
      </c>
      <c r="AR88" s="11">
        <v>287124.1529166667</v>
      </c>
      <c r="AS88" s="11">
        <v>892.89051000000006</v>
      </c>
      <c r="AT88" s="11">
        <v>1507.1241599999998</v>
      </c>
      <c r="AU88" s="11">
        <v>1500</v>
      </c>
      <c r="AV88" s="11" t="s">
        <v>57</v>
      </c>
      <c r="AW88" t="s">
        <v>93</v>
      </c>
    </row>
    <row r="89" spans="1:50" customFormat="1" ht="14.5" hidden="1">
      <c r="A89" s="6">
        <v>88</v>
      </c>
      <c r="B89" s="7" t="s">
        <v>271</v>
      </c>
      <c r="C89" s="7" t="s">
        <v>49</v>
      </c>
      <c r="D89" s="6">
        <v>15449</v>
      </c>
      <c r="E89" s="6" t="s">
        <v>49</v>
      </c>
      <c r="F89" s="8"/>
      <c r="G89" s="8"/>
      <c r="H89" s="7" t="s">
        <v>49</v>
      </c>
      <c r="I89" s="7"/>
      <c r="J89" s="6" t="s">
        <v>49</v>
      </c>
      <c r="K89" s="9" t="s">
        <v>49</v>
      </c>
      <c r="L89" s="9" t="s">
        <v>49</v>
      </c>
      <c r="M89" s="8"/>
      <c r="N89" s="10">
        <v>43616</v>
      </c>
      <c r="O89" s="10">
        <v>44225</v>
      </c>
      <c r="P89" s="9" t="s">
        <v>49</v>
      </c>
      <c r="Q89" s="9" t="s">
        <v>49</v>
      </c>
      <c r="R89" s="8"/>
      <c r="S89" s="8"/>
      <c r="T89" s="8"/>
      <c r="U89" s="8"/>
      <c r="V89" s="9" t="s">
        <v>49</v>
      </c>
      <c r="W89" s="9" t="s">
        <v>49</v>
      </c>
      <c r="X89" s="8"/>
      <c r="Y89" s="8"/>
      <c r="Z89" s="8"/>
      <c r="AA89" s="8"/>
      <c r="AB89" s="8"/>
      <c r="AC89" s="8"/>
      <c r="AD89" s="8"/>
      <c r="AE89" s="8"/>
      <c r="AF89" s="8"/>
      <c r="AG89" s="8"/>
      <c r="AH89" s="7" t="s">
        <v>57</v>
      </c>
      <c r="AI89" s="6" t="s">
        <v>71</v>
      </c>
      <c r="AJ89" s="6" t="s">
        <v>49</v>
      </c>
      <c r="AK89" s="6" t="s">
        <v>49</v>
      </c>
      <c r="AL89" s="9" t="s">
        <v>213</v>
      </c>
      <c r="AM89" s="9" t="s">
        <v>49</v>
      </c>
      <c r="AN89" s="6" t="s">
        <v>85</v>
      </c>
      <c r="AO89" s="9" t="s">
        <v>49</v>
      </c>
      <c r="AP89" s="11">
        <v>7248.8885899999996</v>
      </c>
      <c r="AQ89" s="11">
        <v>0</v>
      </c>
      <c r="AR89" s="11">
        <v>0</v>
      </c>
      <c r="AS89" s="11">
        <v>41681.266040000002</v>
      </c>
      <c r="AT89" s="11">
        <v>0</v>
      </c>
      <c r="AU89" s="11">
        <v>0</v>
      </c>
      <c r="AV89" s="11">
        <v>0</v>
      </c>
    </row>
    <row r="90" spans="1:50" customFormat="1" ht="14.5" hidden="1">
      <c r="A90" s="6">
        <v>89</v>
      </c>
      <c r="B90" s="7" t="s">
        <v>272</v>
      </c>
      <c r="C90" s="7" t="s">
        <v>49</v>
      </c>
      <c r="D90" s="6">
        <v>15063</v>
      </c>
      <c r="E90" s="6" t="s">
        <v>273</v>
      </c>
      <c r="F90" s="12"/>
      <c r="G90" s="8"/>
      <c r="H90" s="7" t="s">
        <v>49</v>
      </c>
      <c r="I90" s="7"/>
      <c r="J90" s="6" t="s">
        <v>49</v>
      </c>
      <c r="K90" s="9" t="s">
        <v>49</v>
      </c>
      <c r="L90" s="9" t="s">
        <v>49</v>
      </c>
      <c r="M90" s="12"/>
      <c r="N90" s="10">
        <v>43109</v>
      </c>
      <c r="O90" s="10">
        <v>43831</v>
      </c>
      <c r="P90" s="9" t="s">
        <v>49</v>
      </c>
      <c r="Q90" s="9" t="s">
        <v>49</v>
      </c>
      <c r="R90" s="12"/>
      <c r="S90" s="12"/>
      <c r="T90" s="12"/>
      <c r="U90" s="12"/>
      <c r="V90" s="9" t="s">
        <v>49</v>
      </c>
      <c r="W90" s="9" t="s">
        <v>49</v>
      </c>
      <c r="X90" s="8"/>
      <c r="Y90" s="8"/>
      <c r="Z90" s="12"/>
      <c r="AA90" s="8"/>
      <c r="AB90" s="12"/>
      <c r="AC90" s="12"/>
      <c r="AD90" s="12"/>
      <c r="AE90" s="12"/>
      <c r="AF90" s="8"/>
      <c r="AG90" s="12"/>
      <c r="AH90" s="7" t="s">
        <v>51</v>
      </c>
      <c r="AI90" s="6" t="s">
        <v>49</v>
      </c>
      <c r="AJ90" s="6" t="s">
        <v>49</v>
      </c>
      <c r="AK90" s="6" t="s">
        <v>49</v>
      </c>
      <c r="AL90" s="9" t="s">
        <v>49</v>
      </c>
      <c r="AM90" s="9" t="s">
        <v>274</v>
      </c>
      <c r="AN90" s="6" t="s">
        <v>49</v>
      </c>
      <c r="AO90" s="9" t="s">
        <v>162</v>
      </c>
      <c r="AP90" s="11">
        <v>0</v>
      </c>
      <c r="AQ90" s="11">
        <v>0</v>
      </c>
      <c r="AR90" s="11">
        <v>0</v>
      </c>
      <c r="AS90" s="11">
        <v>0</v>
      </c>
      <c r="AT90" s="11">
        <v>0</v>
      </c>
      <c r="AU90" s="11">
        <v>0</v>
      </c>
      <c r="AV90" s="11" t="s">
        <v>51</v>
      </c>
    </row>
    <row r="91" spans="1:50" customFormat="1" ht="14.5" hidden="1">
      <c r="A91" s="6">
        <v>90</v>
      </c>
      <c r="B91" s="7" t="s">
        <v>275</v>
      </c>
      <c r="C91" s="7" t="s">
        <v>49</v>
      </c>
      <c r="D91" s="6">
        <v>15377</v>
      </c>
      <c r="E91" s="6" t="s">
        <v>276</v>
      </c>
      <c r="F91" s="8"/>
      <c r="G91" s="8"/>
      <c r="H91" s="7" t="s">
        <v>49</v>
      </c>
      <c r="I91" s="7"/>
      <c r="J91" s="6" t="s">
        <v>49</v>
      </c>
      <c r="K91" s="9" t="s">
        <v>49</v>
      </c>
      <c r="L91" s="9" t="s">
        <v>49</v>
      </c>
      <c r="M91" s="8"/>
      <c r="N91" s="10">
        <v>43405</v>
      </c>
      <c r="O91" s="10">
        <v>43831</v>
      </c>
      <c r="P91" s="9" t="s">
        <v>49</v>
      </c>
      <c r="Q91" s="9" t="s">
        <v>49</v>
      </c>
      <c r="R91" s="8"/>
      <c r="S91" s="8"/>
      <c r="T91" s="8"/>
      <c r="U91" s="8"/>
      <c r="V91" s="9" t="s">
        <v>49</v>
      </c>
      <c r="W91" s="9" t="s">
        <v>49</v>
      </c>
      <c r="X91" s="8"/>
      <c r="Y91" s="8"/>
      <c r="Z91" s="8"/>
      <c r="AA91" s="8"/>
      <c r="AB91" s="8"/>
      <c r="AC91" s="8"/>
      <c r="AD91" s="8"/>
      <c r="AE91" s="8"/>
      <c r="AF91" s="8"/>
      <c r="AG91" s="8"/>
      <c r="AH91" s="7" t="s">
        <v>57</v>
      </c>
      <c r="AI91" s="6" t="s">
        <v>49</v>
      </c>
      <c r="AJ91" s="6" t="s">
        <v>49</v>
      </c>
      <c r="AK91" s="6" t="s">
        <v>49</v>
      </c>
      <c r="AL91" s="9" t="s">
        <v>49</v>
      </c>
      <c r="AM91" s="9" t="s">
        <v>277</v>
      </c>
      <c r="AN91" s="6" t="s">
        <v>49</v>
      </c>
      <c r="AO91" s="9" t="s">
        <v>49</v>
      </c>
      <c r="AP91" s="11">
        <v>0</v>
      </c>
      <c r="AQ91" s="11">
        <v>0</v>
      </c>
      <c r="AR91" s="11">
        <v>35.114583333330174</v>
      </c>
      <c r="AS91" s="11">
        <v>0</v>
      </c>
      <c r="AT91" s="11">
        <v>0</v>
      </c>
      <c r="AU91" s="11">
        <v>0</v>
      </c>
      <c r="AV91" s="11">
        <v>0</v>
      </c>
    </row>
    <row r="92" spans="1:50" ht="13.5" customHeight="1">
      <c r="A92" s="46">
        <v>34</v>
      </c>
      <c r="B92" s="47" t="s">
        <v>144</v>
      </c>
      <c r="C92" s="47" t="s">
        <v>81</v>
      </c>
      <c r="D92" s="38">
        <v>15522</v>
      </c>
      <c r="E92" s="6" t="s">
        <v>146</v>
      </c>
      <c r="F92" s="8"/>
      <c r="G92" s="8"/>
      <c r="H92" s="47" t="s">
        <v>88</v>
      </c>
      <c r="I92" s="47" t="s">
        <v>147</v>
      </c>
      <c r="J92" s="46" t="s">
        <v>49</v>
      </c>
      <c r="K92" s="48" t="s">
        <v>49</v>
      </c>
      <c r="L92" s="9" t="s">
        <v>49</v>
      </c>
      <c r="M92" s="68"/>
      <c r="N92" s="75">
        <v>43500</v>
      </c>
      <c r="O92" s="75">
        <v>43889</v>
      </c>
      <c r="P92" s="9" t="s">
        <v>49</v>
      </c>
      <c r="Q92" s="9" t="s">
        <v>49</v>
      </c>
      <c r="R92" s="49">
        <v>23.49</v>
      </c>
      <c r="S92" s="49">
        <v>129.19999999999999</v>
      </c>
      <c r="T92" s="8">
        <v>133.6</v>
      </c>
      <c r="U92" s="49">
        <v>5.5</v>
      </c>
      <c r="V92" s="50">
        <v>0.49</v>
      </c>
      <c r="W92" s="9" t="s">
        <v>49</v>
      </c>
      <c r="X92" s="8"/>
      <c r="Y92" s="8"/>
      <c r="Z92" s="8"/>
      <c r="AA92" s="12"/>
      <c r="AB92" s="12"/>
      <c r="AC92" s="8"/>
      <c r="AD92" s="12"/>
      <c r="AE92" s="8"/>
      <c r="AF92" s="12"/>
      <c r="AG92" s="12"/>
      <c r="AH92" s="7" t="s">
        <v>57</v>
      </c>
      <c r="AI92" s="6" t="s">
        <v>49</v>
      </c>
      <c r="AJ92" s="6" t="s">
        <v>49</v>
      </c>
      <c r="AK92" s="6" t="s">
        <v>49</v>
      </c>
      <c r="AL92" s="9" t="s">
        <v>49</v>
      </c>
      <c r="AM92" s="9" t="s">
        <v>145</v>
      </c>
      <c r="AN92" s="6" t="s">
        <v>49</v>
      </c>
      <c r="AO92" s="9" t="s">
        <v>145</v>
      </c>
      <c r="AP92" s="11">
        <v>0</v>
      </c>
      <c r="AQ92" s="11">
        <v>48750.02</v>
      </c>
      <c r="AR92" s="11">
        <v>48750.02</v>
      </c>
      <c r="AS92" s="11">
        <v>0</v>
      </c>
      <c r="AT92" s="11">
        <v>963.75202000000002</v>
      </c>
      <c r="AU92" s="11">
        <v>1600</v>
      </c>
      <c r="AV92" s="11" t="s">
        <v>57</v>
      </c>
      <c r="AW92" t="s">
        <v>93</v>
      </c>
      <c r="AX92" s="58" t="s">
        <v>144</v>
      </c>
    </row>
    <row r="93" spans="1:50" customFormat="1" ht="14.5" hidden="1">
      <c r="A93" s="6">
        <v>92</v>
      </c>
      <c r="B93" s="7" t="s">
        <v>279</v>
      </c>
      <c r="C93" s="7" t="s">
        <v>280</v>
      </c>
      <c r="D93" s="12"/>
      <c r="E93" s="6" t="s">
        <v>104</v>
      </c>
      <c r="F93" s="8"/>
      <c r="G93" s="8"/>
      <c r="H93" s="7"/>
      <c r="I93" s="7"/>
      <c r="J93" s="6" t="s">
        <v>49</v>
      </c>
      <c r="K93" s="9" t="s">
        <v>49</v>
      </c>
      <c r="L93" s="9" t="s">
        <v>49</v>
      </c>
      <c r="M93" s="21">
        <v>210</v>
      </c>
      <c r="N93" s="12"/>
      <c r="O93" s="12"/>
      <c r="P93" s="9" t="s">
        <v>49</v>
      </c>
      <c r="Q93" s="9" t="s">
        <v>49</v>
      </c>
      <c r="R93" s="8"/>
      <c r="S93" s="8"/>
      <c r="T93" s="8"/>
      <c r="U93" s="8"/>
      <c r="V93" s="9" t="s">
        <v>49</v>
      </c>
      <c r="W93" s="9" t="s">
        <v>49</v>
      </c>
      <c r="X93" s="8"/>
      <c r="Y93" s="8"/>
      <c r="Z93" s="8"/>
      <c r="AA93" s="8"/>
      <c r="AB93" s="8"/>
      <c r="AC93" s="8"/>
      <c r="AD93" s="8"/>
      <c r="AE93" s="8"/>
      <c r="AF93" s="8"/>
      <c r="AG93" s="8"/>
      <c r="AH93" s="7" t="s">
        <v>49</v>
      </c>
      <c r="AI93" s="6" t="s">
        <v>49</v>
      </c>
      <c r="AJ93" s="6" t="s">
        <v>49</v>
      </c>
      <c r="AK93" s="6" t="s">
        <v>49</v>
      </c>
      <c r="AL93" s="9" t="s">
        <v>49</v>
      </c>
      <c r="AM93" s="9" t="s">
        <v>49</v>
      </c>
      <c r="AN93" s="6" t="s">
        <v>49</v>
      </c>
      <c r="AO93" s="9" t="s">
        <v>49</v>
      </c>
      <c r="AP93" s="11">
        <v>0</v>
      </c>
      <c r="AQ93" s="11">
        <v>0</v>
      </c>
      <c r="AR93" s="11">
        <v>0</v>
      </c>
      <c r="AS93" s="11">
        <v>0</v>
      </c>
      <c r="AT93" s="11">
        <v>0</v>
      </c>
      <c r="AU93" s="11">
        <v>210</v>
      </c>
      <c r="AV93" s="11">
        <v>0</v>
      </c>
      <c r="AW93" t="s">
        <v>93</v>
      </c>
    </row>
    <row r="94" spans="1:50" customFormat="1" ht="14.5" hidden="1">
      <c r="A94" s="6">
        <v>93</v>
      </c>
      <c r="B94" s="7" t="s">
        <v>281</v>
      </c>
      <c r="C94" s="7" t="s">
        <v>131</v>
      </c>
      <c r="D94" s="12"/>
      <c r="E94" s="6" t="s">
        <v>104</v>
      </c>
      <c r="F94" s="8"/>
      <c r="G94" s="8"/>
      <c r="H94" s="7"/>
      <c r="I94" s="7"/>
      <c r="J94" s="6" t="s">
        <v>49</v>
      </c>
      <c r="K94" s="9" t="s">
        <v>49</v>
      </c>
      <c r="L94" s="9" t="s">
        <v>49</v>
      </c>
      <c r="M94" s="20">
        <v>240</v>
      </c>
      <c r="N94" s="12"/>
      <c r="O94" s="12"/>
      <c r="P94" s="9" t="s">
        <v>49</v>
      </c>
      <c r="Q94" s="9" t="s">
        <v>49</v>
      </c>
      <c r="R94" s="8"/>
      <c r="S94" s="8"/>
      <c r="T94" s="8"/>
      <c r="U94" s="8"/>
      <c r="V94" s="9" t="s">
        <v>49</v>
      </c>
      <c r="W94" s="9" t="s">
        <v>49</v>
      </c>
      <c r="X94" s="8"/>
      <c r="Y94" s="8"/>
      <c r="Z94" s="8"/>
      <c r="AA94" s="8"/>
      <c r="AB94" s="8"/>
      <c r="AC94" s="8"/>
      <c r="AD94" s="8"/>
      <c r="AE94" s="8"/>
      <c r="AF94" s="8"/>
      <c r="AG94" s="8"/>
      <c r="AH94" s="7" t="s">
        <v>49</v>
      </c>
      <c r="AI94" s="6" t="s">
        <v>49</v>
      </c>
      <c r="AJ94" s="6" t="s">
        <v>49</v>
      </c>
      <c r="AK94" s="6" t="s">
        <v>49</v>
      </c>
      <c r="AL94" s="9" t="s">
        <v>49</v>
      </c>
      <c r="AM94" s="9" t="s">
        <v>49</v>
      </c>
      <c r="AN94" s="6" t="s">
        <v>49</v>
      </c>
      <c r="AO94" s="9" t="s">
        <v>49</v>
      </c>
      <c r="AP94" s="11">
        <v>0</v>
      </c>
      <c r="AQ94" s="11">
        <v>0</v>
      </c>
      <c r="AR94" s="11">
        <v>0</v>
      </c>
      <c r="AS94" s="11">
        <v>0</v>
      </c>
      <c r="AT94" s="11">
        <v>0</v>
      </c>
      <c r="AU94" s="11">
        <v>510</v>
      </c>
      <c r="AV94" s="11">
        <v>0</v>
      </c>
      <c r="AW94" t="s">
        <v>282</v>
      </c>
    </row>
    <row r="95" spans="1:50" customFormat="1" ht="14.5" hidden="1">
      <c r="A95" s="6">
        <v>94</v>
      </c>
      <c r="B95" s="7" t="s">
        <v>283</v>
      </c>
      <c r="C95" s="7" t="s">
        <v>49</v>
      </c>
      <c r="D95" s="6">
        <v>12525</v>
      </c>
      <c r="E95" s="6" t="s">
        <v>284</v>
      </c>
      <c r="F95" s="8"/>
      <c r="G95" s="8"/>
      <c r="H95" s="7" t="s">
        <v>49</v>
      </c>
      <c r="I95" s="7"/>
      <c r="J95" s="6" t="s">
        <v>49</v>
      </c>
      <c r="K95" s="9" t="s">
        <v>49</v>
      </c>
      <c r="L95" s="9" t="s">
        <v>49</v>
      </c>
      <c r="M95" s="8"/>
      <c r="N95" s="10">
        <v>42933</v>
      </c>
      <c r="O95" s="10">
        <v>43830</v>
      </c>
      <c r="P95" s="9" t="s">
        <v>49</v>
      </c>
      <c r="Q95" s="9" t="s">
        <v>49</v>
      </c>
      <c r="R95" s="8"/>
      <c r="S95" s="8"/>
      <c r="T95" s="8"/>
      <c r="U95" s="8"/>
      <c r="V95" s="9" t="s">
        <v>49</v>
      </c>
      <c r="W95" s="9" t="s">
        <v>49</v>
      </c>
      <c r="X95" s="8"/>
      <c r="Y95" s="8"/>
      <c r="Z95" s="8"/>
      <c r="AA95" s="8"/>
      <c r="AB95" s="8"/>
      <c r="AC95" s="8"/>
      <c r="AD95" s="8"/>
      <c r="AE95" s="8"/>
      <c r="AF95" s="8"/>
      <c r="AG95" s="8"/>
      <c r="AH95" s="7" t="s">
        <v>51</v>
      </c>
      <c r="AI95" s="6" t="s">
        <v>49</v>
      </c>
      <c r="AJ95" s="6" t="s">
        <v>49</v>
      </c>
      <c r="AK95" s="6" t="s">
        <v>49</v>
      </c>
      <c r="AL95" s="9" t="s">
        <v>49</v>
      </c>
      <c r="AM95" s="9" t="s">
        <v>274</v>
      </c>
      <c r="AN95" s="6" t="s">
        <v>49</v>
      </c>
      <c r="AO95" s="9" t="s">
        <v>201</v>
      </c>
      <c r="AP95" s="11">
        <v>0</v>
      </c>
      <c r="AQ95" s="11">
        <v>0</v>
      </c>
      <c r="AR95" s="11">
        <v>0</v>
      </c>
      <c r="AS95" s="11">
        <v>100</v>
      </c>
      <c r="AT95" s="11">
        <v>0</v>
      </c>
      <c r="AU95" s="11">
        <v>0</v>
      </c>
      <c r="AV95" s="11" t="s">
        <v>51</v>
      </c>
    </row>
    <row r="96" spans="1:50" customFormat="1" ht="14.5" hidden="1">
      <c r="A96" s="6">
        <v>95</v>
      </c>
      <c r="B96" s="7" t="s">
        <v>285</v>
      </c>
      <c r="C96" s="7" t="s">
        <v>49</v>
      </c>
      <c r="D96" s="6">
        <v>15485</v>
      </c>
      <c r="E96" s="6" t="s">
        <v>49</v>
      </c>
      <c r="F96" s="8"/>
      <c r="G96" s="8"/>
      <c r="H96" s="7" t="s">
        <v>49</v>
      </c>
      <c r="I96" s="7"/>
      <c r="J96" s="6" t="s">
        <v>49</v>
      </c>
      <c r="K96" s="9" t="s">
        <v>49</v>
      </c>
      <c r="L96" s="9" t="s">
        <v>49</v>
      </c>
      <c r="M96" s="8"/>
      <c r="N96" s="10">
        <v>43472</v>
      </c>
      <c r="O96" s="10">
        <v>43837</v>
      </c>
      <c r="P96" s="9" t="s">
        <v>49</v>
      </c>
      <c r="Q96" s="9" t="s">
        <v>49</v>
      </c>
      <c r="R96" s="8"/>
      <c r="S96" s="8"/>
      <c r="T96" s="8"/>
      <c r="U96" s="8"/>
      <c r="V96" s="9" t="s">
        <v>49</v>
      </c>
      <c r="W96" s="9" t="s">
        <v>49</v>
      </c>
      <c r="X96" s="8"/>
      <c r="Y96" s="8"/>
      <c r="Z96" s="8"/>
      <c r="AA96" s="8"/>
      <c r="AB96" s="8"/>
      <c r="AC96" s="8"/>
      <c r="AD96" s="8"/>
      <c r="AE96" s="8"/>
      <c r="AF96" s="8"/>
      <c r="AG96" s="8"/>
      <c r="AH96" s="7" t="s">
        <v>57</v>
      </c>
      <c r="AI96" s="6" t="s">
        <v>71</v>
      </c>
      <c r="AJ96" s="6" t="s">
        <v>49</v>
      </c>
      <c r="AK96" s="6" t="s">
        <v>49</v>
      </c>
      <c r="AL96" s="9" t="s">
        <v>52</v>
      </c>
      <c r="AM96" s="9" t="s">
        <v>49</v>
      </c>
      <c r="AN96" s="6" t="s">
        <v>82</v>
      </c>
      <c r="AO96" s="9" t="s">
        <v>49</v>
      </c>
      <c r="AP96" s="11">
        <v>7248.8885899999996</v>
      </c>
      <c r="AQ96" s="11">
        <v>0</v>
      </c>
      <c r="AR96" s="11">
        <v>0</v>
      </c>
      <c r="AS96" s="11">
        <v>41681.266040000002</v>
      </c>
      <c r="AT96" s="11">
        <v>0</v>
      </c>
      <c r="AU96" s="11">
        <v>0</v>
      </c>
      <c r="AV96" s="11">
        <v>0</v>
      </c>
    </row>
    <row r="97" spans="1:50" customFormat="1" ht="14.5" hidden="1">
      <c r="A97" s="6">
        <v>96</v>
      </c>
      <c r="B97" s="7" t="s">
        <v>285</v>
      </c>
      <c r="C97" s="7" t="s">
        <v>49</v>
      </c>
      <c r="D97" s="6">
        <v>15485</v>
      </c>
      <c r="E97" s="6" t="s">
        <v>286</v>
      </c>
      <c r="F97" s="8"/>
      <c r="G97" s="8"/>
      <c r="H97" s="7" t="s">
        <v>49</v>
      </c>
      <c r="I97" s="7"/>
      <c r="J97" s="6" t="s">
        <v>49</v>
      </c>
      <c r="K97" s="9" t="s">
        <v>49</v>
      </c>
      <c r="L97" s="9" t="s">
        <v>49</v>
      </c>
      <c r="M97" s="8"/>
      <c r="N97" s="10">
        <v>43472</v>
      </c>
      <c r="O97" s="10">
        <v>43837</v>
      </c>
      <c r="P97" s="9" t="s">
        <v>49</v>
      </c>
      <c r="Q97" s="9" t="s">
        <v>49</v>
      </c>
      <c r="R97" s="8"/>
      <c r="S97" s="8"/>
      <c r="T97" s="8"/>
      <c r="U97" s="8"/>
      <c r="V97" s="9" t="s">
        <v>49</v>
      </c>
      <c r="W97" s="9" t="s">
        <v>49</v>
      </c>
      <c r="X97" s="8"/>
      <c r="Y97" s="8"/>
      <c r="Z97" s="8"/>
      <c r="AA97" s="8"/>
      <c r="AB97" s="8"/>
      <c r="AC97" s="8"/>
      <c r="AD97" s="8"/>
      <c r="AE97" s="8"/>
      <c r="AF97" s="8"/>
      <c r="AG97" s="8"/>
      <c r="AH97" s="7" t="s">
        <v>57</v>
      </c>
      <c r="AI97" s="6" t="s">
        <v>49</v>
      </c>
      <c r="AJ97" s="6" t="s">
        <v>49</v>
      </c>
      <c r="AK97" s="6" t="s">
        <v>49</v>
      </c>
      <c r="AL97" s="9" t="s">
        <v>49</v>
      </c>
      <c r="AM97" s="9" t="s">
        <v>287</v>
      </c>
      <c r="AN97" s="6" t="s">
        <v>49</v>
      </c>
      <c r="AO97" s="9" t="s">
        <v>287</v>
      </c>
      <c r="AP97" s="11">
        <v>0</v>
      </c>
      <c r="AQ97" s="11">
        <v>0</v>
      </c>
      <c r="AR97" s="11">
        <v>0</v>
      </c>
      <c r="AS97" s="11">
        <v>0</v>
      </c>
      <c r="AT97" s="11">
        <v>0</v>
      </c>
      <c r="AU97" s="11">
        <v>0</v>
      </c>
      <c r="AV97" s="11" t="s">
        <v>57</v>
      </c>
    </row>
    <row r="98" spans="1:50" customFormat="1" ht="14.5" hidden="1">
      <c r="A98" s="6">
        <v>97</v>
      </c>
      <c r="B98" s="7" t="s">
        <v>288</v>
      </c>
      <c r="C98" s="7" t="s">
        <v>49</v>
      </c>
      <c r="D98" s="6">
        <v>15700</v>
      </c>
      <c r="E98" s="6" t="s">
        <v>49</v>
      </c>
      <c r="F98" s="8"/>
      <c r="G98" s="8"/>
      <c r="H98" s="7" t="s">
        <v>49</v>
      </c>
      <c r="I98" s="7"/>
      <c r="J98" s="6" t="s">
        <v>49</v>
      </c>
      <c r="K98" s="9" t="s">
        <v>49</v>
      </c>
      <c r="L98" s="9" t="s">
        <v>49</v>
      </c>
      <c r="M98" s="8"/>
      <c r="N98" s="12"/>
      <c r="O98" s="12"/>
      <c r="P98" s="9" t="s">
        <v>49</v>
      </c>
      <c r="Q98" s="9" t="s">
        <v>49</v>
      </c>
      <c r="R98" s="8"/>
      <c r="S98" s="8"/>
      <c r="T98" s="8"/>
      <c r="U98" s="8"/>
      <c r="V98" s="9" t="s">
        <v>49</v>
      </c>
      <c r="W98" s="9" t="s">
        <v>49</v>
      </c>
      <c r="X98" s="8"/>
      <c r="Y98" s="8"/>
      <c r="Z98" s="8"/>
      <c r="AA98" s="8"/>
      <c r="AB98" s="8"/>
      <c r="AC98" s="8"/>
      <c r="AD98" s="8"/>
      <c r="AE98" s="8"/>
      <c r="AF98" s="8"/>
      <c r="AG98" s="8"/>
      <c r="AH98" s="7" t="s">
        <v>57</v>
      </c>
      <c r="AI98" s="6" t="s">
        <v>49</v>
      </c>
      <c r="AJ98" s="6" t="s">
        <v>49</v>
      </c>
      <c r="AK98" s="6" t="s">
        <v>118</v>
      </c>
      <c r="AL98" s="9" t="s">
        <v>49</v>
      </c>
      <c r="AM98" s="9" t="s">
        <v>49</v>
      </c>
      <c r="AN98" s="6" t="s">
        <v>49</v>
      </c>
      <c r="AO98" s="9" t="s">
        <v>49</v>
      </c>
      <c r="AP98" s="11">
        <v>7248.8885899999996</v>
      </c>
      <c r="AQ98" s="11">
        <v>0</v>
      </c>
      <c r="AR98" s="11">
        <v>0</v>
      </c>
      <c r="AS98" s="11">
        <v>41681.266040000002</v>
      </c>
      <c r="AT98" s="11">
        <v>0</v>
      </c>
      <c r="AU98" s="11">
        <v>0</v>
      </c>
      <c r="AV98" s="11">
        <v>0</v>
      </c>
    </row>
    <row r="99" spans="1:50" customFormat="1" ht="14.5" hidden="1">
      <c r="A99" s="6">
        <v>98</v>
      </c>
      <c r="B99" s="7" t="s">
        <v>289</v>
      </c>
      <c r="C99" s="7" t="s">
        <v>49</v>
      </c>
      <c r="D99" s="6">
        <v>15489</v>
      </c>
      <c r="E99" s="6" t="s">
        <v>49</v>
      </c>
      <c r="F99" s="8"/>
      <c r="G99" s="8"/>
      <c r="H99" s="7" t="s">
        <v>49</v>
      </c>
      <c r="I99" s="7"/>
      <c r="J99" s="6" t="s">
        <v>49</v>
      </c>
      <c r="K99" s="9" t="s">
        <v>49</v>
      </c>
      <c r="L99" s="9" t="s">
        <v>49</v>
      </c>
      <c r="M99" s="8"/>
      <c r="N99" s="8"/>
      <c r="O99" s="10">
        <v>43525</v>
      </c>
      <c r="P99" s="9" t="s">
        <v>49</v>
      </c>
      <c r="Q99" s="9" t="s">
        <v>49</v>
      </c>
      <c r="R99" s="8"/>
      <c r="S99" s="8"/>
      <c r="T99" s="8"/>
      <c r="U99" s="8"/>
      <c r="V99" s="9" t="s">
        <v>49</v>
      </c>
      <c r="W99" s="9" t="s">
        <v>49</v>
      </c>
      <c r="X99" s="8"/>
      <c r="Y99" s="8"/>
      <c r="Z99" s="8"/>
      <c r="AA99" s="8"/>
      <c r="AB99" s="8"/>
      <c r="AC99" s="8"/>
      <c r="AD99" s="8"/>
      <c r="AE99" s="8"/>
      <c r="AF99" s="8"/>
      <c r="AG99" s="8"/>
      <c r="AH99" s="7" t="s">
        <v>57</v>
      </c>
      <c r="AI99" s="6" t="s">
        <v>71</v>
      </c>
      <c r="AJ99" s="6" t="s">
        <v>49</v>
      </c>
      <c r="AK99" s="6" t="s">
        <v>49</v>
      </c>
      <c r="AL99" s="9" t="s">
        <v>67</v>
      </c>
      <c r="AM99" s="9" t="s">
        <v>49</v>
      </c>
      <c r="AN99" s="6" t="s">
        <v>85</v>
      </c>
      <c r="AO99" s="9" t="s">
        <v>49</v>
      </c>
      <c r="AP99" s="11">
        <v>7248.8885899999996</v>
      </c>
      <c r="AQ99" s="11">
        <v>0</v>
      </c>
      <c r="AR99" s="11">
        <v>0</v>
      </c>
      <c r="AS99" s="11">
        <v>41681.266040000002</v>
      </c>
      <c r="AT99" s="11">
        <v>0</v>
      </c>
      <c r="AU99" s="11">
        <v>0</v>
      </c>
      <c r="AV99" s="11">
        <v>0</v>
      </c>
    </row>
    <row r="100" spans="1:50" customFormat="1" ht="14.5" hidden="1">
      <c r="A100" s="6">
        <v>99</v>
      </c>
      <c r="B100" s="7" t="s">
        <v>289</v>
      </c>
      <c r="C100" s="7" t="s">
        <v>49</v>
      </c>
      <c r="D100" s="6">
        <v>15489</v>
      </c>
      <c r="E100" s="6" t="s">
        <v>290</v>
      </c>
      <c r="F100" s="8"/>
      <c r="G100" s="8"/>
      <c r="H100" s="7" t="s">
        <v>49</v>
      </c>
      <c r="I100" s="7"/>
      <c r="J100" s="6" t="s">
        <v>49</v>
      </c>
      <c r="K100" s="9" t="s">
        <v>49</v>
      </c>
      <c r="L100" s="9" t="s">
        <v>49</v>
      </c>
      <c r="M100" s="8"/>
      <c r="N100" s="8"/>
      <c r="O100" s="10">
        <v>43525</v>
      </c>
      <c r="P100" s="9" t="s">
        <v>49</v>
      </c>
      <c r="Q100" s="9" t="s">
        <v>49</v>
      </c>
      <c r="R100" s="8"/>
      <c r="S100" s="8"/>
      <c r="T100" s="8"/>
      <c r="U100" s="8"/>
      <c r="V100" s="9" t="s">
        <v>49</v>
      </c>
      <c r="W100" s="9" t="s">
        <v>49</v>
      </c>
      <c r="X100" s="8"/>
      <c r="Y100" s="8"/>
      <c r="Z100" s="8"/>
      <c r="AA100" s="8"/>
      <c r="AB100" s="8"/>
      <c r="AC100" s="8"/>
      <c r="AD100" s="8"/>
      <c r="AE100" s="8"/>
      <c r="AF100" s="8"/>
      <c r="AG100" s="8"/>
      <c r="AH100" s="7" t="s">
        <v>57</v>
      </c>
      <c r="AI100" s="6" t="s">
        <v>49</v>
      </c>
      <c r="AJ100" s="6" t="s">
        <v>49</v>
      </c>
      <c r="AK100" s="6" t="s">
        <v>49</v>
      </c>
      <c r="AL100" s="9" t="s">
        <v>49</v>
      </c>
      <c r="AM100" s="9" t="s">
        <v>67</v>
      </c>
      <c r="AN100" s="6" t="s">
        <v>49</v>
      </c>
      <c r="AO100" s="9" t="s">
        <v>67</v>
      </c>
      <c r="AP100" s="11">
        <v>0</v>
      </c>
      <c r="AQ100" s="11">
        <v>0</v>
      </c>
      <c r="AR100" s="11">
        <v>0</v>
      </c>
      <c r="AS100" s="11">
        <v>0</v>
      </c>
      <c r="AT100" s="11">
        <v>0</v>
      </c>
      <c r="AU100" s="11">
        <v>0</v>
      </c>
      <c r="AV100" s="11" t="s">
        <v>57</v>
      </c>
    </row>
    <row r="101" spans="1:50" customFormat="1" ht="14.5" hidden="1">
      <c r="A101" s="6">
        <v>100</v>
      </c>
      <c r="B101" s="7" t="s">
        <v>291</v>
      </c>
      <c r="C101" s="7" t="s">
        <v>292</v>
      </c>
      <c r="D101" s="6">
        <v>12523</v>
      </c>
      <c r="E101" s="6" t="s">
        <v>49</v>
      </c>
      <c r="F101" s="12"/>
      <c r="G101" s="8"/>
      <c r="H101" s="7" t="s">
        <v>49</v>
      </c>
      <c r="I101" s="7"/>
      <c r="J101" s="6" t="s">
        <v>49</v>
      </c>
      <c r="K101" s="9" t="s">
        <v>49</v>
      </c>
      <c r="L101" s="9" t="s">
        <v>49</v>
      </c>
      <c r="M101" s="8"/>
      <c r="N101" s="10">
        <v>42917</v>
      </c>
      <c r="O101" s="10">
        <v>43017</v>
      </c>
      <c r="P101" s="9" t="s">
        <v>49</v>
      </c>
      <c r="Q101" s="9" t="s">
        <v>49</v>
      </c>
      <c r="R101" s="8"/>
      <c r="S101" s="8"/>
      <c r="T101" s="8"/>
      <c r="U101" s="8"/>
      <c r="V101" s="9" t="s">
        <v>49</v>
      </c>
      <c r="W101" s="9" t="s">
        <v>49</v>
      </c>
      <c r="X101" s="8"/>
      <c r="Y101" s="8"/>
      <c r="Z101" s="8"/>
      <c r="AA101" s="8"/>
      <c r="AB101" s="8"/>
      <c r="AC101" s="8"/>
      <c r="AD101" s="8"/>
      <c r="AE101" s="8"/>
      <c r="AF101" s="8"/>
      <c r="AG101" s="8"/>
      <c r="AH101" s="7" t="s">
        <v>57</v>
      </c>
      <c r="AI101" s="6" t="s">
        <v>71</v>
      </c>
      <c r="AJ101" s="6" t="s">
        <v>49</v>
      </c>
      <c r="AK101" s="6" t="s">
        <v>118</v>
      </c>
      <c r="AL101" s="9" t="s">
        <v>67</v>
      </c>
      <c r="AM101" s="9" t="s">
        <v>49</v>
      </c>
      <c r="AN101" s="6" t="s">
        <v>85</v>
      </c>
      <c r="AO101" s="9" t="s">
        <v>49</v>
      </c>
      <c r="AP101" s="11">
        <v>7248.8885899999996</v>
      </c>
      <c r="AQ101" s="11">
        <v>0</v>
      </c>
      <c r="AR101" s="11">
        <v>0</v>
      </c>
      <c r="AS101" s="11">
        <v>41681.266040000002</v>
      </c>
      <c r="AT101" s="11">
        <v>0</v>
      </c>
      <c r="AU101" s="11">
        <v>0</v>
      </c>
      <c r="AV101" s="11">
        <v>0</v>
      </c>
    </row>
    <row r="102" spans="1:50" ht="13.5" customHeight="1">
      <c r="A102" s="46">
        <v>293</v>
      </c>
      <c r="B102" s="47" t="s">
        <v>654</v>
      </c>
      <c r="C102" s="47" t="s">
        <v>86</v>
      </c>
      <c r="D102" s="6">
        <v>15702</v>
      </c>
      <c r="E102" s="6" t="s">
        <v>655</v>
      </c>
      <c r="F102" s="6">
        <v>86863</v>
      </c>
      <c r="G102" s="8"/>
      <c r="H102" s="47" t="s">
        <v>88</v>
      </c>
      <c r="I102" s="47" t="s">
        <v>217</v>
      </c>
      <c r="J102" s="46" t="s">
        <v>75</v>
      </c>
      <c r="K102" s="48" t="s">
        <v>76</v>
      </c>
      <c r="L102" s="9" t="s">
        <v>218</v>
      </c>
      <c r="M102" s="38">
        <v>0</v>
      </c>
      <c r="N102" s="8"/>
      <c r="O102" s="68"/>
      <c r="P102" s="9" t="s">
        <v>49</v>
      </c>
      <c r="Q102" s="9" t="s">
        <v>49</v>
      </c>
      <c r="R102" s="46">
        <v>14.2</v>
      </c>
      <c r="S102" s="46">
        <v>12.7</v>
      </c>
      <c r="T102" s="6">
        <v>27.3</v>
      </c>
      <c r="U102" s="46">
        <v>0.9</v>
      </c>
      <c r="V102" s="48" t="s">
        <v>269</v>
      </c>
      <c r="W102" s="9" t="s">
        <v>49</v>
      </c>
      <c r="X102" s="68"/>
      <c r="Y102" s="68"/>
      <c r="Z102" s="8"/>
      <c r="AA102" s="38">
        <v>0.9</v>
      </c>
      <c r="AB102" s="6">
        <v>0.9</v>
      </c>
      <c r="AC102" s="8"/>
      <c r="AD102" s="6">
        <v>0.9</v>
      </c>
      <c r="AE102" s="68"/>
      <c r="AF102" s="6">
        <v>0.45</v>
      </c>
      <c r="AG102" s="6">
        <v>0.45</v>
      </c>
      <c r="AH102" s="7" t="s">
        <v>79</v>
      </c>
      <c r="AI102" s="6" t="s">
        <v>49</v>
      </c>
      <c r="AJ102" s="6" t="s">
        <v>49</v>
      </c>
      <c r="AK102" s="6" t="s">
        <v>49</v>
      </c>
      <c r="AL102" s="9" t="s">
        <v>49</v>
      </c>
      <c r="AM102" s="9" t="s">
        <v>92</v>
      </c>
      <c r="AN102" s="6" t="s">
        <v>49</v>
      </c>
      <c r="AO102" s="9" t="s">
        <v>92</v>
      </c>
      <c r="AP102" s="11">
        <v>0</v>
      </c>
      <c r="AQ102" s="11">
        <v>0</v>
      </c>
      <c r="AR102" s="11">
        <v>0</v>
      </c>
      <c r="AS102" s="11">
        <v>0</v>
      </c>
      <c r="AT102" s="11">
        <v>0</v>
      </c>
      <c r="AU102" s="11">
        <v>0</v>
      </c>
      <c r="AV102" s="11" t="s">
        <v>79</v>
      </c>
      <c r="AX102" s="58" t="s">
        <v>654</v>
      </c>
    </row>
    <row r="103" spans="1:50" customFormat="1" ht="14.5" hidden="1">
      <c r="A103" s="6">
        <v>102</v>
      </c>
      <c r="B103" s="7" t="s">
        <v>296</v>
      </c>
      <c r="C103" s="7" t="s">
        <v>49</v>
      </c>
      <c r="D103" s="6">
        <v>12523</v>
      </c>
      <c r="E103" s="6" t="s">
        <v>297</v>
      </c>
      <c r="F103" s="8"/>
      <c r="G103" s="8"/>
      <c r="H103" s="7" t="s">
        <v>49</v>
      </c>
      <c r="I103" s="7"/>
      <c r="J103" s="6" t="s">
        <v>49</v>
      </c>
      <c r="K103" s="9" t="s">
        <v>49</v>
      </c>
      <c r="L103" s="9" t="s">
        <v>73</v>
      </c>
      <c r="M103" s="8"/>
      <c r="N103" s="10">
        <v>42917</v>
      </c>
      <c r="O103" s="10">
        <v>43017</v>
      </c>
      <c r="P103" s="9" t="s">
        <v>298</v>
      </c>
      <c r="Q103" s="9" t="s">
        <v>107</v>
      </c>
      <c r="R103" s="8"/>
      <c r="S103" s="8"/>
      <c r="T103" s="8"/>
      <c r="U103" s="8"/>
      <c r="V103" s="9" t="s">
        <v>49</v>
      </c>
      <c r="W103" s="9" t="s">
        <v>49</v>
      </c>
      <c r="X103" s="8"/>
      <c r="Y103" s="8"/>
      <c r="Z103" s="8"/>
      <c r="AA103" s="8"/>
      <c r="AB103" s="8"/>
      <c r="AC103" s="8"/>
      <c r="AD103" s="8"/>
      <c r="AE103" s="8"/>
      <c r="AF103" s="8"/>
      <c r="AG103" s="8"/>
      <c r="AH103" s="7" t="s">
        <v>57</v>
      </c>
      <c r="AI103" s="6" t="s">
        <v>49</v>
      </c>
      <c r="AJ103" s="6" t="s">
        <v>49</v>
      </c>
      <c r="AK103" s="6" t="s">
        <v>49</v>
      </c>
      <c r="AL103" s="9" t="s">
        <v>49</v>
      </c>
      <c r="AM103" s="9" t="s">
        <v>299</v>
      </c>
      <c r="AN103" s="6" t="s">
        <v>49</v>
      </c>
      <c r="AO103" s="9" t="s">
        <v>300</v>
      </c>
      <c r="AP103" s="11">
        <v>0</v>
      </c>
      <c r="AQ103" s="11">
        <v>0</v>
      </c>
      <c r="AR103" s="11">
        <v>0</v>
      </c>
      <c r="AS103" s="11">
        <v>0</v>
      </c>
      <c r="AT103" s="11">
        <v>0</v>
      </c>
      <c r="AU103" s="11">
        <v>0</v>
      </c>
      <c r="AV103" s="11" t="s">
        <v>57</v>
      </c>
    </row>
    <row r="104" spans="1:50" ht="13.5" customHeight="1">
      <c r="A104" s="46">
        <v>245</v>
      </c>
      <c r="B104" s="47" t="s">
        <v>571</v>
      </c>
      <c r="C104" s="47" t="s">
        <v>292</v>
      </c>
      <c r="D104" s="6">
        <v>15376</v>
      </c>
      <c r="E104" s="6" t="s">
        <v>572</v>
      </c>
      <c r="F104" s="6">
        <v>0</v>
      </c>
      <c r="G104" s="8"/>
      <c r="H104" s="47" t="s">
        <v>88</v>
      </c>
      <c r="I104" s="47" t="s">
        <v>147</v>
      </c>
      <c r="J104" s="46" t="s">
        <v>196</v>
      </c>
      <c r="K104" s="48" t="s">
        <v>76</v>
      </c>
      <c r="L104" s="9" t="s">
        <v>573</v>
      </c>
      <c r="M104" s="17">
        <v>816</v>
      </c>
      <c r="N104" s="10">
        <v>43553</v>
      </c>
      <c r="O104" s="10">
        <v>44561</v>
      </c>
      <c r="P104" s="9" t="s">
        <v>574</v>
      </c>
      <c r="Q104" s="9" t="s">
        <v>107</v>
      </c>
      <c r="R104" s="46">
        <v>14.09</v>
      </c>
      <c r="S104" s="46">
        <v>239.5</v>
      </c>
      <c r="T104" s="6">
        <v>409.4</v>
      </c>
      <c r="U104" s="46">
        <v>17</v>
      </c>
      <c r="V104" s="48" t="s">
        <v>575</v>
      </c>
      <c r="W104" s="9" t="s">
        <v>49</v>
      </c>
      <c r="X104" s="8"/>
      <c r="Y104" s="38">
        <v>0.81599999999999995</v>
      </c>
      <c r="Z104" s="68"/>
      <c r="AA104" s="8"/>
      <c r="AB104" s="6">
        <v>0.81599999999999995</v>
      </c>
      <c r="AC104" s="8"/>
      <c r="AD104" s="6">
        <v>0.81599999999999995</v>
      </c>
      <c r="AE104" s="6">
        <v>0.65300000000000002</v>
      </c>
      <c r="AF104" s="8"/>
      <c r="AG104" s="6">
        <v>0.65300000000000002</v>
      </c>
      <c r="AH104" s="7" t="s">
        <v>51</v>
      </c>
      <c r="AI104" s="6" t="s">
        <v>49</v>
      </c>
      <c r="AJ104" s="6" t="s">
        <v>49</v>
      </c>
      <c r="AK104" s="6" t="s">
        <v>49</v>
      </c>
      <c r="AL104" s="9" t="s">
        <v>49</v>
      </c>
      <c r="AM104" s="9" t="s">
        <v>576</v>
      </c>
      <c r="AN104" s="6" t="s">
        <v>73</v>
      </c>
      <c r="AO104" s="9" t="s">
        <v>576</v>
      </c>
      <c r="AP104" s="11">
        <v>37.648269999999997</v>
      </c>
      <c r="AQ104" s="11">
        <v>224288.97</v>
      </c>
      <c r="AR104" s="11">
        <v>25213.815416666683</v>
      </c>
      <c r="AS104" s="11">
        <v>1844.40814</v>
      </c>
      <c r="AT104" s="11">
        <v>3854.2889699999996</v>
      </c>
      <c r="AU104" s="11">
        <v>4170</v>
      </c>
      <c r="AV104" s="11" t="s">
        <v>51</v>
      </c>
      <c r="AW104" t="s">
        <v>577</v>
      </c>
      <c r="AX104" s="61" t="s">
        <v>574</v>
      </c>
    </row>
    <row r="105" spans="1:50" customFormat="1" ht="14.5" hidden="1">
      <c r="A105" s="6">
        <v>104</v>
      </c>
      <c r="B105" s="7" t="s">
        <v>307</v>
      </c>
      <c r="C105" s="7" t="s">
        <v>49</v>
      </c>
      <c r="D105" s="6">
        <v>12539</v>
      </c>
      <c r="E105" s="6" t="s">
        <v>49</v>
      </c>
      <c r="F105" s="8"/>
      <c r="G105" s="8"/>
      <c r="H105" s="7" t="s">
        <v>49</v>
      </c>
      <c r="I105" s="7"/>
      <c r="J105" s="6" t="s">
        <v>49</v>
      </c>
      <c r="K105" s="9" t="s">
        <v>49</v>
      </c>
      <c r="L105" s="9" t="s">
        <v>49</v>
      </c>
      <c r="M105" s="8"/>
      <c r="N105" s="10">
        <v>42926</v>
      </c>
      <c r="O105" s="10">
        <v>44377</v>
      </c>
      <c r="P105" s="9" t="s">
        <v>49</v>
      </c>
      <c r="Q105" s="9" t="s">
        <v>49</v>
      </c>
      <c r="R105" s="8"/>
      <c r="S105" s="8"/>
      <c r="T105" s="8"/>
      <c r="U105" s="8"/>
      <c r="V105" s="9" t="s">
        <v>49</v>
      </c>
      <c r="W105" s="9" t="s">
        <v>49</v>
      </c>
      <c r="X105" s="8"/>
      <c r="Y105" s="8"/>
      <c r="Z105" s="8"/>
      <c r="AA105" s="8"/>
      <c r="AB105" s="8"/>
      <c r="AC105" s="8"/>
      <c r="AD105" s="8"/>
      <c r="AE105" s="8"/>
      <c r="AF105" s="8"/>
      <c r="AG105" s="8"/>
      <c r="AH105" s="7" t="s">
        <v>51</v>
      </c>
      <c r="AI105" s="6" t="s">
        <v>71</v>
      </c>
      <c r="AJ105" s="6" t="s">
        <v>49</v>
      </c>
      <c r="AK105" s="6" t="s">
        <v>118</v>
      </c>
      <c r="AL105" s="9" t="s">
        <v>134</v>
      </c>
      <c r="AM105" s="9" t="s">
        <v>49</v>
      </c>
      <c r="AN105" s="6" t="s">
        <v>96</v>
      </c>
      <c r="AO105" s="9" t="s">
        <v>49</v>
      </c>
      <c r="AP105" s="11">
        <v>7248.8885899999996</v>
      </c>
      <c r="AQ105" s="11">
        <v>0</v>
      </c>
      <c r="AR105" s="11">
        <v>0</v>
      </c>
      <c r="AS105" s="11">
        <v>41681.266040000002</v>
      </c>
      <c r="AT105" s="11">
        <v>0</v>
      </c>
      <c r="AU105" s="11">
        <v>0</v>
      </c>
      <c r="AV105" s="11">
        <v>0</v>
      </c>
    </row>
    <row r="106" spans="1:50" customFormat="1" ht="14.5" hidden="1">
      <c r="A106" s="6">
        <v>105</v>
      </c>
      <c r="B106" s="7" t="s">
        <v>308</v>
      </c>
      <c r="C106" s="7" t="s">
        <v>49</v>
      </c>
      <c r="D106" s="6">
        <v>15376</v>
      </c>
      <c r="E106" s="6" t="s">
        <v>49</v>
      </c>
      <c r="F106" s="12"/>
      <c r="G106" s="8"/>
      <c r="H106" s="7" t="s">
        <v>49</v>
      </c>
      <c r="I106" s="7"/>
      <c r="J106" s="6" t="s">
        <v>49</v>
      </c>
      <c r="K106" s="9" t="s">
        <v>49</v>
      </c>
      <c r="L106" s="9" t="s">
        <v>49</v>
      </c>
      <c r="M106" s="8"/>
      <c r="N106" s="10">
        <v>43280</v>
      </c>
      <c r="O106" s="10">
        <v>44561</v>
      </c>
      <c r="P106" s="9" t="s">
        <v>49</v>
      </c>
      <c r="Q106" s="9" t="s">
        <v>49</v>
      </c>
      <c r="R106" s="8"/>
      <c r="S106" s="8"/>
      <c r="T106" s="8"/>
      <c r="U106" s="8"/>
      <c r="V106" s="9" t="s">
        <v>49</v>
      </c>
      <c r="W106" s="9" t="s">
        <v>49</v>
      </c>
      <c r="X106" s="8"/>
      <c r="Y106" s="8"/>
      <c r="Z106" s="8"/>
      <c r="AA106" s="8"/>
      <c r="AB106" s="8"/>
      <c r="AC106" s="8"/>
      <c r="AD106" s="8"/>
      <c r="AE106" s="8"/>
      <c r="AF106" s="8"/>
      <c r="AG106" s="8"/>
      <c r="AH106" s="7" t="s">
        <v>57</v>
      </c>
      <c r="AI106" s="6" t="s">
        <v>71</v>
      </c>
      <c r="AJ106" s="6" t="s">
        <v>49</v>
      </c>
      <c r="AK106" s="6" t="s">
        <v>49</v>
      </c>
      <c r="AL106" s="9" t="s">
        <v>213</v>
      </c>
      <c r="AM106" s="9" t="s">
        <v>49</v>
      </c>
      <c r="AN106" s="6" t="s">
        <v>82</v>
      </c>
      <c r="AO106" s="9" t="s">
        <v>49</v>
      </c>
      <c r="AP106" s="11">
        <v>7248.8885899999996</v>
      </c>
      <c r="AQ106" s="11">
        <v>0</v>
      </c>
      <c r="AR106" s="11">
        <v>0</v>
      </c>
      <c r="AS106" s="11">
        <v>41681.266040000002</v>
      </c>
      <c r="AT106" s="11">
        <v>0</v>
      </c>
      <c r="AU106" s="11">
        <v>0</v>
      </c>
      <c r="AV106" s="11">
        <v>0</v>
      </c>
    </row>
    <row r="107" spans="1:50" customFormat="1" ht="14.5" hidden="1">
      <c r="A107" s="6">
        <v>106</v>
      </c>
      <c r="B107" s="7" t="s">
        <v>309</v>
      </c>
      <c r="C107" s="7" t="s">
        <v>81</v>
      </c>
      <c r="D107" s="6">
        <v>15376</v>
      </c>
      <c r="E107" s="6" t="s">
        <v>310</v>
      </c>
      <c r="F107" s="8"/>
      <c r="G107" s="8"/>
      <c r="H107" s="7" t="s">
        <v>49</v>
      </c>
      <c r="I107" s="7"/>
      <c r="J107" s="6" t="s">
        <v>49</v>
      </c>
      <c r="K107" s="9" t="s">
        <v>49</v>
      </c>
      <c r="L107" s="9" t="s">
        <v>49</v>
      </c>
      <c r="M107" s="8"/>
      <c r="N107" s="10">
        <v>43318</v>
      </c>
      <c r="O107" s="10">
        <v>43831</v>
      </c>
      <c r="P107" s="9" t="s">
        <v>49</v>
      </c>
      <c r="Q107" s="9" t="s">
        <v>49</v>
      </c>
      <c r="R107" s="8"/>
      <c r="S107" s="8"/>
      <c r="T107" s="8"/>
      <c r="U107" s="8"/>
      <c r="V107" s="9" t="s">
        <v>49</v>
      </c>
      <c r="W107" s="9" t="s">
        <v>49</v>
      </c>
      <c r="X107" s="8"/>
      <c r="Y107" s="8"/>
      <c r="Z107" s="8"/>
      <c r="AA107" s="8"/>
      <c r="AB107" s="8"/>
      <c r="AC107" s="8"/>
      <c r="AD107" s="8"/>
      <c r="AE107" s="8"/>
      <c r="AF107" s="8"/>
      <c r="AG107" s="8"/>
      <c r="AH107" s="7" t="s">
        <v>51</v>
      </c>
      <c r="AI107" s="6" t="s">
        <v>49</v>
      </c>
      <c r="AJ107" s="6" t="s">
        <v>49</v>
      </c>
      <c r="AK107" s="6" t="s">
        <v>49</v>
      </c>
      <c r="AL107" s="9" t="s">
        <v>49</v>
      </c>
      <c r="AM107" s="9" t="s">
        <v>311</v>
      </c>
      <c r="AN107" s="6" t="s">
        <v>49</v>
      </c>
      <c r="AO107" s="9" t="s">
        <v>311</v>
      </c>
      <c r="AP107" s="11">
        <v>0</v>
      </c>
      <c r="AQ107" s="11">
        <v>0</v>
      </c>
      <c r="AR107" s="11">
        <v>0</v>
      </c>
      <c r="AS107" s="11">
        <v>0</v>
      </c>
      <c r="AT107" s="11">
        <v>0</v>
      </c>
      <c r="AU107" s="11">
        <v>0</v>
      </c>
      <c r="AV107" s="11" t="s">
        <v>51</v>
      </c>
    </row>
    <row r="108" spans="1:50" customFormat="1" ht="14.5" hidden="1">
      <c r="A108" s="6">
        <v>107</v>
      </c>
      <c r="B108" s="7" t="s">
        <v>312</v>
      </c>
      <c r="C108" s="7" t="s">
        <v>81</v>
      </c>
      <c r="D108" s="6">
        <v>15376</v>
      </c>
      <c r="E108" s="6" t="s">
        <v>313</v>
      </c>
      <c r="F108" s="8"/>
      <c r="G108" s="8"/>
      <c r="H108" s="7" t="s">
        <v>49</v>
      </c>
      <c r="I108" s="7"/>
      <c r="J108" s="6" t="s">
        <v>49</v>
      </c>
      <c r="K108" s="9" t="s">
        <v>49</v>
      </c>
      <c r="L108" s="9" t="s">
        <v>73</v>
      </c>
      <c r="M108" s="8"/>
      <c r="N108" s="10">
        <v>43501</v>
      </c>
      <c r="O108" s="10">
        <v>43831</v>
      </c>
      <c r="P108" s="9" t="s">
        <v>49</v>
      </c>
      <c r="Q108" s="9" t="s">
        <v>49</v>
      </c>
      <c r="R108" s="8"/>
      <c r="S108" s="8"/>
      <c r="T108" s="8"/>
      <c r="U108" s="8"/>
      <c r="V108" s="9" t="s">
        <v>49</v>
      </c>
      <c r="W108" s="9" t="s">
        <v>49</v>
      </c>
      <c r="X108" s="8"/>
      <c r="Y108" s="8"/>
      <c r="Z108" s="8"/>
      <c r="AA108" s="8"/>
      <c r="AB108" s="8"/>
      <c r="AC108" s="8"/>
      <c r="AD108" s="8"/>
      <c r="AE108" s="8"/>
      <c r="AF108" s="8"/>
      <c r="AG108" s="8"/>
      <c r="AH108" s="7" t="s">
        <v>51</v>
      </c>
      <c r="AI108" s="6" t="s">
        <v>49</v>
      </c>
      <c r="AJ108" s="6" t="s">
        <v>49</v>
      </c>
      <c r="AK108" s="6" t="s">
        <v>49</v>
      </c>
      <c r="AL108" s="9" t="s">
        <v>49</v>
      </c>
      <c r="AM108" s="9" t="s">
        <v>200</v>
      </c>
      <c r="AN108" s="6" t="s">
        <v>49</v>
      </c>
      <c r="AO108" s="9" t="s">
        <v>201</v>
      </c>
      <c r="AP108" s="11">
        <v>0</v>
      </c>
      <c r="AQ108" s="11">
        <v>0</v>
      </c>
      <c r="AR108" s="11">
        <v>0</v>
      </c>
      <c r="AS108" s="11">
        <v>16.812519999999999</v>
      </c>
      <c r="AT108" s="11">
        <v>0</v>
      </c>
      <c r="AU108" s="11">
        <v>0</v>
      </c>
      <c r="AV108" s="11" t="s">
        <v>51</v>
      </c>
    </row>
    <row r="109" spans="1:50" customFormat="1" ht="14.5" hidden="1">
      <c r="A109" s="6">
        <v>108</v>
      </c>
      <c r="B109" s="7" t="s">
        <v>314</v>
      </c>
      <c r="C109" s="7" t="s">
        <v>49</v>
      </c>
      <c r="D109" s="6">
        <v>15386</v>
      </c>
      <c r="E109" s="6" t="s">
        <v>49</v>
      </c>
      <c r="F109" s="8"/>
      <c r="G109" s="8"/>
      <c r="H109" s="7" t="s">
        <v>49</v>
      </c>
      <c r="I109" s="7"/>
      <c r="J109" s="6" t="s">
        <v>49</v>
      </c>
      <c r="K109" s="9" t="s">
        <v>49</v>
      </c>
      <c r="L109" s="9" t="s">
        <v>49</v>
      </c>
      <c r="M109" s="8"/>
      <c r="N109" s="10">
        <v>43525</v>
      </c>
      <c r="O109" s="10">
        <v>43851</v>
      </c>
      <c r="P109" s="9" t="s">
        <v>49</v>
      </c>
      <c r="Q109" s="9" t="s">
        <v>49</v>
      </c>
      <c r="R109" s="8"/>
      <c r="S109" s="8"/>
      <c r="T109" s="8"/>
      <c r="U109" s="8"/>
      <c r="V109" s="9" t="s">
        <v>49</v>
      </c>
      <c r="W109" s="9" t="s">
        <v>49</v>
      </c>
      <c r="X109" s="8"/>
      <c r="Y109" s="8"/>
      <c r="Z109" s="8"/>
      <c r="AA109" s="8"/>
      <c r="AB109" s="8"/>
      <c r="AC109" s="8"/>
      <c r="AD109" s="8"/>
      <c r="AE109" s="8"/>
      <c r="AF109" s="8"/>
      <c r="AG109" s="8"/>
      <c r="AH109" s="7" t="s">
        <v>57</v>
      </c>
      <c r="AI109" s="6" t="s">
        <v>71</v>
      </c>
      <c r="AJ109" s="6" t="s">
        <v>49</v>
      </c>
      <c r="AK109" s="6" t="s">
        <v>49</v>
      </c>
      <c r="AL109" s="9" t="s">
        <v>119</v>
      </c>
      <c r="AM109" s="9" t="s">
        <v>49</v>
      </c>
      <c r="AN109" s="6" t="s">
        <v>82</v>
      </c>
      <c r="AO109" s="9" t="s">
        <v>49</v>
      </c>
      <c r="AP109" s="11">
        <v>7248.8885899999996</v>
      </c>
      <c r="AQ109" s="11">
        <v>0</v>
      </c>
      <c r="AR109" s="11">
        <v>0</v>
      </c>
      <c r="AS109" s="11">
        <v>41681.266040000002</v>
      </c>
      <c r="AT109" s="11">
        <v>0</v>
      </c>
      <c r="AU109" s="11">
        <v>0</v>
      </c>
      <c r="AV109" s="11">
        <v>0</v>
      </c>
    </row>
    <row r="110" spans="1:50" customFormat="1" ht="14.5" hidden="1">
      <c r="A110" s="6">
        <v>109</v>
      </c>
      <c r="B110" s="7" t="s">
        <v>315</v>
      </c>
      <c r="C110" s="7" t="s">
        <v>49</v>
      </c>
      <c r="D110" s="6">
        <v>15386</v>
      </c>
      <c r="E110" s="6" t="s">
        <v>316</v>
      </c>
      <c r="F110" s="8"/>
      <c r="G110" s="8"/>
      <c r="H110" s="7" t="s">
        <v>49</v>
      </c>
      <c r="I110" s="7"/>
      <c r="J110" s="6" t="s">
        <v>49</v>
      </c>
      <c r="K110" s="9" t="s">
        <v>49</v>
      </c>
      <c r="L110" s="9" t="s">
        <v>49</v>
      </c>
      <c r="M110" s="8"/>
      <c r="N110" s="10">
        <v>43525</v>
      </c>
      <c r="O110" s="10">
        <v>43851</v>
      </c>
      <c r="P110" s="9" t="s">
        <v>49</v>
      </c>
      <c r="Q110" s="9" t="s">
        <v>49</v>
      </c>
      <c r="R110" s="8"/>
      <c r="S110" s="8"/>
      <c r="T110" s="8"/>
      <c r="U110" s="8"/>
      <c r="V110" s="9" t="s">
        <v>49</v>
      </c>
      <c r="W110" s="9" t="s">
        <v>49</v>
      </c>
      <c r="X110" s="8"/>
      <c r="Y110" s="8"/>
      <c r="Z110" s="8"/>
      <c r="AA110" s="8"/>
      <c r="AB110" s="8"/>
      <c r="AC110" s="8"/>
      <c r="AD110" s="8"/>
      <c r="AE110" s="8"/>
      <c r="AF110" s="8"/>
      <c r="AG110" s="8"/>
      <c r="AH110" s="7" t="s">
        <v>51</v>
      </c>
      <c r="AI110" s="6" t="s">
        <v>49</v>
      </c>
      <c r="AJ110" s="6" t="s">
        <v>49</v>
      </c>
      <c r="AK110" s="6" t="s">
        <v>49</v>
      </c>
      <c r="AL110" s="9" t="s">
        <v>49</v>
      </c>
      <c r="AM110" s="9" t="s">
        <v>122</v>
      </c>
      <c r="AN110" s="6" t="s">
        <v>49</v>
      </c>
      <c r="AO110" s="9" t="s">
        <v>122</v>
      </c>
      <c r="AP110" s="11">
        <v>0</v>
      </c>
      <c r="AQ110" s="11">
        <v>0</v>
      </c>
      <c r="AR110" s="11">
        <v>0</v>
      </c>
      <c r="AS110" s="11">
        <v>0</v>
      </c>
      <c r="AT110" s="11">
        <v>0</v>
      </c>
      <c r="AU110" s="11">
        <v>0</v>
      </c>
      <c r="AV110" s="11" t="s">
        <v>51</v>
      </c>
    </row>
    <row r="111" spans="1:50" customFormat="1" ht="14.5" hidden="1">
      <c r="A111" s="6">
        <v>110</v>
      </c>
      <c r="B111" s="7" t="s">
        <v>317</v>
      </c>
      <c r="C111" s="7" t="s">
        <v>49</v>
      </c>
      <c r="D111" s="6">
        <v>12514</v>
      </c>
      <c r="E111" s="6" t="s">
        <v>49</v>
      </c>
      <c r="F111" s="8"/>
      <c r="G111" s="8"/>
      <c r="H111" s="7" t="s">
        <v>49</v>
      </c>
      <c r="I111" s="7"/>
      <c r="J111" s="6" t="s">
        <v>49</v>
      </c>
      <c r="K111" s="9" t="s">
        <v>49</v>
      </c>
      <c r="L111" s="9" t="s">
        <v>49</v>
      </c>
      <c r="M111" s="8"/>
      <c r="N111" s="10">
        <v>42825</v>
      </c>
      <c r="O111" s="10">
        <v>43831</v>
      </c>
      <c r="P111" s="9" t="s">
        <v>49</v>
      </c>
      <c r="Q111" s="9" t="s">
        <v>49</v>
      </c>
      <c r="R111" s="8"/>
      <c r="S111" s="8"/>
      <c r="T111" s="8"/>
      <c r="U111" s="8"/>
      <c r="V111" s="9" t="s">
        <v>49</v>
      </c>
      <c r="W111" s="9" t="s">
        <v>49</v>
      </c>
      <c r="X111" s="8"/>
      <c r="Y111" s="8"/>
      <c r="Z111" s="8"/>
      <c r="AA111" s="8"/>
      <c r="AB111" s="8"/>
      <c r="AC111" s="8"/>
      <c r="AD111" s="8"/>
      <c r="AE111" s="8"/>
      <c r="AF111" s="8"/>
      <c r="AG111" s="8"/>
      <c r="AH111" s="7" t="s">
        <v>51</v>
      </c>
      <c r="AI111" s="6" t="s">
        <v>71</v>
      </c>
      <c r="AJ111" s="6" t="s">
        <v>49</v>
      </c>
      <c r="AK111" s="6" t="s">
        <v>118</v>
      </c>
      <c r="AL111" s="9" t="s">
        <v>119</v>
      </c>
      <c r="AM111" s="9" t="s">
        <v>49</v>
      </c>
      <c r="AN111" s="6" t="s">
        <v>96</v>
      </c>
      <c r="AO111" s="9" t="s">
        <v>49</v>
      </c>
      <c r="AP111" s="11">
        <v>7248.8885899999996</v>
      </c>
      <c r="AQ111" s="11">
        <v>0</v>
      </c>
      <c r="AR111" s="11">
        <v>0</v>
      </c>
      <c r="AS111" s="11">
        <v>41681.266040000002</v>
      </c>
      <c r="AT111" s="11">
        <v>0</v>
      </c>
      <c r="AU111" s="11">
        <v>0</v>
      </c>
      <c r="AV111" s="11">
        <v>0</v>
      </c>
    </row>
    <row r="112" spans="1:50" customFormat="1" ht="14.5" hidden="1">
      <c r="A112" s="6">
        <v>111</v>
      </c>
      <c r="B112" s="7" t="s">
        <v>318</v>
      </c>
      <c r="C112" s="7" t="s">
        <v>49</v>
      </c>
      <c r="D112" s="6">
        <v>12514</v>
      </c>
      <c r="E112" s="6" t="s">
        <v>319</v>
      </c>
      <c r="F112" s="8"/>
      <c r="G112" s="8"/>
      <c r="H112" s="7" t="s">
        <v>49</v>
      </c>
      <c r="I112" s="7"/>
      <c r="J112" s="6" t="s">
        <v>49</v>
      </c>
      <c r="K112" s="9" t="s">
        <v>49</v>
      </c>
      <c r="L112" s="9" t="s">
        <v>49</v>
      </c>
      <c r="M112" s="12"/>
      <c r="N112" s="10">
        <v>42825</v>
      </c>
      <c r="O112" s="10">
        <v>43831</v>
      </c>
      <c r="P112" s="9" t="s">
        <v>49</v>
      </c>
      <c r="Q112" s="9" t="s">
        <v>49</v>
      </c>
      <c r="R112" s="12"/>
      <c r="S112" s="12"/>
      <c r="T112" s="12"/>
      <c r="U112" s="12"/>
      <c r="V112" s="9" t="s">
        <v>49</v>
      </c>
      <c r="W112" s="9" t="s">
        <v>49</v>
      </c>
      <c r="X112" s="8"/>
      <c r="Y112" s="8"/>
      <c r="Z112" s="8"/>
      <c r="AA112" s="8"/>
      <c r="AB112" s="8"/>
      <c r="AC112" s="8"/>
      <c r="AD112" s="8"/>
      <c r="AE112" s="8"/>
      <c r="AF112" s="8"/>
      <c r="AG112" s="8"/>
      <c r="AH112" s="7" t="s">
        <v>51</v>
      </c>
      <c r="AI112" s="6" t="s">
        <v>49</v>
      </c>
      <c r="AJ112" s="6" t="s">
        <v>49</v>
      </c>
      <c r="AK112" s="6" t="s">
        <v>49</v>
      </c>
      <c r="AL112" s="9" t="s">
        <v>49</v>
      </c>
      <c r="AM112" s="9" t="s">
        <v>122</v>
      </c>
      <c r="AN112" s="6" t="s">
        <v>49</v>
      </c>
      <c r="AO112" s="9" t="s">
        <v>320</v>
      </c>
      <c r="AP112" s="11">
        <v>0</v>
      </c>
      <c r="AQ112" s="11">
        <v>0</v>
      </c>
      <c r="AR112" s="11">
        <v>0</v>
      </c>
      <c r="AS112" s="11">
        <v>0</v>
      </c>
      <c r="AT112" s="11">
        <v>0</v>
      </c>
      <c r="AU112" s="11">
        <v>0</v>
      </c>
      <c r="AV112" s="11" t="s">
        <v>51</v>
      </c>
    </row>
    <row r="113" spans="1:50" customFormat="1" ht="14.5" hidden="1">
      <c r="A113" s="6">
        <v>112</v>
      </c>
      <c r="B113" s="7" t="s">
        <v>321</v>
      </c>
      <c r="C113" s="7" t="s">
        <v>81</v>
      </c>
      <c r="D113" s="6">
        <v>16012</v>
      </c>
      <c r="E113" s="6" t="s">
        <v>49</v>
      </c>
      <c r="F113" s="8"/>
      <c r="G113" s="8"/>
      <c r="H113" s="7" t="s">
        <v>49</v>
      </c>
      <c r="I113" s="7"/>
      <c r="J113" s="6" t="s">
        <v>49</v>
      </c>
      <c r="K113" s="9" t="s">
        <v>49</v>
      </c>
      <c r="L113" s="9" t="s">
        <v>49</v>
      </c>
      <c r="M113" s="8"/>
      <c r="N113" s="12"/>
      <c r="O113" s="10">
        <v>43819</v>
      </c>
      <c r="P113" s="9" t="s">
        <v>49</v>
      </c>
      <c r="Q113" s="9" t="s">
        <v>49</v>
      </c>
      <c r="R113" s="8"/>
      <c r="S113" s="8"/>
      <c r="T113" s="8"/>
      <c r="U113" s="8"/>
      <c r="V113" s="9" t="s">
        <v>49</v>
      </c>
      <c r="W113" s="9" t="s">
        <v>49</v>
      </c>
      <c r="X113" s="8"/>
      <c r="Y113" s="8"/>
      <c r="Z113" s="8"/>
      <c r="AA113" s="8"/>
      <c r="AB113" s="8"/>
      <c r="AC113" s="8"/>
      <c r="AD113" s="8"/>
      <c r="AE113" s="8"/>
      <c r="AF113" s="8"/>
      <c r="AG113" s="8"/>
      <c r="AH113" s="7" t="s">
        <v>57</v>
      </c>
      <c r="AI113" s="6" t="s">
        <v>71</v>
      </c>
      <c r="AJ113" s="6" t="s">
        <v>49</v>
      </c>
      <c r="AK113" s="6" t="s">
        <v>49</v>
      </c>
      <c r="AL113" s="9" t="s">
        <v>322</v>
      </c>
      <c r="AM113" s="9" t="s">
        <v>49</v>
      </c>
      <c r="AN113" s="6" t="s">
        <v>85</v>
      </c>
      <c r="AO113" s="9" t="s">
        <v>49</v>
      </c>
      <c r="AP113" s="11">
        <v>7248.8885899999996</v>
      </c>
      <c r="AQ113" s="11">
        <v>0</v>
      </c>
      <c r="AR113" s="11">
        <v>0</v>
      </c>
      <c r="AS113" s="11">
        <v>41681.266040000002</v>
      </c>
      <c r="AT113" s="11">
        <v>0</v>
      </c>
      <c r="AU113" s="11">
        <v>0</v>
      </c>
      <c r="AV113" s="11">
        <v>0</v>
      </c>
    </row>
    <row r="114" spans="1:50" customFormat="1" ht="14.5" hidden="1">
      <c r="A114" s="6">
        <v>113</v>
      </c>
      <c r="B114" s="7" t="s">
        <v>321</v>
      </c>
      <c r="C114" s="7" t="s">
        <v>81</v>
      </c>
      <c r="D114" s="6">
        <v>16012</v>
      </c>
      <c r="E114" s="6" t="s">
        <v>323</v>
      </c>
      <c r="F114" s="8"/>
      <c r="G114" s="8"/>
      <c r="H114" s="7" t="s">
        <v>245</v>
      </c>
      <c r="I114" s="7"/>
      <c r="J114" s="6" t="s">
        <v>75</v>
      </c>
      <c r="K114" s="9" t="s">
        <v>76</v>
      </c>
      <c r="L114" s="9" t="s">
        <v>49</v>
      </c>
      <c r="M114" s="8"/>
      <c r="N114" s="12"/>
      <c r="O114" s="10">
        <v>43819</v>
      </c>
      <c r="P114" s="9" t="s">
        <v>49</v>
      </c>
      <c r="Q114" s="9" t="s">
        <v>49</v>
      </c>
      <c r="R114" s="8"/>
      <c r="S114" s="8"/>
      <c r="T114" s="8"/>
      <c r="U114" s="8"/>
      <c r="V114" s="9" t="s">
        <v>49</v>
      </c>
      <c r="W114" s="9" t="s">
        <v>49</v>
      </c>
      <c r="X114" s="8"/>
      <c r="Y114" s="8"/>
      <c r="Z114" s="8"/>
      <c r="AA114" s="6">
        <v>0.16</v>
      </c>
      <c r="AB114" s="6">
        <v>0.16</v>
      </c>
      <c r="AC114" s="8"/>
      <c r="AD114" s="6">
        <v>0.16</v>
      </c>
      <c r="AE114" s="8"/>
      <c r="AF114" s="6">
        <v>0.08</v>
      </c>
      <c r="AG114" s="6">
        <v>0.08</v>
      </c>
      <c r="AH114" s="7" t="s">
        <v>57</v>
      </c>
      <c r="AI114" s="6" t="s">
        <v>49</v>
      </c>
      <c r="AJ114" s="6" t="s">
        <v>49</v>
      </c>
      <c r="AK114" s="6" t="s">
        <v>49</v>
      </c>
      <c r="AL114" s="9" t="s">
        <v>49</v>
      </c>
      <c r="AM114" s="9" t="s">
        <v>200</v>
      </c>
      <c r="AN114" s="6" t="s">
        <v>49</v>
      </c>
      <c r="AO114" s="9" t="s">
        <v>242</v>
      </c>
      <c r="AP114" s="11">
        <v>0</v>
      </c>
      <c r="AQ114" s="11">
        <v>0</v>
      </c>
      <c r="AR114" s="11">
        <v>0</v>
      </c>
      <c r="AS114" s="11">
        <v>0</v>
      </c>
      <c r="AT114" s="11">
        <v>183.2</v>
      </c>
      <c r="AU114" s="11">
        <v>0</v>
      </c>
      <c r="AV114" s="11" t="s">
        <v>57</v>
      </c>
    </row>
    <row r="115" spans="1:50" customFormat="1" ht="14.5" hidden="1">
      <c r="A115" s="6">
        <v>114</v>
      </c>
      <c r="B115" s="7" t="s">
        <v>324</v>
      </c>
      <c r="C115" s="7" t="s">
        <v>81</v>
      </c>
      <c r="D115" s="6">
        <v>15488</v>
      </c>
      <c r="E115" s="6" t="s">
        <v>49</v>
      </c>
      <c r="F115" s="8"/>
      <c r="G115" s="8"/>
      <c r="H115" s="7" t="s">
        <v>49</v>
      </c>
      <c r="I115" s="7"/>
      <c r="J115" s="6" t="s">
        <v>49</v>
      </c>
      <c r="K115" s="9" t="s">
        <v>49</v>
      </c>
      <c r="L115" s="9" t="s">
        <v>49</v>
      </c>
      <c r="M115" s="8"/>
      <c r="N115" s="10">
        <v>43563</v>
      </c>
      <c r="O115" s="10">
        <v>43859</v>
      </c>
      <c r="P115" s="9" t="s">
        <v>49</v>
      </c>
      <c r="Q115" s="9" t="s">
        <v>49</v>
      </c>
      <c r="R115" s="8"/>
      <c r="S115" s="8"/>
      <c r="T115" s="8"/>
      <c r="U115" s="8"/>
      <c r="V115" s="9" t="s">
        <v>49</v>
      </c>
      <c r="W115" s="9" t="s">
        <v>49</v>
      </c>
      <c r="X115" s="8"/>
      <c r="Y115" s="8"/>
      <c r="Z115" s="8"/>
      <c r="AA115" s="8"/>
      <c r="AB115" s="8"/>
      <c r="AC115" s="8"/>
      <c r="AD115" s="8"/>
      <c r="AE115" s="8"/>
      <c r="AF115" s="8"/>
      <c r="AG115" s="8"/>
      <c r="AH115" s="7" t="s">
        <v>57</v>
      </c>
      <c r="AI115" s="6" t="s">
        <v>71</v>
      </c>
      <c r="AJ115" s="6" t="s">
        <v>49</v>
      </c>
      <c r="AK115" s="6" t="s">
        <v>49</v>
      </c>
      <c r="AL115" s="9" t="s">
        <v>325</v>
      </c>
      <c r="AM115" s="9" t="s">
        <v>49</v>
      </c>
      <c r="AN115" s="6" t="s">
        <v>85</v>
      </c>
      <c r="AO115" s="9" t="s">
        <v>49</v>
      </c>
      <c r="AP115" s="11">
        <v>7248.8885899999996</v>
      </c>
      <c r="AQ115" s="11">
        <v>0</v>
      </c>
      <c r="AR115" s="11">
        <v>0</v>
      </c>
      <c r="AS115" s="11">
        <v>41681.266040000002</v>
      </c>
      <c r="AT115" s="11">
        <v>0</v>
      </c>
      <c r="AU115" s="11">
        <v>0</v>
      </c>
      <c r="AV115" s="11">
        <v>0</v>
      </c>
    </row>
    <row r="116" spans="1:50" customFormat="1" ht="14.5" hidden="1">
      <c r="A116" s="6">
        <v>115</v>
      </c>
      <c r="B116" s="7" t="s">
        <v>326</v>
      </c>
      <c r="C116" s="7" t="s">
        <v>81</v>
      </c>
      <c r="D116" s="6">
        <v>15488</v>
      </c>
      <c r="E116" s="6" t="s">
        <v>327</v>
      </c>
      <c r="F116" s="6">
        <v>83407</v>
      </c>
      <c r="G116" s="8"/>
      <c r="H116" s="7" t="s">
        <v>88</v>
      </c>
      <c r="I116" s="7" t="s">
        <v>266</v>
      </c>
      <c r="J116" s="6" t="s">
        <v>75</v>
      </c>
      <c r="K116" s="9" t="s">
        <v>76</v>
      </c>
      <c r="L116" s="9" t="s">
        <v>218</v>
      </c>
      <c r="M116" s="8"/>
      <c r="N116" s="10">
        <v>43563</v>
      </c>
      <c r="O116" s="10">
        <v>43859</v>
      </c>
      <c r="P116" s="9" t="s">
        <v>328</v>
      </c>
      <c r="Q116" s="9" t="s">
        <v>329</v>
      </c>
      <c r="R116" s="8"/>
      <c r="S116" s="8"/>
      <c r="T116" s="8"/>
      <c r="U116" s="8"/>
      <c r="V116" s="9" t="s">
        <v>49</v>
      </c>
      <c r="W116" s="9" t="s">
        <v>49</v>
      </c>
      <c r="X116" s="8"/>
      <c r="Y116" s="8"/>
      <c r="Z116" s="8"/>
      <c r="AA116" s="6">
        <v>1.1000000000000001</v>
      </c>
      <c r="AB116" s="6">
        <v>1.1000000000000001</v>
      </c>
      <c r="AC116" s="6">
        <v>2.3050000000000002</v>
      </c>
      <c r="AD116" s="6">
        <v>3.4049999999999998</v>
      </c>
      <c r="AE116" s="8"/>
      <c r="AF116" s="6">
        <v>0.55000000000000004</v>
      </c>
      <c r="AG116" s="6">
        <v>0.55000000000000004</v>
      </c>
      <c r="AH116" s="7" t="s">
        <v>57</v>
      </c>
      <c r="AI116" s="6" t="s">
        <v>49</v>
      </c>
      <c r="AJ116" s="6" t="s">
        <v>49</v>
      </c>
      <c r="AK116" s="6" t="s">
        <v>49</v>
      </c>
      <c r="AL116" s="9" t="s">
        <v>49</v>
      </c>
      <c r="AM116" s="9" t="s">
        <v>325</v>
      </c>
      <c r="AN116" s="6" t="s">
        <v>49</v>
      </c>
      <c r="AO116" s="9" t="s">
        <v>325</v>
      </c>
      <c r="AP116" s="11">
        <v>-1.4937499999999999</v>
      </c>
      <c r="AQ116" s="11">
        <v>-1493.75</v>
      </c>
      <c r="AR116" s="11">
        <v>-1493.7500000000002</v>
      </c>
      <c r="AS116" s="11">
        <v>208.20335</v>
      </c>
      <c r="AT116" s="11">
        <v>-1.4937499999999999</v>
      </c>
      <c r="AU116" s="11">
        <v>0</v>
      </c>
      <c r="AV116" s="11" t="s">
        <v>57</v>
      </c>
    </row>
    <row r="117" spans="1:50" customFormat="1" ht="14.5" hidden="1">
      <c r="A117" s="6">
        <v>116</v>
      </c>
      <c r="B117" s="7" t="s">
        <v>330</v>
      </c>
      <c r="C117" s="7" t="s">
        <v>49</v>
      </c>
      <c r="D117" s="6">
        <v>12625</v>
      </c>
      <c r="E117" s="6" t="s">
        <v>49</v>
      </c>
      <c r="F117" s="8"/>
      <c r="G117" s="8"/>
      <c r="H117" s="7" t="s">
        <v>49</v>
      </c>
      <c r="I117" s="7"/>
      <c r="J117" s="6" t="s">
        <v>49</v>
      </c>
      <c r="K117" s="9" t="s">
        <v>49</v>
      </c>
      <c r="L117" s="9" t="s">
        <v>49</v>
      </c>
      <c r="M117" s="8"/>
      <c r="N117" s="10">
        <v>43252</v>
      </c>
      <c r="O117" s="10">
        <v>43860</v>
      </c>
      <c r="P117" s="9" t="s">
        <v>49</v>
      </c>
      <c r="Q117" s="9" t="s">
        <v>49</v>
      </c>
      <c r="R117" s="8"/>
      <c r="S117" s="8"/>
      <c r="T117" s="8"/>
      <c r="U117" s="8"/>
      <c r="V117" s="9" t="s">
        <v>49</v>
      </c>
      <c r="W117" s="9" t="s">
        <v>49</v>
      </c>
      <c r="X117" s="8"/>
      <c r="Y117" s="8"/>
      <c r="Z117" s="8"/>
      <c r="AA117" s="8"/>
      <c r="AB117" s="8"/>
      <c r="AC117" s="8"/>
      <c r="AD117" s="8"/>
      <c r="AE117" s="8"/>
      <c r="AF117" s="8"/>
      <c r="AG117" s="8"/>
      <c r="AH117" s="7" t="s">
        <v>51</v>
      </c>
      <c r="AI117" s="6" t="s">
        <v>71</v>
      </c>
      <c r="AJ117" s="6" t="s">
        <v>49</v>
      </c>
      <c r="AK117" s="6" t="s">
        <v>49</v>
      </c>
      <c r="AL117" s="9" t="s">
        <v>200</v>
      </c>
      <c r="AM117" s="9" t="s">
        <v>49</v>
      </c>
      <c r="AN117" s="6" t="s">
        <v>82</v>
      </c>
      <c r="AO117" s="9" t="s">
        <v>49</v>
      </c>
      <c r="AP117" s="11">
        <v>7248.8885899999996</v>
      </c>
      <c r="AQ117" s="11">
        <v>0</v>
      </c>
      <c r="AR117" s="11">
        <v>0</v>
      </c>
      <c r="AS117" s="11">
        <v>41681.266040000002</v>
      </c>
      <c r="AT117" s="11">
        <v>0</v>
      </c>
      <c r="AU117" s="11">
        <v>0</v>
      </c>
      <c r="AV117" s="11">
        <v>0</v>
      </c>
    </row>
    <row r="118" spans="1:50" customFormat="1" ht="14.5" hidden="1">
      <c r="A118" s="6">
        <v>117</v>
      </c>
      <c r="B118" s="7" t="s">
        <v>330</v>
      </c>
      <c r="C118" s="7" t="s">
        <v>49</v>
      </c>
      <c r="D118" s="6">
        <v>12625</v>
      </c>
      <c r="E118" s="6" t="s">
        <v>331</v>
      </c>
      <c r="F118" s="8"/>
      <c r="G118" s="8"/>
      <c r="H118" s="7" t="s">
        <v>49</v>
      </c>
      <c r="I118" s="7"/>
      <c r="J118" s="6" t="s">
        <v>49</v>
      </c>
      <c r="K118" s="9" t="s">
        <v>49</v>
      </c>
      <c r="L118" s="9" t="s">
        <v>49</v>
      </c>
      <c r="M118" s="12"/>
      <c r="N118" s="10">
        <v>43252</v>
      </c>
      <c r="O118" s="10">
        <v>43860</v>
      </c>
      <c r="P118" s="9" t="s">
        <v>49</v>
      </c>
      <c r="Q118" s="9" t="s">
        <v>49</v>
      </c>
      <c r="R118" s="8"/>
      <c r="S118" s="8"/>
      <c r="T118" s="8"/>
      <c r="U118" s="8"/>
      <c r="V118" s="9" t="s">
        <v>49</v>
      </c>
      <c r="W118" s="9" t="s">
        <v>49</v>
      </c>
      <c r="X118" s="8"/>
      <c r="Y118" s="8"/>
      <c r="Z118" s="8"/>
      <c r="AA118" s="8"/>
      <c r="AB118" s="8"/>
      <c r="AC118" s="8"/>
      <c r="AD118" s="8"/>
      <c r="AE118" s="8"/>
      <c r="AF118" s="8"/>
      <c r="AG118" s="8"/>
      <c r="AH118" s="7" t="s">
        <v>51</v>
      </c>
      <c r="AI118" s="6" t="s">
        <v>49</v>
      </c>
      <c r="AJ118" s="6" t="s">
        <v>49</v>
      </c>
      <c r="AK118" s="6" t="s">
        <v>49</v>
      </c>
      <c r="AL118" s="9" t="s">
        <v>49</v>
      </c>
      <c r="AM118" s="9" t="s">
        <v>200</v>
      </c>
      <c r="AN118" s="6" t="s">
        <v>49</v>
      </c>
      <c r="AO118" s="9" t="s">
        <v>99</v>
      </c>
      <c r="AP118" s="11">
        <v>0</v>
      </c>
      <c r="AQ118" s="11">
        <v>0</v>
      </c>
      <c r="AR118" s="11">
        <v>0</v>
      </c>
      <c r="AS118" s="11">
        <v>0</v>
      </c>
      <c r="AT118" s="11">
        <v>0</v>
      </c>
      <c r="AU118" s="11">
        <v>0</v>
      </c>
      <c r="AV118" s="11" t="s">
        <v>51</v>
      </c>
    </row>
    <row r="119" spans="1:50" customFormat="1" ht="14.5" hidden="1">
      <c r="A119" s="6">
        <v>118</v>
      </c>
      <c r="B119" s="7" t="s">
        <v>332</v>
      </c>
      <c r="C119" s="7" t="s">
        <v>49</v>
      </c>
      <c r="D119" s="6">
        <v>12519</v>
      </c>
      <c r="E119" s="6" t="s">
        <v>49</v>
      </c>
      <c r="F119" s="8"/>
      <c r="G119" s="8"/>
      <c r="H119" s="7" t="s">
        <v>49</v>
      </c>
      <c r="I119" s="7"/>
      <c r="J119" s="6" t="s">
        <v>49</v>
      </c>
      <c r="K119" s="9" t="s">
        <v>49</v>
      </c>
      <c r="L119" s="9" t="s">
        <v>49</v>
      </c>
      <c r="M119" s="8"/>
      <c r="N119" s="10">
        <v>42919</v>
      </c>
      <c r="O119" s="10">
        <v>43920</v>
      </c>
      <c r="P119" s="9" t="s">
        <v>49</v>
      </c>
      <c r="Q119" s="9" t="s">
        <v>49</v>
      </c>
      <c r="R119" s="8"/>
      <c r="S119" s="8"/>
      <c r="T119" s="8"/>
      <c r="U119" s="8"/>
      <c r="V119" s="9" t="s">
        <v>49</v>
      </c>
      <c r="W119" s="9" t="s">
        <v>49</v>
      </c>
      <c r="X119" s="8"/>
      <c r="Y119" s="8"/>
      <c r="Z119" s="8"/>
      <c r="AA119" s="8"/>
      <c r="AB119" s="8"/>
      <c r="AC119" s="8"/>
      <c r="AD119" s="8"/>
      <c r="AE119" s="8"/>
      <c r="AF119" s="8"/>
      <c r="AG119" s="8"/>
      <c r="AH119" s="7" t="s">
        <v>51</v>
      </c>
      <c r="AI119" s="6" t="s">
        <v>71</v>
      </c>
      <c r="AJ119" s="6" t="s">
        <v>49</v>
      </c>
      <c r="AK119" s="6" t="s">
        <v>118</v>
      </c>
      <c r="AL119" s="9" t="s">
        <v>200</v>
      </c>
      <c r="AM119" s="9" t="s">
        <v>49</v>
      </c>
      <c r="AN119" s="6" t="s">
        <v>96</v>
      </c>
      <c r="AO119" s="9" t="s">
        <v>49</v>
      </c>
      <c r="AP119" s="11">
        <v>7248.8885899999996</v>
      </c>
      <c r="AQ119" s="11">
        <v>0</v>
      </c>
      <c r="AR119" s="11">
        <v>0</v>
      </c>
      <c r="AS119" s="11">
        <v>41681.266040000002</v>
      </c>
      <c r="AT119" s="11">
        <v>0</v>
      </c>
      <c r="AU119" s="11">
        <v>0</v>
      </c>
      <c r="AV119" s="11">
        <v>0</v>
      </c>
    </row>
    <row r="120" spans="1:50" customFormat="1" ht="14.5" hidden="1">
      <c r="A120" s="6">
        <v>119</v>
      </c>
      <c r="B120" s="7" t="s">
        <v>332</v>
      </c>
      <c r="C120" s="7" t="s">
        <v>49</v>
      </c>
      <c r="D120" s="6">
        <v>12519</v>
      </c>
      <c r="E120" s="6" t="s">
        <v>333</v>
      </c>
      <c r="F120" s="8"/>
      <c r="G120" s="8"/>
      <c r="H120" s="7" t="s">
        <v>49</v>
      </c>
      <c r="I120" s="7"/>
      <c r="J120" s="6" t="s">
        <v>49</v>
      </c>
      <c r="K120" s="9" t="s">
        <v>49</v>
      </c>
      <c r="L120" s="9" t="s">
        <v>49</v>
      </c>
      <c r="M120" s="8"/>
      <c r="N120" s="10">
        <v>42919</v>
      </c>
      <c r="O120" s="10">
        <v>43920</v>
      </c>
      <c r="P120" s="9" t="s">
        <v>49</v>
      </c>
      <c r="Q120" s="9" t="s">
        <v>49</v>
      </c>
      <c r="R120" s="8"/>
      <c r="S120" s="8"/>
      <c r="T120" s="8"/>
      <c r="U120" s="8"/>
      <c r="V120" s="9" t="s">
        <v>49</v>
      </c>
      <c r="W120" s="9" t="s">
        <v>49</v>
      </c>
      <c r="X120" s="8"/>
      <c r="Y120" s="8"/>
      <c r="Z120" s="8"/>
      <c r="AA120" s="8"/>
      <c r="AB120" s="8"/>
      <c r="AC120" s="8"/>
      <c r="AD120" s="8"/>
      <c r="AE120" s="8"/>
      <c r="AF120" s="8"/>
      <c r="AG120" s="8"/>
      <c r="AH120" s="7" t="s">
        <v>51</v>
      </c>
      <c r="AI120" s="6" t="s">
        <v>49</v>
      </c>
      <c r="AJ120" s="6" t="s">
        <v>49</v>
      </c>
      <c r="AK120" s="6" t="s">
        <v>49</v>
      </c>
      <c r="AL120" s="9" t="s">
        <v>49</v>
      </c>
      <c r="AM120" s="9" t="s">
        <v>200</v>
      </c>
      <c r="AN120" s="6" t="s">
        <v>49</v>
      </c>
      <c r="AO120" s="9" t="s">
        <v>201</v>
      </c>
      <c r="AP120" s="11">
        <v>0</v>
      </c>
      <c r="AQ120" s="11">
        <v>0</v>
      </c>
      <c r="AR120" s="11">
        <v>0</v>
      </c>
      <c r="AS120" s="11">
        <v>0</v>
      </c>
      <c r="AT120" s="11">
        <v>0</v>
      </c>
      <c r="AU120" s="11">
        <v>0</v>
      </c>
      <c r="AV120" s="11" t="s">
        <v>51</v>
      </c>
    </row>
    <row r="121" spans="1:50" customFormat="1" ht="14.5" hidden="1">
      <c r="A121" s="6">
        <v>120</v>
      </c>
      <c r="B121" s="7" t="s">
        <v>334</v>
      </c>
      <c r="C121" s="7" t="s">
        <v>81</v>
      </c>
      <c r="D121" s="6">
        <v>12624</v>
      </c>
      <c r="E121" s="6" t="s">
        <v>49</v>
      </c>
      <c r="F121" s="12"/>
      <c r="G121" s="8"/>
      <c r="H121" s="7" t="s">
        <v>88</v>
      </c>
      <c r="I121" s="7"/>
      <c r="J121" s="6" t="s">
        <v>49</v>
      </c>
      <c r="K121" s="9" t="s">
        <v>49</v>
      </c>
      <c r="L121" s="9" t="s">
        <v>49</v>
      </c>
      <c r="M121" s="8"/>
      <c r="N121" s="10">
        <v>43098</v>
      </c>
      <c r="O121" s="10">
        <v>44196</v>
      </c>
      <c r="P121" s="9" t="s">
        <v>49</v>
      </c>
      <c r="Q121" s="9" t="s">
        <v>49</v>
      </c>
      <c r="R121" s="12"/>
      <c r="S121" s="12"/>
      <c r="T121" s="12"/>
      <c r="U121" s="12"/>
      <c r="V121" s="9" t="s">
        <v>49</v>
      </c>
      <c r="W121" s="9" t="s">
        <v>49</v>
      </c>
      <c r="X121" s="8"/>
      <c r="Y121" s="8"/>
      <c r="Z121" s="12"/>
      <c r="AA121" s="6">
        <v>2</v>
      </c>
      <c r="AB121" s="6">
        <v>2</v>
      </c>
      <c r="AC121" s="8"/>
      <c r="AD121" s="6">
        <v>3</v>
      </c>
      <c r="AE121" s="12"/>
      <c r="AF121" s="6">
        <v>1</v>
      </c>
      <c r="AG121" s="6">
        <v>1</v>
      </c>
      <c r="AH121" s="7" t="s">
        <v>57</v>
      </c>
      <c r="AI121" s="6" t="s">
        <v>71</v>
      </c>
      <c r="AJ121" s="6" t="s">
        <v>49</v>
      </c>
      <c r="AK121" s="6" t="s">
        <v>49</v>
      </c>
      <c r="AL121" s="9" t="s">
        <v>236</v>
      </c>
      <c r="AM121" s="9" t="s">
        <v>49</v>
      </c>
      <c r="AN121" s="6" t="s">
        <v>218</v>
      </c>
      <c r="AO121" s="9" t="s">
        <v>49</v>
      </c>
      <c r="AP121" s="11">
        <v>7248.8885899999996</v>
      </c>
      <c r="AQ121" s="11">
        <v>0</v>
      </c>
      <c r="AR121" s="11">
        <v>0</v>
      </c>
      <c r="AS121" s="11">
        <v>41681.266040000002</v>
      </c>
      <c r="AT121" s="11">
        <v>0</v>
      </c>
      <c r="AU121" s="11">
        <v>600</v>
      </c>
      <c r="AV121" s="11">
        <v>0</v>
      </c>
    </row>
    <row r="122" spans="1:50" customFormat="1" ht="14.5" hidden="1">
      <c r="A122" s="6">
        <v>121</v>
      </c>
      <c r="B122" s="7" t="s">
        <v>334</v>
      </c>
      <c r="C122" s="7" t="s">
        <v>81</v>
      </c>
      <c r="D122" s="6">
        <v>12624</v>
      </c>
      <c r="E122" s="6" t="s">
        <v>335</v>
      </c>
      <c r="F122" s="8"/>
      <c r="G122" s="8"/>
      <c r="H122" s="7" t="s">
        <v>88</v>
      </c>
      <c r="I122" s="7"/>
      <c r="J122" s="6" t="s">
        <v>75</v>
      </c>
      <c r="K122" s="9" t="s">
        <v>76</v>
      </c>
      <c r="L122" s="9" t="s">
        <v>49</v>
      </c>
      <c r="M122" s="8"/>
      <c r="N122" s="10">
        <v>43098</v>
      </c>
      <c r="O122" s="10">
        <v>44196</v>
      </c>
      <c r="P122" s="9" t="s">
        <v>49</v>
      </c>
      <c r="Q122" s="9" t="s">
        <v>49</v>
      </c>
      <c r="R122" s="8"/>
      <c r="S122" s="8"/>
      <c r="T122" s="8"/>
      <c r="U122" s="8"/>
      <c r="V122" s="9" t="s">
        <v>49</v>
      </c>
      <c r="W122" s="9" t="s">
        <v>49</v>
      </c>
      <c r="X122" s="8"/>
      <c r="Y122" s="8"/>
      <c r="Z122" s="8"/>
      <c r="AA122" s="6">
        <v>1.8</v>
      </c>
      <c r="AB122" s="6">
        <v>1.8</v>
      </c>
      <c r="AC122" s="8"/>
      <c r="AD122" s="6">
        <v>1.8</v>
      </c>
      <c r="AE122" s="8"/>
      <c r="AF122" s="6">
        <v>0.9</v>
      </c>
      <c r="AG122" s="6">
        <v>0.9</v>
      </c>
      <c r="AH122" s="7" t="s">
        <v>51</v>
      </c>
      <c r="AI122" s="6" t="s">
        <v>49</v>
      </c>
      <c r="AJ122" s="6" t="s">
        <v>49</v>
      </c>
      <c r="AK122" s="6" t="s">
        <v>49</v>
      </c>
      <c r="AL122" s="9" t="s">
        <v>49</v>
      </c>
      <c r="AM122" s="9" t="s">
        <v>236</v>
      </c>
      <c r="AN122" s="6" t="s">
        <v>218</v>
      </c>
      <c r="AO122" s="9" t="s">
        <v>201</v>
      </c>
      <c r="AP122" s="11">
        <v>0</v>
      </c>
      <c r="AQ122" s="11">
        <v>0</v>
      </c>
      <c r="AR122" s="11">
        <v>0</v>
      </c>
      <c r="AS122" s="11">
        <v>0</v>
      </c>
      <c r="AT122" s="11">
        <v>600</v>
      </c>
      <c r="AU122" s="11">
        <v>600</v>
      </c>
      <c r="AV122" s="11" t="s">
        <v>51</v>
      </c>
    </row>
    <row r="123" spans="1:50" customFormat="1" ht="14.5" hidden="1">
      <c r="A123" s="6">
        <v>122</v>
      </c>
      <c r="B123" s="7" t="s">
        <v>336</v>
      </c>
      <c r="C123" s="7" t="s">
        <v>337</v>
      </c>
      <c r="D123" s="6">
        <v>15545</v>
      </c>
      <c r="E123" s="6" t="s">
        <v>49</v>
      </c>
      <c r="F123" s="8"/>
      <c r="G123" s="8"/>
      <c r="H123" s="7" t="s">
        <v>49</v>
      </c>
      <c r="I123" s="7"/>
      <c r="J123" s="6" t="s">
        <v>49</v>
      </c>
      <c r="K123" s="9" t="s">
        <v>49</v>
      </c>
      <c r="L123" s="9" t="s">
        <v>49</v>
      </c>
      <c r="M123" s="8"/>
      <c r="N123" s="10">
        <v>43556</v>
      </c>
      <c r="O123" s="10">
        <v>43860</v>
      </c>
      <c r="P123" s="9" t="s">
        <v>49</v>
      </c>
      <c r="Q123" s="9" t="s">
        <v>49</v>
      </c>
      <c r="R123" s="8"/>
      <c r="S123" s="8"/>
      <c r="T123" s="8"/>
      <c r="U123" s="8"/>
      <c r="V123" s="9" t="s">
        <v>49</v>
      </c>
      <c r="W123" s="9" t="s">
        <v>49</v>
      </c>
      <c r="X123" s="8"/>
      <c r="Y123" s="8"/>
      <c r="Z123" s="8"/>
      <c r="AA123" s="8"/>
      <c r="AB123" s="8"/>
      <c r="AC123" s="8"/>
      <c r="AD123" s="8"/>
      <c r="AE123" s="8"/>
      <c r="AF123" s="8"/>
      <c r="AG123" s="8"/>
      <c r="AH123" s="7" t="s">
        <v>57</v>
      </c>
      <c r="AI123" s="6" t="s">
        <v>71</v>
      </c>
      <c r="AJ123" s="6" t="s">
        <v>49</v>
      </c>
      <c r="AK123" s="6" t="s">
        <v>49</v>
      </c>
      <c r="AL123" s="9" t="s">
        <v>338</v>
      </c>
      <c r="AM123" s="9" t="s">
        <v>49</v>
      </c>
      <c r="AN123" s="6" t="s">
        <v>82</v>
      </c>
      <c r="AO123" s="9" t="s">
        <v>49</v>
      </c>
      <c r="AP123" s="11">
        <v>7248.8885899999996</v>
      </c>
      <c r="AQ123" s="11">
        <v>0</v>
      </c>
      <c r="AR123" s="11">
        <v>0</v>
      </c>
      <c r="AS123" s="11">
        <v>41681.266040000002</v>
      </c>
      <c r="AT123" s="11">
        <v>0</v>
      </c>
      <c r="AU123" s="11"/>
      <c r="AV123" s="11">
        <v>0</v>
      </c>
    </row>
    <row r="124" spans="1:50" ht="13.5" customHeight="1">
      <c r="A124" s="46">
        <v>101</v>
      </c>
      <c r="B124" s="47" t="s">
        <v>291</v>
      </c>
      <c r="C124" s="47" t="s">
        <v>292</v>
      </c>
      <c r="D124" s="6">
        <v>15481</v>
      </c>
      <c r="E124" s="6" t="s">
        <v>293</v>
      </c>
      <c r="F124" s="38">
        <v>0</v>
      </c>
      <c r="G124" s="8"/>
      <c r="H124" s="47" t="s">
        <v>88</v>
      </c>
      <c r="I124" s="47" t="s">
        <v>294</v>
      </c>
      <c r="J124" s="46" t="s">
        <v>196</v>
      </c>
      <c r="K124" s="48" t="s">
        <v>76</v>
      </c>
      <c r="L124" s="9" t="s">
        <v>73</v>
      </c>
      <c r="M124" s="22">
        <v>1800</v>
      </c>
      <c r="N124" s="68"/>
      <c r="O124" s="10">
        <v>44196</v>
      </c>
      <c r="P124" s="9" t="s">
        <v>49</v>
      </c>
      <c r="Q124" s="9" t="s">
        <v>49</v>
      </c>
      <c r="R124" s="46">
        <v>13.36</v>
      </c>
      <c r="S124" s="46">
        <v>100.2</v>
      </c>
      <c r="T124" s="6">
        <v>859.2</v>
      </c>
      <c r="U124" s="46">
        <v>7.5</v>
      </c>
      <c r="V124" s="48" t="s">
        <v>295</v>
      </c>
      <c r="W124" s="9" t="s">
        <v>49</v>
      </c>
      <c r="X124" s="38">
        <v>1.8</v>
      </c>
      <c r="Y124" s="6">
        <v>0.4</v>
      </c>
      <c r="Z124" s="8"/>
      <c r="AA124" s="68"/>
      <c r="AB124" s="6">
        <v>2.2000000000000002</v>
      </c>
      <c r="AC124" s="68"/>
      <c r="AD124" s="6">
        <v>2.2000000000000002</v>
      </c>
      <c r="AE124" s="38">
        <v>1.44</v>
      </c>
      <c r="AF124" s="6">
        <v>0.2</v>
      </c>
      <c r="AG124" s="6">
        <v>0.16400000000000001</v>
      </c>
      <c r="AH124" s="7" t="s">
        <v>57</v>
      </c>
      <c r="AI124" s="6" t="s">
        <v>49</v>
      </c>
      <c r="AJ124" s="6" t="s">
        <v>49</v>
      </c>
      <c r="AK124" s="6" t="s">
        <v>49</v>
      </c>
      <c r="AL124" s="9" t="s">
        <v>49</v>
      </c>
      <c r="AM124" s="9" t="s">
        <v>52</v>
      </c>
      <c r="AN124" s="6" t="s">
        <v>49</v>
      </c>
      <c r="AO124" s="9" t="s">
        <v>52</v>
      </c>
      <c r="AP124" s="11">
        <v>0</v>
      </c>
      <c r="AQ124" s="11">
        <v>0</v>
      </c>
      <c r="AR124" s="11">
        <v>0</v>
      </c>
      <c r="AS124" s="11">
        <v>0</v>
      </c>
      <c r="AT124" s="11">
        <v>1.6799900000000001</v>
      </c>
      <c r="AU124" s="11">
        <v>0</v>
      </c>
      <c r="AV124" s="11" t="s">
        <v>57</v>
      </c>
      <c r="AX124" s="60" t="s">
        <v>932</v>
      </c>
    </row>
    <row r="125" spans="1:50" customFormat="1" ht="14.5" hidden="1">
      <c r="A125" s="6">
        <v>124</v>
      </c>
      <c r="B125" s="7" t="s">
        <v>344</v>
      </c>
      <c r="C125" s="7" t="s">
        <v>337</v>
      </c>
      <c r="D125" s="6">
        <v>15545</v>
      </c>
      <c r="E125" s="6" t="s">
        <v>345</v>
      </c>
      <c r="F125" s="8"/>
      <c r="G125" s="8"/>
      <c r="H125" s="7" t="s">
        <v>49</v>
      </c>
      <c r="I125" s="7"/>
      <c r="J125" s="6" t="s">
        <v>49</v>
      </c>
      <c r="K125" s="9" t="s">
        <v>49</v>
      </c>
      <c r="L125" s="9" t="s">
        <v>49</v>
      </c>
      <c r="M125" s="8"/>
      <c r="N125" s="8"/>
      <c r="O125" s="10">
        <v>43525</v>
      </c>
      <c r="P125" s="9" t="s">
        <v>49</v>
      </c>
      <c r="Q125" s="9" t="s">
        <v>49</v>
      </c>
      <c r="R125" s="8"/>
      <c r="S125" s="8"/>
      <c r="T125" s="8"/>
      <c r="U125" s="8"/>
      <c r="V125" s="9" t="s">
        <v>49</v>
      </c>
      <c r="W125" s="9" t="s">
        <v>49</v>
      </c>
      <c r="X125" s="8"/>
      <c r="Y125" s="8"/>
      <c r="Z125" s="8"/>
      <c r="AA125" s="12"/>
      <c r="AB125" s="12"/>
      <c r="AC125" s="8"/>
      <c r="AD125" s="12"/>
      <c r="AE125" s="8"/>
      <c r="AF125" s="12"/>
      <c r="AG125" s="12"/>
      <c r="AH125" s="7" t="s">
        <v>57</v>
      </c>
      <c r="AI125" s="6" t="s">
        <v>49</v>
      </c>
      <c r="AJ125" s="6" t="s">
        <v>49</v>
      </c>
      <c r="AK125" s="6" t="s">
        <v>49</v>
      </c>
      <c r="AL125" s="9" t="s">
        <v>49</v>
      </c>
      <c r="AM125" s="9" t="s">
        <v>346</v>
      </c>
      <c r="AN125" s="6" t="s">
        <v>49</v>
      </c>
      <c r="AO125" s="9" t="s">
        <v>346</v>
      </c>
      <c r="AP125" s="11">
        <v>0</v>
      </c>
      <c r="AQ125" s="11">
        <v>0</v>
      </c>
      <c r="AR125" s="11">
        <v>0</v>
      </c>
      <c r="AS125" s="11">
        <v>0</v>
      </c>
      <c r="AT125" s="11">
        <v>184.87799999999999</v>
      </c>
      <c r="AU125" s="11">
        <v>0</v>
      </c>
      <c r="AV125" s="11" t="s">
        <v>57</v>
      </c>
    </row>
    <row r="126" spans="1:50" customFormat="1" ht="14.5" hidden="1">
      <c r="A126" s="6">
        <v>125</v>
      </c>
      <c r="B126" s="7" t="s">
        <v>347</v>
      </c>
      <c r="C126" s="7" t="s">
        <v>81</v>
      </c>
      <c r="D126" s="6">
        <v>15643</v>
      </c>
      <c r="E126" s="6" t="s">
        <v>49</v>
      </c>
      <c r="F126" s="8"/>
      <c r="G126" s="8"/>
      <c r="H126" s="7" t="s">
        <v>49</v>
      </c>
      <c r="I126" s="7"/>
      <c r="J126" s="6" t="s">
        <v>49</v>
      </c>
      <c r="K126" s="9" t="s">
        <v>49</v>
      </c>
      <c r="L126" s="9" t="s">
        <v>49</v>
      </c>
      <c r="M126" s="8"/>
      <c r="N126" s="10">
        <v>43739</v>
      </c>
      <c r="O126" s="10">
        <v>44196</v>
      </c>
      <c r="P126" s="9" t="s">
        <v>49</v>
      </c>
      <c r="Q126" s="9" t="s">
        <v>49</v>
      </c>
      <c r="R126" s="8"/>
      <c r="S126" s="8"/>
      <c r="T126" s="8"/>
      <c r="U126" s="8"/>
      <c r="V126" s="9" t="s">
        <v>49</v>
      </c>
      <c r="W126" s="9" t="s">
        <v>49</v>
      </c>
      <c r="X126" s="8"/>
      <c r="Y126" s="8"/>
      <c r="Z126" s="8"/>
      <c r="AA126" s="8"/>
      <c r="AB126" s="8"/>
      <c r="AC126" s="8"/>
      <c r="AD126" s="8"/>
      <c r="AE126" s="8"/>
      <c r="AF126" s="8"/>
      <c r="AG126" s="8"/>
      <c r="AH126" s="7" t="s">
        <v>57</v>
      </c>
      <c r="AI126" s="6" t="s">
        <v>71</v>
      </c>
      <c r="AJ126" s="6" t="s">
        <v>49</v>
      </c>
      <c r="AK126" s="6" t="s">
        <v>49</v>
      </c>
      <c r="AL126" s="9" t="s">
        <v>52</v>
      </c>
      <c r="AM126" s="9" t="s">
        <v>49</v>
      </c>
      <c r="AN126" s="6" t="s">
        <v>85</v>
      </c>
      <c r="AO126" s="9" t="s">
        <v>49</v>
      </c>
      <c r="AP126" s="11">
        <v>7248.8885899999996</v>
      </c>
      <c r="AQ126" s="11">
        <v>0</v>
      </c>
      <c r="AR126" s="11">
        <v>0</v>
      </c>
      <c r="AS126" s="11">
        <v>41681.266040000002</v>
      </c>
      <c r="AT126" s="11">
        <v>0</v>
      </c>
      <c r="AU126" s="11">
        <v>0</v>
      </c>
      <c r="AV126" s="11">
        <v>0</v>
      </c>
    </row>
    <row r="127" spans="1:50" customFormat="1" ht="14.5" hidden="1">
      <c r="A127" s="6">
        <v>126</v>
      </c>
      <c r="B127" s="7" t="s">
        <v>347</v>
      </c>
      <c r="C127" s="7" t="s">
        <v>81</v>
      </c>
      <c r="D127" s="6">
        <v>15643</v>
      </c>
      <c r="E127" s="6" t="s">
        <v>348</v>
      </c>
      <c r="F127" s="8"/>
      <c r="G127" s="8"/>
      <c r="H127" s="7" t="s">
        <v>49</v>
      </c>
      <c r="I127" s="7"/>
      <c r="J127" s="6" t="s">
        <v>49</v>
      </c>
      <c r="K127" s="9" t="s">
        <v>49</v>
      </c>
      <c r="L127" s="9" t="s">
        <v>49</v>
      </c>
      <c r="M127" s="8"/>
      <c r="N127" s="10">
        <v>43739</v>
      </c>
      <c r="O127" s="10">
        <v>44196</v>
      </c>
      <c r="P127" s="9" t="s">
        <v>49</v>
      </c>
      <c r="Q127" s="9" t="s">
        <v>49</v>
      </c>
      <c r="R127" s="8"/>
      <c r="S127" s="8"/>
      <c r="T127" s="8"/>
      <c r="U127" s="8"/>
      <c r="V127" s="9" t="s">
        <v>49</v>
      </c>
      <c r="W127" s="9" t="s">
        <v>49</v>
      </c>
      <c r="X127" s="8"/>
      <c r="Y127" s="8"/>
      <c r="Z127" s="8"/>
      <c r="AA127" s="8"/>
      <c r="AB127" s="8"/>
      <c r="AC127" s="8"/>
      <c r="AD127" s="8"/>
      <c r="AE127" s="8"/>
      <c r="AF127" s="8"/>
      <c r="AG127" s="8"/>
      <c r="AH127" s="7" t="s">
        <v>57</v>
      </c>
      <c r="AI127" s="6" t="s">
        <v>49</v>
      </c>
      <c r="AJ127" s="6" t="s">
        <v>49</v>
      </c>
      <c r="AK127" s="6" t="s">
        <v>49</v>
      </c>
      <c r="AL127" s="9" t="s">
        <v>49</v>
      </c>
      <c r="AM127" s="9" t="s">
        <v>52</v>
      </c>
      <c r="AN127" s="6" t="s">
        <v>49</v>
      </c>
      <c r="AO127" s="9" t="s">
        <v>52</v>
      </c>
      <c r="AP127" s="11">
        <v>0</v>
      </c>
      <c r="AQ127" s="11">
        <v>0</v>
      </c>
      <c r="AR127" s="11">
        <v>0</v>
      </c>
      <c r="AS127" s="11">
        <v>0</v>
      </c>
      <c r="AT127" s="11">
        <v>0</v>
      </c>
      <c r="AU127" s="11">
        <v>0</v>
      </c>
      <c r="AV127" s="11" t="s">
        <v>57</v>
      </c>
    </row>
    <row r="128" spans="1:50" customFormat="1" ht="14.5" hidden="1">
      <c r="A128" s="6">
        <v>127</v>
      </c>
      <c r="B128" s="7" t="s">
        <v>349</v>
      </c>
      <c r="C128" s="7" t="s">
        <v>49</v>
      </c>
      <c r="D128" s="6">
        <v>15061</v>
      </c>
      <c r="E128" s="6" t="s">
        <v>49</v>
      </c>
      <c r="F128" s="8"/>
      <c r="G128" s="8"/>
      <c r="H128" s="7" t="s">
        <v>49</v>
      </c>
      <c r="I128" s="7"/>
      <c r="J128" s="6" t="s">
        <v>49</v>
      </c>
      <c r="K128" s="9" t="s">
        <v>49</v>
      </c>
      <c r="L128" s="9" t="s">
        <v>49</v>
      </c>
      <c r="M128" s="8"/>
      <c r="N128" s="10">
        <v>43026</v>
      </c>
      <c r="O128" s="10">
        <v>43920</v>
      </c>
      <c r="P128" s="9" t="s">
        <v>49</v>
      </c>
      <c r="Q128" s="9" t="s">
        <v>49</v>
      </c>
      <c r="R128" s="8"/>
      <c r="S128" s="8"/>
      <c r="T128" s="8"/>
      <c r="U128" s="8"/>
      <c r="V128" s="9" t="s">
        <v>49</v>
      </c>
      <c r="W128" s="9" t="s">
        <v>49</v>
      </c>
      <c r="X128" s="8"/>
      <c r="Y128" s="8"/>
      <c r="Z128" s="8"/>
      <c r="AA128" s="8"/>
      <c r="AB128" s="8"/>
      <c r="AC128" s="8"/>
      <c r="AD128" s="8"/>
      <c r="AE128" s="8"/>
      <c r="AF128" s="8"/>
      <c r="AG128" s="8"/>
      <c r="AH128" s="7" t="s">
        <v>51</v>
      </c>
      <c r="AI128" s="6" t="s">
        <v>71</v>
      </c>
      <c r="AJ128" s="6" t="s">
        <v>49</v>
      </c>
      <c r="AK128" s="6" t="s">
        <v>49</v>
      </c>
      <c r="AL128" s="9" t="s">
        <v>221</v>
      </c>
      <c r="AM128" s="9" t="s">
        <v>49</v>
      </c>
      <c r="AN128" s="6" t="s">
        <v>96</v>
      </c>
      <c r="AO128" s="9" t="s">
        <v>49</v>
      </c>
      <c r="AP128" s="11">
        <v>7248.8885899999996</v>
      </c>
      <c r="AQ128" s="11">
        <v>0</v>
      </c>
      <c r="AR128" s="11">
        <v>0</v>
      </c>
      <c r="AS128" s="11">
        <v>41681.266040000002</v>
      </c>
      <c r="AT128" s="11">
        <v>0</v>
      </c>
      <c r="AU128" s="11">
        <v>0</v>
      </c>
      <c r="AV128" s="11">
        <v>0</v>
      </c>
    </row>
    <row r="129" spans="1:50" customFormat="1" ht="14.5" hidden="1">
      <c r="A129" s="6">
        <v>128</v>
      </c>
      <c r="B129" s="7" t="s">
        <v>349</v>
      </c>
      <c r="C129" s="7" t="s">
        <v>49</v>
      </c>
      <c r="D129" s="6">
        <v>15061</v>
      </c>
      <c r="E129" s="6" t="s">
        <v>350</v>
      </c>
      <c r="F129" s="8"/>
      <c r="G129" s="8"/>
      <c r="H129" s="7" t="s">
        <v>49</v>
      </c>
      <c r="I129" s="7"/>
      <c r="J129" s="6" t="s">
        <v>49</v>
      </c>
      <c r="K129" s="9" t="s">
        <v>49</v>
      </c>
      <c r="L129" s="9" t="s">
        <v>49</v>
      </c>
      <c r="M129" s="8"/>
      <c r="N129" s="10">
        <v>43026</v>
      </c>
      <c r="O129" s="10">
        <v>43920</v>
      </c>
      <c r="P129" s="9" t="s">
        <v>49</v>
      </c>
      <c r="Q129" s="9" t="s">
        <v>49</v>
      </c>
      <c r="R129" s="8"/>
      <c r="S129" s="8"/>
      <c r="T129" s="8"/>
      <c r="U129" s="8"/>
      <c r="V129" s="9" t="s">
        <v>49</v>
      </c>
      <c r="W129" s="9" t="s">
        <v>49</v>
      </c>
      <c r="X129" s="8"/>
      <c r="Y129" s="8"/>
      <c r="Z129" s="8"/>
      <c r="AA129" s="8"/>
      <c r="AB129" s="8"/>
      <c r="AC129" s="8"/>
      <c r="AD129" s="8"/>
      <c r="AE129" s="8"/>
      <c r="AF129" s="8"/>
      <c r="AG129" s="8"/>
      <c r="AH129" s="7" t="s">
        <v>51</v>
      </c>
      <c r="AI129" s="6" t="s">
        <v>49</v>
      </c>
      <c r="AJ129" s="6" t="s">
        <v>49</v>
      </c>
      <c r="AK129" s="6" t="s">
        <v>49</v>
      </c>
      <c r="AL129" s="9" t="s">
        <v>49</v>
      </c>
      <c r="AM129" s="9" t="s">
        <v>221</v>
      </c>
      <c r="AN129" s="6" t="s">
        <v>49</v>
      </c>
      <c r="AO129" s="9" t="s">
        <v>159</v>
      </c>
      <c r="AP129" s="11">
        <v>44.921769999999995</v>
      </c>
      <c r="AQ129" s="11">
        <v>64576.27</v>
      </c>
      <c r="AR129" s="11">
        <v>64576.259583333354</v>
      </c>
      <c r="AS129" s="11">
        <v>1398.4269199999999</v>
      </c>
      <c r="AT129" s="11">
        <v>64.576269999999994</v>
      </c>
      <c r="AU129" s="11">
        <v>0</v>
      </c>
      <c r="AV129" s="11" t="s">
        <v>51</v>
      </c>
    </row>
    <row r="130" spans="1:50" customFormat="1" ht="14.5" hidden="1">
      <c r="A130" s="6">
        <v>129</v>
      </c>
      <c r="B130" s="7" t="s">
        <v>351</v>
      </c>
      <c r="C130" s="7" t="s">
        <v>101</v>
      </c>
      <c r="D130" s="6">
        <v>16021</v>
      </c>
      <c r="E130" s="6" t="s">
        <v>49</v>
      </c>
      <c r="F130" s="8"/>
      <c r="G130" s="8"/>
      <c r="H130" s="7" t="s">
        <v>49</v>
      </c>
      <c r="I130" s="7"/>
      <c r="J130" s="6" t="s">
        <v>49</v>
      </c>
      <c r="K130" s="9" t="s">
        <v>49</v>
      </c>
      <c r="L130" s="9" t="s">
        <v>49</v>
      </c>
      <c r="M130" s="8"/>
      <c r="N130" s="10">
        <v>43500</v>
      </c>
      <c r="O130" s="10">
        <v>44196</v>
      </c>
      <c r="P130" s="9" t="s">
        <v>49</v>
      </c>
      <c r="Q130" s="9" t="s">
        <v>49</v>
      </c>
      <c r="R130" s="8"/>
      <c r="S130" s="8"/>
      <c r="T130" s="8"/>
      <c r="U130" s="8"/>
      <c r="V130" s="9" t="s">
        <v>49</v>
      </c>
      <c r="W130" s="9" t="s">
        <v>49</v>
      </c>
      <c r="X130" s="8"/>
      <c r="Y130" s="8"/>
      <c r="Z130" s="8"/>
      <c r="AA130" s="8"/>
      <c r="AB130" s="8"/>
      <c r="AC130" s="8"/>
      <c r="AD130" s="8"/>
      <c r="AE130" s="8"/>
      <c r="AF130" s="8"/>
      <c r="AG130" s="8"/>
      <c r="AH130" s="7" t="s">
        <v>57</v>
      </c>
      <c r="AI130" s="6" t="s">
        <v>71</v>
      </c>
      <c r="AJ130" s="6" t="s">
        <v>49</v>
      </c>
      <c r="AK130" s="6" t="s">
        <v>49</v>
      </c>
      <c r="AL130" s="9" t="s">
        <v>52</v>
      </c>
      <c r="AM130" s="9" t="s">
        <v>49</v>
      </c>
      <c r="AN130" s="6" t="s">
        <v>73</v>
      </c>
      <c r="AO130" s="9" t="s">
        <v>49</v>
      </c>
      <c r="AP130" s="11">
        <v>7248.8885899999996</v>
      </c>
      <c r="AQ130" s="11">
        <v>0</v>
      </c>
      <c r="AR130" s="11">
        <v>0</v>
      </c>
      <c r="AS130" s="11">
        <v>41681.266040000002</v>
      </c>
      <c r="AT130" s="11">
        <v>0</v>
      </c>
      <c r="AU130" s="11">
        <v>0</v>
      </c>
      <c r="AV130" s="11">
        <v>0</v>
      </c>
    </row>
    <row r="131" spans="1:50" ht="13.5" customHeight="1">
      <c r="A131" s="46">
        <v>236</v>
      </c>
      <c r="B131" s="47" t="s">
        <v>554</v>
      </c>
      <c r="C131" s="47" t="s">
        <v>292</v>
      </c>
      <c r="D131" s="68"/>
      <c r="E131" s="6" t="s">
        <v>555</v>
      </c>
      <c r="F131" s="6">
        <v>83320</v>
      </c>
      <c r="G131" s="8"/>
      <c r="H131" s="47" t="s">
        <v>88</v>
      </c>
      <c r="I131" s="47" t="s">
        <v>556</v>
      </c>
      <c r="J131" s="46" t="s">
        <v>49</v>
      </c>
      <c r="K131" s="48" t="s">
        <v>49</v>
      </c>
      <c r="L131" s="9" t="s">
        <v>73</v>
      </c>
      <c r="M131" s="74">
        <v>1804</v>
      </c>
      <c r="N131" s="68"/>
      <c r="O131" s="68"/>
      <c r="P131" s="9" t="s">
        <v>557</v>
      </c>
      <c r="Q131" s="9" t="s">
        <v>558</v>
      </c>
      <c r="R131" s="76">
        <v>11.43</v>
      </c>
      <c r="S131" s="76">
        <v>22</v>
      </c>
      <c r="T131" s="68">
        <v>24.3</v>
      </c>
      <c r="U131" s="76">
        <v>2.9</v>
      </c>
      <c r="V131" s="50">
        <v>0.36</v>
      </c>
      <c r="W131" s="9" t="s">
        <v>199</v>
      </c>
      <c r="X131" s="12"/>
      <c r="Y131" s="12"/>
      <c r="Z131" s="68"/>
      <c r="AA131" s="8"/>
      <c r="AB131" s="68"/>
      <c r="AC131" s="68"/>
      <c r="AD131" s="68"/>
      <c r="AE131" s="68"/>
      <c r="AF131" s="12"/>
      <c r="AG131" s="68"/>
      <c r="AH131" s="7" t="s">
        <v>49</v>
      </c>
      <c r="AI131" s="6" t="s">
        <v>49</v>
      </c>
      <c r="AJ131" s="6" t="s">
        <v>49</v>
      </c>
      <c r="AK131" s="6" t="s">
        <v>49</v>
      </c>
      <c r="AL131" s="9" t="s">
        <v>49</v>
      </c>
      <c r="AM131" s="9" t="s">
        <v>49</v>
      </c>
      <c r="AN131" s="6" t="s">
        <v>49</v>
      </c>
      <c r="AO131" s="9" t="s">
        <v>49</v>
      </c>
      <c r="AP131" s="11">
        <v>0</v>
      </c>
      <c r="AQ131" s="11">
        <v>0</v>
      </c>
      <c r="AR131" s="11">
        <v>721025.24041666661</v>
      </c>
      <c r="AS131" s="11">
        <v>0</v>
      </c>
      <c r="AT131" s="11">
        <v>0</v>
      </c>
      <c r="AU131" s="11">
        <v>0</v>
      </c>
      <c r="AV131" s="11">
        <v>0</v>
      </c>
      <c r="AX131" s="58" t="s">
        <v>557</v>
      </c>
    </row>
    <row r="132" spans="1:50" customFormat="1" ht="14.5" hidden="1">
      <c r="A132" s="6">
        <v>131</v>
      </c>
      <c r="B132" s="7" t="s">
        <v>355</v>
      </c>
      <c r="C132" s="7" t="s">
        <v>49</v>
      </c>
      <c r="D132" s="6">
        <v>15063</v>
      </c>
      <c r="E132" s="6" t="s">
        <v>356</v>
      </c>
      <c r="F132" s="12"/>
      <c r="G132" s="8"/>
      <c r="H132" s="7" t="s">
        <v>49</v>
      </c>
      <c r="I132" s="7"/>
      <c r="J132" s="6" t="s">
        <v>49</v>
      </c>
      <c r="K132" s="9" t="s">
        <v>49</v>
      </c>
      <c r="L132" s="9" t="s">
        <v>49</v>
      </c>
      <c r="M132" s="12"/>
      <c r="N132" s="10">
        <v>43312</v>
      </c>
      <c r="O132" s="10">
        <v>43553</v>
      </c>
      <c r="P132" s="9" t="s">
        <v>49</v>
      </c>
      <c r="Q132" s="9" t="s">
        <v>49</v>
      </c>
      <c r="R132" s="12"/>
      <c r="S132" s="12"/>
      <c r="T132" s="12"/>
      <c r="U132" s="12"/>
      <c r="V132" s="9" t="s">
        <v>49</v>
      </c>
      <c r="W132" s="9" t="s">
        <v>49</v>
      </c>
      <c r="X132" s="8"/>
      <c r="Y132" s="8"/>
      <c r="Z132" s="8"/>
      <c r="AA132" s="12"/>
      <c r="AB132" s="12"/>
      <c r="AC132" s="8"/>
      <c r="AD132" s="12"/>
      <c r="AE132" s="8"/>
      <c r="AF132" s="12"/>
      <c r="AG132" s="12"/>
      <c r="AH132" s="7" t="s">
        <v>51</v>
      </c>
      <c r="AI132" s="6" t="s">
        <v>49</v>
      </c>
      <c r="AJ132" s="6" t="s">
        <v>49</v>
      </c>
      <c r="AK132" s="6" t="s">
        <v>49</v>
      </c>
      <c r="AL132" s="9" t="s">
        <v>49</v>
      </c>
      <c r="AM132" s="9" t="s">
        <v>357</v>
      </c>
      <c r="AN132" s="6" t="s">
        <v>49</v>
      </c>
      <c r="AO132" s="9" t="s">
        <v>357</v>
      </c>
      <c r="AP132" s="11">
        <v>0</v>
      </c>
      <c r="AQ132" s="11">
        <v>0</v>
      </c>
      <c r="AR132" s="11">
        <v>0</v>
      </c>
      <c r="AS132" s="11">
        <v>0</v>
      </c>
      <c r="AT132" s="11">
        <v>0</v>
      </c>
      <c r="AU132" s="11">
        <v>0</v>
      </c>
      <c r="AV132" s="11" t="s">
        <v>51</v>
      </c>
    </row>
    <row r="133" spans="1:50" customFormat="1" ht="14.5" hidden="1">
      <c r="A133" s="6">
        <v>132</v>
      </c>
      <c r="B133" s="7" t="s">
        <v>358</v>
      </c>
      <c r="C133" s="7" t="s">
        <v>49</v>
      </c>
      <c r="D133" s="6">
        <v>12563</v>
      </c>
      <c r="E133" s="6" t="s">
        <v>359</v>
      </c>
      <c r="F133" s="8"/>
      <c r="G133" s="8"/>
      <c r="H133" s="7" t="s">
        <v>49</v>
      </c>
      <c r="I133" s="7"/>
      <c r="J133" s="6" t="s">
        <v>49</v>
      </c>
      <c r="K133" s="9" t="s">
        <v>49</v>
      </c>
      <c r="L133" s="9" t="s">
        <v>49</v>
      </c>
      <c r="M133" s="8"/>
      <c r="N133" s="10">
        <v>42370</v>
      </c>
      <c r="O133" s="10">
        <v>45198</v>
      </c>
      <c r="P133" s="9" t="s">
        <v>49</v>
      </c>
      <c r="Q133" s="9" t="s">
        <v>49</v>
      </c>
      <c r="R133" s="8"/>
      <c r="S133" s="8"/>
      <c r="T133" s="8"/>
      <c r="U133" s="8"/>
      <c r="V133" s="9" t="s">
        <v>49</v>
      </c>
      <c r="W133" s="9" t="s">
        <v>49</v>
      </c>
      <c r="X133" s="8"/>
      <c r="Y133" s="8"/>
      <c r="Z133" s="8"/>
      <c r="AA133" s="8"/>
      <c r="AB133" s="8"/>
      <c r="AC133" s="8"/>
      <c r="AD133" s="8"/>
      <c r="AE133" s="8"/>
      <c r="AF133" s="8"/>
      <c r="AG133" s="8"/>
      <c r="AH133" s="7" t="s">
        <v>51</v>
      </c>
      <c r="AI133" s="6" t="s">
        <v>49</v>
      </c>
      <c r="AJ133" s="6" t="s">
        <v>49</v>
      </c>
      <c r="AK133" s="6" t="s">
        <v>49</v>
      </c>
      <c r="AL133" s="9" t="s">
        <v>49</v>
      </c>
      <c r="AM133" s="9" t="s">
        <v>122</v>
      </c>
      <c r="AN133" s="6" t="s">
        <v>49</v>
      </c>
      <c r="AO133" s="9" t="s">
        <v>122</v>
      </c>
      <c r="AP133" s="11">
        <v>0</v>
      </c>
      <c r="AQ133" s="11">
        <v>0</v>
      </c>
      <c r="AR133" s="11">
        <v>0</v>
      </c>
      <c r="AS133" s="11">
        <v>0</v>
      </c>
      <c r="AT133" s="11">
        <v>0</v>
      </c>
      <c r="AU133" s="11">
        <v>0</v>
      </c>
      <c r="AV133" s="11" t="s">
        <v>51</v>
      </c>
    </row>
    <row r="134" spans="1:50" customFormat="1" ht="14.5" hidden="1">
      <c r="A134" s="6">
        <v>133</v>
      </c>
      <c r="B134" s="7" t="s">
        <v>360</v>
      </c>
      <c r="C134" s="7" t="s">
        <v>49</v>
      </c>
      <c r="D134" s="6">
        <v>15583</v>
      </c>
      <c r="E134" s="6" t="s">
        <v>361</v>
      </c>
      <c r="F134" s="12"/>
      <c r="G134" s="8"/>
      <c r="H134" s="7" t="s">
        <v>49</v>
      </c>
      <c r="I134" s="7"/>
      <c r="J134" s="6" t="s">
        <v>49</v>
      </c>
      <c r="K134" s="9" t="s">
        <v>49</v>
      </c>
      <c r="L134" s="9" t="s">
        <v>49</v>
      </c>
      <c r="M134" s="12"/>
      <c r="N134" s="10">
        <v>43647</v>
      </c>
      <c r="O134" s="10">
        <v>45229</v>
      </c>
      <c r="P134" s="9" t="s">
        <v>49</v>
      </c>
      <c r="Q134" s="9" t="s">
        <v>49</v>
      </c>
      <c r="R134" s="8"/>
      <c r="S134" s="8"/>
      <c r="T134" s="8"/>
      <c r="U134" s="12"/>
      <c r="V134" s="9" t="s">
        <v>49</v>
      </c>
      <c r="W134" s="9" t="s">
        <v>49</v>
      </c>
      <c r="X134" s="8"/>
      <c r="Y134" s="8"/>
      <c r="Z134" s="8"/>
      <c r="AA134" s="8"/>
      <c r="AB134" s="8"/>
      <c r="AC134" s="8"/>
      <c r="AD134" s="8"/>
      <c r="AE134" s="8"/>
      <c r="AF134" s="8"/>
      <c r="AG134" s="8"/>
      <c r="AH134" s="7" t="s">
        <v>51</v>
      </c>
      <c r="AI134" s="6" t="s">
        <v>49</v>
      </c>
      <c r="AJ134" s="6" t="s">
        <v>49</v>
      </c>
      <c r="AK134" s="6" t="s">
        <v>49</v>
      </c>
      <c r="AL134" s="9" t="s">
        <v>49</v>
      </c>
      <c r="AM134" s="9" t="s">
        <v>52</v>
      </c>
      <c r="AN134" s="6" t="s">
        <v>49</v>
      </c>
      <c r="AO134" s="9" t="s">
        <v>52</v>
      </c>
      <c r="AP134" s="11">
        <v>0</v>
      </c>
      <c r="AQ134" s="11">
        <v>0</v>
      </c>
      <c r="AR134" s="11">
        <v>0</v>
      </c>
      <c r="AS134" s="11">
        <v>0</v>
      </c>
      <c r="AT134" s="11">
        <v>0</v>
      </c>
      <c r="AU134" s="11">
        <v>0</v>
      </c>
      <c r="AV134" s="11" t="s">
        <v>51</v>
      </c>
    </row>
    <row r="135" spans="1:50" customFormat="1" ht="14.5" hidden="1">
      <c r="A135" s="6">
        <v>134</v>
      </c>
      <c r="B135" s="7" t="s">
        <v>362</v>
      </c>
      <c r="C135" s="7" t="s">
        <v>49</v>
      </c>
      <c r="D135" s="6">
        <v>15066</v>
      </c>
      <c r="E135" s="6" t="s">
        <v>49</v>
      </c>
      <c r="F135" s="12"/>
      <c r="G135" s="8"/>
      <c r="H135" s="7" t="s">
        <v>49</v>
      </c>
      <c r="I135" s="7"/>
      <c r="J135" s="6" t="s">
        <v>49</v>
      </c>
      <c r="K135" s="9" t="s">
        <v>49</v>
      </c>
      <c r="L135" s="9" t="s">
        <v>49</v>
      </c>
      <c r="M135" s="8"/>
      <c r="N135" s="10">
        <v>43052</v>
      </c>
      <c r="O135" s="10">
        <v>43831</v>
      </c>
      <c r="P135" s="9" t="s">
        <v>49</v>
      </c>
      <c r="Q135" s="9" t="s">
        <v>49</v>
      </c>
      <c r="R135" s="12"/>
      <c r="S135" s="12"/>
      <c r="T135" s="12"/>
      <c r="U135" s="12"/>
      <c r="V135" s="9" t="s">
        <v>49</v>
      </c>
      <c r="W135" s="9" t="s">
        <v>49</v>
      </c>
      <c r="X135" s="8"/>
      <c r="Y135" s="8"/>
      <c r="Z135" s="8"/>
      <c r="AA135" s="12"/>
      <c r="AB135" s="12"/>
      <c r="AC135" s="8"/>
      <c r="AD135" s="12"/>
      <c r="AE135" s="8"/>
      <c r="AF135" s="12"/>
      <c r="AG135" s="12"/>
      <c r="AH135" s="7" t="s">
        <v>51</v>
      </c>
      <c r="AI135" s="6" t="s">
        <v>71</v>
      </c>
      <c r="AJ135" s="6" t="s">
        <v>49</v>
      </c>
      <c r="AK135" s="6" t="s">
        <v>49</v>
      </c>
      <c r="AL135" s="9" t="s">
        <v>119</v>
      </c>
      <c r="AM135" s="9" t="s">
        <v>49</v>
      </c>
      <c r="AN135" s="6" t="s">
        <v>96</v>
      </c>
      <c r="AO135" s="9" t="s">
        <v>49</v>
      </c>
      <c r="AP135" s="11">
        <v>7248.8885899999996</v>
      </c>
      <c r="AQ135" s="11">
        <v>0</v>
      </c>
      <c r="AR135" s="11">
        <v>0</v>
      </c>
      <c r="AS135" s="11">
        <v>41681.266040000002</v>
      </c>
      <c r="AT135" s="11">
        <v>0</v>
      </c>
      <c r="AU135" s="11">
        <v>0</v>
      </c>
      <c r="AV135" s="11">
        <v>0</v>
      </c>
    </row>
    <row r="136" spans="1:50" customFormat="1" ht="14.5" hidden="1">
      <c r="A136" s="6">
        <v>135</v>
      </c>
      <c r="B136" s="7" t="s">
        <v>362</v>
      </c>
      <c r="C136" s="7" t="s">
        <v>49</v>
      </c>
      <c r="D136" s="6">
        <v>15066</v>
      </c>
      <c r="E136" s="6" t="s">
        <v>363</v>
      </c>
      <c r="F136" s="8"/>
      <c r="G136" s="8"/>
      <c r="H136" s="7" t="s">
        <v>49</v>
      </c>
      <c r="I136" s="7"/>
      <c r="J136" s="6" t="s">
        <v>49</v>
      </c>
      <c r="K136" s="9" t="s">
        <v>49</v>
      </c>
      <c r="L136" s="9" t="s">
        <v>49</v>
      </c>
      <c r="M136" s="8"/>
      <c r="N136" s="10">
        <v>43052</v>
      </c>
      <c r="O136" s="10">
        <v>43831</v>
      </c>
      <c r="P136" s="9" t="s">
        <v>49</v>
      </c>
      <c r="Q136" s="9" t="s">
        <v>49</v>
      </c>
      <c r="R136" s="8"/>
      <c r="S136" s="8"/>
      <c r="T136" s="8"/>
      <c r="U136" s="8"/>
      <c r="V136" s="9" t="s">
        <v>49</v>
      </c>
      <c r="W136" s="9" t="s">
        <v>49</v>
      </c>
      <c r="X136" s="8"/>
      <c r="Y136" s="8"/>
      <c r="Z136" s="8"/>
      <c r="AA136" s="8"/>
      <c r="AB136" s="8"/>
      <c r="AC136" s="8"/>
      <c r="AD136" s="8"/>
      <c r="AE136" s="8"/>
      <c r="AF136" s="8"/>
      <c r="AG136" s="8"/>
      <c r="AH136" s="7" t="s">
        <v>51</v>
      </c>
      <c r="AI136" s="6" t="s">
        <v>49</v>
      </c>
      <c r="AJ136" s="6" t="s">
        <v>49</v>
      </c>
      <c r="AK136" s="6" t="s">
        <v>49</v>
      </c>
      <c r="AL136" s="9" t="s">
        <v>49</v>
      </c>
      <c r="AM136" s="9" t="s">
        <v>122</v>
      </c>
      <c r="AN136" s="6" t="s">
        <v>49</v>
      </c>
      <c r="AO136" s="9" t="s">
        <v>159</v>
      </c>
      <c r="AP136" s="11">
        <v>0</v>
      </c>
      <c r="AQ136" s="11">
        <v>0</v>
      </c>
      <c r="AR136" s="11">
        <v>0</v>
      </c>
      <c r="AS136" s="11">
        <v>0</v>
      </c>
      <c r="AT136" s="11">
        <v>0</v>
      </c>
      <c r="AU136" s="11">
        <v>0</v>
      </c>
      <c r="AV136" s="11" t="s">
        <v>51</v>
      </c>
    </row>
    <row r="137" spans="1:50" customFormat="1" ht="14.5" hidden="1">
      <c r="A137" s="6">
        <v>136</v>
      </c>
      <c r="B137" s="7" t="s">
        <v>364</v>
      </c>
      <c r="C137" s="7" t="s">
        <v>49</v>
      </c>
      <c r="D137" s="6">
        <v>15583</v>
      </c>
      <c r="E137" s="6" t="s">
        <v>49</v>
      </c>
      <c r="F137" s="8"/>
      <c r="G137" s="8"/>
      <c r="H137" s="7" t="s">
        <v>49</v>
      </c>
      <c r="I137" s="7"/>
      <c r="J137" s="6" t="s">
        <v>49</v>
      </c>
      <c r="K137" s="9" t="s">
        <v>49</v>
      </c>
      <c r="L137" s="9" t="s">
        <v>49</v>
      </c>
      <c r="M137" s="8"/>
      <c r="N137" s="10">
        <v>43647</v>
      </c>
      <c r="O137" s="10">
        <v>45229</v>
      </c>
      <c r="P137" s="9" t="s">
        <v>49</v>
      </c>
      <c r="Q137" s="9" t="s">
        <v>49</v>
      </c>
      <c r="R137" s="8"/>
      <c r="S137" s="8"/>
      <c r="T137" s="8"/>
      <c r="U137" s="8"/>
      <c r="V137" s="9" t="s">
        <v>49</v>
      </c>
      <c r="W137" s="9" t="s">
        <v>49</v>
      </c>
      <c r="X137" s="8"/>
      <c r="Y137" s="8"/>
      <c r="Z137" s="8"/>
      <c r="AA137" s="8"/>
      <c r="AB137" s="8"/>
      <c r="AC137" s="8"/>
      <c r="AD137" s="8"/>
      <c r="AE137" s="8"/>
      <c r="AF137" s="8"/>
      <c r="AG137" s="8"/>
      <c r="AH137" s="7" t="s">
        <v>51</v>
      </c>
      <c r="AI137" s="6" t="s">
        <v>110</v>
      </c>
      <c r="AJ137" s="6" t="s">
        <v>49</v>
      </c>
      <c r="AK137" s="6" t="s">
        <v>49</v>
      </c>
      <c r="AL137" s="9" t="s">
        <v>52</v>
      </c>
      <c r="AM137" s="9" t="s">
        <v>49</v>
      </c>
      <c r="AN137" s="6" t="s">
        <v>210</v>
      </c>
      <c r="AO137" s="9" t="s">
        <v>49</v>
      </c>
      <c r="AP137" s="11">
        <v>7248.8885899999996</v>
      </c>
      <c r="AQ137" s="11">
        <v>0</v>
      </c>
      <c r="AR137" s="11">
        <v>0</v>
      </c>
      <c r="AS137" s="11">
        <v>41681.266040000002</v>
      </c>
      <c r="AT137" s="11">
        <v>0</v>
      </c>
      <c r="AU137" s="11">
        <v>0</v>
      </c>
      <c r="AV137" s="11">
        <v>0</v>
      </c>
    </row>
    <row r="138" spans="1:50" customFormat="1" ht="14.5" hidden="1">
      <c r="A138" s="6">
        <v>137</v>
      </c>
      <c r="B138" s="7" t="s">
        <v>365</v>
      </c>
      <c r="C138" s="7" t="s">
        <v>49</v>
      </c>
      <c r="D138" s="6">
        <v>15644</v>
      </c>
      <c r="E138" s="6" t="s">
        <v>49</v>
      </c>
      <c r="F138" s="8"/>
      <c r="G138" s="8"/>
      <c r="H138" s="7" t="s">
        <v>49</v>
      </c>
      <c r="I138" s="7"/>
      <c r="J138" s="6" t="s">
        <v>49</v>
      </c>
      <c r="K138" s="9" t="s">
        <v>49</v>
      </c>
      <c r="L138" s="9" t="s">
        <v>49</v>
      </c>
      <c r="M138" s="8"/>
      <c r="N138" s="12"/>
      <c r="O138" s="12"/>
      <c r="P138" s="9" t="s">
        <v>49</v>
      </c>
      <c r="Q138" s="9" t="s">
        <v>49</v>
      </c>
      <c r="R138" s="8"/>
      <c r="S138" s="8"/>
      <c r="T138" s="8"/>
      <c r="U138" s="8"/>
      <c r="V138" s="9" t="s">
        <v>49</v>
      </c>
      <c r="W138" s="9" t="s">
        <v>49</v>
      </c>
      <c r="X138" s="8"/>
      <c r="Y138" s="8"/>
      <c r="Z138" s="8"/>
      <c r="AA138" s="8"/>
      <c r="AB138" s="8"/>
      <c r="AC138" s="8"/>
      <c r="AD138" s="8"/>
      <c r="AE138" s="8"/>
      <c r="AF138" s="8"/>
      <c r="AG138" s="8"/>
      <c r="AH138" s="7" t="s">
        <v>79</v>
      </c>
      <c r="AI138" s="6" t="s">
        <v>110</v>
      </c>
      <c r="AJ138" s="6" t="s">
        <v>49</v>
      </c>
      <c r="AK138" s="6" t="s">
        <v>49</v>
      </c>
      <c r="AL138" s="9" t="s">
        <v>111</v>
      </c>
      <c r="AM138" s="9" t="s">
        <v>49</v>
      </c>
      <c r="AN138" s="6" t="s">
        <v>82</v>
      </c>
      <c r="AO138" s="9" t="s">
        <v>49</v>
      </c>
      <c r="AP138" s="11">
        <v>7248.8885899999996</v>
      </c>
      <c r="AQ138" s="11">
        <v>0</v>
      </c>
      <c r="AR138" s="11">
        <v>0</v>
      </c>
      <c r="AS138" s="11">
        <v>41681.266040000002</v>
      </c>
      <c r="AT138" s="11">
        <v>0</v>
      </c>
      <c r="AU138" s="11">
        <v>0</v>
      </c>
      <c r="AV138" s="11">
        <v>0</v>
      </c>
    </row>
    <row r="139" spans="1:50" customFormat="1" ht="14.5" hidden="1">
      <c r="A139" s="6">
        <v>138</v>
      </c>
      <c r="B139" s="7" t="s">
        <v>366</v>
      </c>
      <c r="C139" s="7" t="s">
        <v>49</v>
      </c>
      <c r="D139" s="6">
        <v>15481</v>
      </c>
      <c r="E139" s="6" t="s">
        <v>367</v>
      </c>
      <c r="F139" s="8"/>
      <c r="G139" s="8"/>
      <c r="H139" s="7" t="s">
        <v>49</v>
      </c>
      <c r="I139" s="7"/>
      <c r="J139" s="6" t="s">
        <v>49</v>
      </c>
      <c r="K139" s="9" t="s">
        <v>49</v>
      </c>
      <c r="L139" s="9" t="s">
        <v>49</v>
      </c>
      <c r="M139" s="8"/>
      <c r="N139" s="10">
        <v>43650</v>
      </c>
      <c r="O139" s="10">
        <v>43859</v>
      </c>
      <c r="P139" s="9" t="s">
        <v>49</v>
      </c>
      <c r="Q139" s="9" t="s">
        <v>49</v>
      </c>
      <c r="R139" s="8"/>
      <c r="S139" s="8"/>
      <c r="T139" s="8"/>
      <c r="U139" s="8"/>
      <c r="V139" s="9" t="s">
        <v>49</v>
      </c>
      <c r="W139" s="9" t="s">
        <v>49</v>
      </c>
      <c r="X139" s="8"/>
      <c r="Y139" s="8"/>
      <c r="Z139" s="8"/>
      <c r="AA139" s="8"/>
      <c r="AB139" s="8"/>
      <c r="AC139" s="8"/>
      <c r="AD139" s="8"/>
      <c r="AE139" s="8"/>
      <c r="AF139" s="8"/>
      <c r="AG139" s="8"/>
      <c r="AH139" s="7" t="s">
        <v>57</v>
      </c>
      <c r="AI139" s="6" t="s">
        <v>49</v>
      </c>
      <c r="AJ139" s="6" t="s">
        <v>49</v>
      </c>
      <c r="AK139" s="6" t="s">
        <v>49</v>
      </c>
      <c r="AL139" s="9" t="s">
        <v>49</v>
      </c>
      <c r="AM139" s="9" t="s">
        <v>67</v>
      </c>
      <c r="AN139" s="6" t="s">
        <v>49</v>
      </c>
      <c r="AO139" s="9" t="s">
        <v>67</v>
      </c>
      <c r="AP139" s="11">
        <v>0</v>
      </c>
      <c r="AQ139" s="11">
        <v>0</v>
      </c>
      <c r="AR139" s="11">
        <v>0</v>
      </c>
      <c r="AS139" s="11">
        <v>0</v>
      </c>
      <c r="AT139" s="11">
        <v>0</v>
      </c>
      <c r="AU139" s="11">
        <v>0</v>
      </c>
      <c r="AV139" s="11" t="s">
        <v>57</v>
      </c>
    </row>
    <row r="140" spans="1:50" customFormat="1" ht="14.5" hidden="1">
      <c r="A140" s="6">
        <v>139</v>
      </c>
      <c r="B140" s="7" t="s">
        <v>368</v>
      </c>
      <c r="C140" s="7" t="s">
        <v>49</v>
      </c>
      <c r="D140" s="6">
        <v>15644</v>
      </c>
      <c r="E140" s="6" t="s">
        <v>49</v>
      </c>
      <c r="F140" s="8"/>
      <c r="G140" s="8"/>
      <c r="H140" s="7" t="s">
        <v>49</v>
      </c>
      <c r="I140" s="7"/>
      <c r="J140" s="6" t="s">
        <v>49</v>
      </c>
      <c r="K140" s="9" t="s">
        <v>49</v>
      </c>
      <c r="L140" s="9" t="s">
        <v>49</v>
      </c>
      <c r="M140" s="8"/>
      <c r="N140" s="12"/>
      <c r="O140" s="12"/>
      <c r="P140" s="9" t="s">
        <v>49</v>
      </c>
      <c r="Q140" s="9" t="s">
        <v>49</v>
      </c>
      <c r="R140" s="8"/>
      <c r="S140" s="8"/>
      <c r="T140" s="8"/>
      <c r="U140" s="8"/>
      <c r="V140" s="9" t="s">
        <v>49</v>
      </c>
      <c r="W140" s="9" t="s">
        <v>49</v>
      </c>
      <c r="X140" s="8"/>
      <c r="Y140" s="8"/>
      <c r="Z140" s="8"/>
      <c r="AA140" s="8"/>
      <c r="AB140" s="8"/>
      <c r="AC140" s="8"/>
      <c r="AD140" s="8"/>
      <c r="AE140" s="8"/>
      <c r="AF140" s="8"/>
      <c r="AG140" s="8"/>
      <c r="AH140" s="7" t="s">
        <v>79</v>
      </c>
      <c r="AI140" s="6" t="s">
        <v>110</v>
      </c>
      <c r="AJ140" s="6" t="s">
        <v>49</v>
      </c>
      <c r="AK140" s="6" t="s">
        <v>49</v>
      </c>
      <c r="AL140" s="9" t="s">
        <v>111</v>
      </c>
      <c r="AM140" s="9" t="s">
        <v>49</v>
      </c>
      <c r="AN140" s="6" t="s">
        <v>82</v>
      </c>
      <c r="AO140" s="9" t="s">
        <v>49</v>
      </c>
      <c r="AP140" s="11">
        <v>7248.8885899999996</v>
      </c>
      <c r="AQ140" s="11">
        <v>0</v>
      </c>
      <c r="AR140" s="11">
        <v>0</v>
      </c>
      <c r="AS140" s="11">
        <v>41681.266040000002</v>
      </c>
      <c r="AT140" s="11">
        <v>0</v>
      </c>
      <c r="AU140" s="11">
        <v>0</v>
      </c>
      <c r="AV140" s="11">
        <v>0</v>
      </c>
    </row>
    <row r="141" spans="1:50" customFormat="1" ht="14.5" hidden="1">
      <c r="A141" s="6">
        <v>140</v>
      </c>
      <c r="B141" s="7" t="s">
        <v>369</v>
      </c>
      <c r="C141" s="7" t="s">
        <v>49</v>
      </c>
      <c r="D141" s="6">
        <v>15387</v>
      </c>
      <c r="E141" s="6" t="s">
        <v>49</v>
      </c>
      <c r="F141" s="8"/>
      <c r="G141" s="8"/>
      <c r="H141" s="7" t="s">
        <v>49</v>
      </c>
      <c r="I141" s="7"/>
      <c r="J141" s="6" t="s">
        <v>49</v>
      </c>
      <c r="K141" s="9" t="s">
        <v>49</v>
      </c>
      <c r="L141" s="9" t="s">
        <v>49</v>
      </c>
      <c r="M141" s="8"/>
      <c r="N141" s="12"/>
      <c r="O141" s="10">
        <v>43434</v>
      </c>
      <c r="P141" s="9" t="s">
        <v>49</v>
      </c>
      <c r="Q141" s="9" t="s">
        <v>49</v>
      </c>
      <c r="R141" s="8"/>
      <c r="S141" s="8"/>
      <c r="T141" s="8"/>
      <c r="U141" s="8"/>
      <c r="V141" s="9" t="s">
        <v>49</v>
      </c>
      <c r="W141" s="9" t="s">
        <v>49</v>
      </c>
      <c r="X141" s="8"/>
      <c r="Y141" s="8"/>
      <c r="Z141" s="8"/>
      <c r="AA141" s="8"/>
      <c r="AB141" s="8"/>
      <c r="AC141" s="8"/>
      <c r="AD141" s="8"/>
      <c r="AE141" s="8"/>
      <c r="AF141" s="8"/>
      <c r="AG141" s="8"/>
      <c r="AH141" s="7" t="s">
        <v>57</v>
      </c>
      <c r="AI141" s="6" t="s">
        <v>71</v>
      </c>
      <c r="AJ141" s="6" t="s">
        <v>49</v>
      </c>
      <c r="AK141" s="6" t="s">
        <v>49</v>
      </c>
      <c r="AL141" s="9" t="s">
        <v>52</v>
      </c>
      <c r="AM141" s="9" t="s">
        <v>49</v>
      </c>
      <c r="AN141" s="6" t="s">
        <v>82</v>
      </c>
      <c r="AO141" s="9" t="s">
        <v>49</v>
      </c>
      <c r="AP141" s="11">
        <v>7248.8885899999996</v>
      </c>
      <c r="AQ141" s="11">
        <v>0</v>
      </c>
      <c r="AR141" s="11">
        <v>0</v>
      </c>
      <c r="AS141" s="11">
        <v>41681.266040000002</v>
      </c>
      <c r="AT141" s="11">
        <v>0</v>
      </c>
      <c r="AU141" s="11">
        <v>0</v>
      </c>
      <c r="AV141" s="11">
        <v>0</v>
      </c>
    </row>
    <row r="142" spans="1:50" customFormat="1" ht="14.5" hidden="1">
      <c r="A142" s="6">
        <v>141</v>
      </c>
      <c r="B142" s="7" t="s">
        <v>369</v>
      </c>
      <c r="C142" s="7" t="s">
        <v>49</v>
      </c>
      <c r="D142" s="6">
        <v>15387</v>
      </c>
      <c r="E142" s="6" t="s">
        <v>370</v>
      </c>
      <c r="F142" s="6">
        <v>80759</v>
      </c>
      <c r="G142" s="8"/>
      <c r="H142" s="7" t="s">
        <v>49</v>
      </c>
      <c r="I142" s="7"/>
      <c r="J142" s="6" t="s">
        <v>49</v>
      </c>
      <c r="K142" s="9" t="s">
        <v>49</v>
      </c>
      <c r="L142" s="9" t="s">
        <v>49</v>
      </c>
      <c r="M142" s="8"/>
      <c r="N142" s="12"/>
      <c r="O142" s="10">
        <v>43434</v>
      </c>
      <c r="P142" s="9" t="s">
        <v>49</v>
      </c>
      <c r="Q142" s="9" t="s">
        <v>49</v>
      </c>
      <c r="R142" s="8"/>
      <c r="S142" s="8"/>
      <c r="T142" s="8"/>
      <c r="U142" s="8"/>
      <c r="V142" s="9" t="s">
        <v>49</v>
      </c>
      <c r="W142" s="9" t="s">
        <v>49</v>
      </c>
      <c r="X142" s="8"/>
      <c r="Y142" s="8"/>
      <c r="Z142" s="8"/>
      <c r="AA142" s="8"/>
      <c r="AB142" s="8"/>
      <c r="AC142" s="8"/>
      <c r="AD142" s="8"/>
      <c r="AE142" s="8"/>
      <c r="AF142" s="8"/>
      <c r="AG142" s="8"/>
      <c r="AH142" s="7" t="s">
        <v>51</v>
      </c>
      <c r="AI142" s="6" t="s">
        <v>49</v>
      </c>
      <c r="AJ142" s="6" t="s">
        <v>49</v>
      </c>
      <c r="AK142" s="6" t="s">
        <v>49</v>
      </c>
      <c r="AL142" s="9" t="s">
        <v>49</v>
      </c>
      <c r="AM142" s="9" t="s">
        <v>200</v>
      </c>
      <c r="AN142" s="6" t="s">
        <v>49</v>
      </c>
      <c r="AO142" s="9" t="s">
        <v>200</v>
      </c>
      <c r="AP142" s="11">
        <v>0</v>
      </c>
      <c r="AQ142" s="11">
        <v>0</v>
      </c>
      <c r="AR142" s="11">
        <v>0</v>
      </c>
      <c r="AS142" s="11">
        <v>0</v>
      </c>
      <c r="AT142" s="11">
        <v>47.1</v>
      </c>
      <c r="AU142" s="11">
        <v>0</v>
      </c>
      <c r="AV142" s="11" t="s">
        <v>51</v>
      </c>
    </row>
    <row r="143" spans="1:50" customFormat="1" ht="14.5" hidden="1">
      <c r="A143" s="6">
        <v>142</v>
      </c>
      <c r="B143" s="7" t="s">
        <v>371</v>
      </c>
      <c r="C143" s="7" t="s">
        <v>203</v>
      </c>
      <c r="D143" s="12"/>
      <c r="E143" s="6" t="s">
        <v>104</v>
      </c>
      <c r="F143" s="8"/>
      <c r="G143" s="8"/>
      <c r="H143" s="7" t="s">
        <v>49</v>
      </c>
      <c r="I143" s="7"/>
      <c r="J143" s="6" t="s">
        <v>49</v>
      </c>
      <c r="K143" s="9" t="s">
        <v>49</v>
      </c>
      <c r="L143" s="9" t="s">
        <v>49</v>
      </c>
      <c r="M143" s="18">
        <v>150</v>
      </c>
      <c r="N143" s="8"/>
      <c r="O143" s="12"/>
      <c r="P143" s="9" t="s">
        <v>49</v>
      </c>
      <c r="Q143" s="9" t="s">
        <v>49</v>
      </c>
      <c r="R143" s="8"/>
      <c r="S143" s="8"/>
      <c r="T143" s="8"/>
      <c r="U143" s="8"/>
      <c r="V143" s="9" t="s">
        <v>49</v>
      </c>
      <c r="W143" s="9" t="s">
        <v>49</v>
      </c>
      <c r="X143" s="8"/>
      <c r="Y143" s="8"/>
      <c r="Z143" s="8"/>
      <c r="AA143" s="8"/>
      <c r="AB143" s="8"/>
      <c r="AC143" s="8"/>
      <c r="AD143" s="8"/>
      <c r="AE143" s="8"/>
      <c r="AF143" s="8"/>
      <c r="AG143" s="8"/>
      <c r="AH143" s="7" t="s">
        <v>49</v>
      </c>
      <c r="AI143" s="6" t="s">
        <v>49</v>
      </c>
      <c r="AJ143" s="6" t="s">
        <v>49</v>
      </c>
      <c r="AK143" s="6" t="s">
        <v>49</v>
      </c>
      <c r="AL143" s="9" t="s">
        <v>49</v>
      </c>
      <c r="AM143" s="9" t="s">
        <v>49</v>
      </c>
      <c r="AN143" s="6" t="s">
        <v>49</v>
      </c>
      <c r="AO143" s="9" t="s">
        <v>49</v>
      </c>
      <c r="AP143" s="11">
        <v>0</v>
      </c>
      <c r="AQ143" s="11">
        <v>0</v>
      </c>
      <c r="AR143" s="11">
        <v>0</v>
      </c>
      <c r="AS143" s="11">
        <v>0</v>
      </c>
      <c r="AT143" s="11">
        <v>0</v>
      </c>
      <c r="AU143" s="11">
        <v>0</v>
      </c>
      <c r="AV143" s="11">
        <v>0</v>
      </c>
    </row>
    <row r="144" spans="1:50" customFormat="1" ht="14.5" hidden="1">
      <c r="A144" s="6">
        <v>143</v>
      </c>
      <c r="B144" s="7" t="s">
        <v>372</v>
      </c>
      <c r="C144" s="7" t="s">
        <v>49</v>
      </c>
      <c r="D144" s="6">
        <v>15067</v>
      </c>
      <c r="E144" s="6" t="s">
        <v>373</v>
      </c>
      <c r="F144" s="8"/>
      <c r="G144" s="8"/>
      <c r="H144" s="7" t="s">
        <v>49</v>
      </c>
      <c r="I144" s="7"/>
      <c r="J144" s="6" t="s">
        <v>49</v>
      </c>
      <c r="K144" s="9" t="s">
        <v>49</v>
      </c>
      <c r="L144" s="9" t="s">
        <v>49</v>
      </c>
      <c r="M144" s="8"/>
      <c r="N144" s="10">
        <v>43423</v>
      </c>
      <c r="O144" s="10">
        <v>43831</v>
      </c>
      <c r="P144" s="9" t="s">
        <v>49</v>
      </c>
      <c r="Q144" s="9" t="s">
        <v>49</v>
      </c>
      <c r="R144" s="8"/>
      <c r="S144" s="8"/>
      <c r="T144" s="8"/>
      <c r="U144" s="8"/>
      <c r="V144" s="9" t="s">
        <v>49</v>
      </c>
      <c r="W144" s="9" t="s">
        <v>49</v>
      </c>
      <c r="X144" s="8"/>
      <c r="Y144" s="8"/>
      <c r="Z144" s="8"/>
      <c r="AA144" s="8"/>
      <c r="AB144" s="8"/>
      <c r="AC144" s="8"/>
      <c r="AD144" s="8"/>
      <c r="AE144" s="8"/>
      <c r="AF144" s="8"/>
      <c r="AG144" s="8"/>
      <c r="AH144" s="7" t="s">
        <v>57</v>
      </c>
      <c r="AI144" s="6" t="s">
        <v>49</v>
      </c>
      <c r="AJ144" s="6" t="s">
        <v>49</v>
      </c>
      <c r="AK144" s="6" t="s">
        <v>49</v>
      </c>
      <c r="AL144" s="9" t="s">
        <v>49</v>
      </c>
      <c r="AM144" s="9" t="s">
        <v>221</v>
      </c>
      <c r="AN144" s="6" t="s">
        <v>49</v>
      </c>
      <c r="AO144" s="9" t="s">
        <v>221</v>
      </c>
      <c r="AP144" s="11">
        <v>0</v>
      </c>
      <c r="AQ144" s="11">
        <v>0</v>
      </c>
      <c r="AR144" s="11">
        <v>0</v>
      </c>
      <c r="AS144" s="11">
        <v>0</v>
      </c>
      <c r="AT144" s="11">
        <v>0</v>
      </c>
      <c r="AU144" s="11">
        <v>0</v>
      </c>
      <c r="AV144" s="11" t="s">
        <v>57</v>
      </c>
    </row>
    <row r="145" spans="1:50" customFormat="1" ht="14.5" hidden="1">
      <c r="A145" s="6">
        <v>144</v>
      </c>
      <c r="B145" s="7" t="s">
        <v>374</v>
      </c>
      <c r="C145" s="7" t="s">
        <v>69</v>
      </c>
      <c r="D145" s="6">
        <v>15475</v>
      </c>
      <c r="E145" s="6" t="s">
        <v>49</v>
      </c>
      <c r="F145" s="8"/>
      <c r="G145" s="8"/>
      <c r="H145" s="7" t="s">
        <v>49</v>
      </c>
      <c r="I145" s="7"/>
      <c r="J145" s="6" t="s">
        <v>49</v>
      </c>
      <c r="K145" s="9" t="s">
        <v>49</v>
      </c>
      <c r="L145" s="9" t="s">
        <v>49</v>
      </c>
      <c r="M145" s="8"/>
      <c r="N145" s="12"/>
      <c r="O145" s="10">
        <v>43830</v>
      </c>
      <c r="P145" s="9" t="s">
        <v>49</v>
      </c>
      <c r="Q145" s="9" t="s">
        <v>49</v>
      </c>
      <c r="R145" s="8"/>
      <c r="S145" s="8"/>
      <c r="T145" s="8"/>
      <c r="U145" s="8"/>
      <c r="V145" s="9" t="s">
        <v>49</v>
      </c>
      <c r="W145" s="9" t="s">
        <v>49</v>
      </c>
      <c r="X145" s="8"/>
      <c r="Y145" s="8"/>
      <c r="Z145" s="8"/>
      <c r="AA145" s="8"/>
      <c r="AB145" s="8"/>
      <c r="AC145" s="8"/>
      <c r="AD145" s="8"/>
      <c r="AE145" s="8"/>
      <c r="AF145" s="8"/>
      <c r="AG145" s="8"/>
      <c r="AH145" s="7" t="s">
        <v>57</v>
      </c>
      <c r="AI145" s="6" t="s">
        <v>71</v>
      </c>
      <c r="AJ145" s="6" t="s">
        <v>49</v>
      </c>
      <c r="AK145" s="6" t="s">
        <v>49</v>
      </c>
      <c r="AL145" s="9" t="s">
        <v>72</v>
      </c>
      <c r="AM145" s="9" t="s">
        <v>49</v>
      </c>
      <c r="AN145" s="6" t="s">
        <v>82</v>
      </c>
      <c r="AO145" s="9" t="s">
        <v>49</v>
      </c>
      <c r="AP145" s="11">
        <v>7248.8885899999996</v>
      </c>
      <c r="AQ145" s="11">
        <v>0</v>
      </c>
      <c r="AR145" s="11">
        <v>0</v>
      </c>
      <c r="AS145" s="11">
        <v>41681.266040000002</v>
      </c>
      <c r="AT145" s="11">
        <v>0</v>
      </c>
      <c r="AU145" s="11">
        <v>0</v>
      </c>
      <c r="AV145" s="11">
        <v>0</v>
      </c>
    </row>
    <row r="146" spans="1:50" customFormat="1" ht="14.5" hidden="1">
      <c r="A146" s="6">
        <v>145</v>
      </c>
      <c r="B146" s="7" t="s">
        <v>374</v>
      </c>
      <c r="C146" s="7" t="s">
        <v>69</v>
      </c>
      <c r="D146" s="6">
        <v>15475</v>
      </c>
      <c r="E146" s="6" t="s">
        <v>375</v>
      </c>
      <c r="F146" s="6">
        <v>84862</v>
      </c>
      <c r="G146" s="8"/>
      <c r="H146" s="7" t="s">
        <v>49</v>
      </c>
      <c r="I146" s="7"/>
      <c r="J146" s="6" t="s">
        <v>49</v>
      </c>
      <c r="K146" s="9" t="s">
        <v>49</v>
      </c>
      <c r="L146" s="9" t="s">
        <v>73</v>
      </c>
      <c r="M146" s="8"/>
      <c r="N146" s="12"/>
      <c r="O146" s="10">
        <v>43830</v>
      </c>
      <c r="P146" s="9" t="s">
        <v>376</v>
      </c>
      <c r="Q146" s="9" t="s">
        <v>377</v>
      </c>
      <c r="R146" s="8"/>
      <c r="S146" s="8"/>
      <c r="T146" s="8"/>
      <c r="U146" s="8"/>
      <c r="V146" s="9" t="s">
        <v>49</v>
      </c>
      <c r="W146" s="9" t="s">
        <v>49</v>
      </c>
      <c r="X146" s="8"/>
      <c r="Y146" s="8"/>
      <c r="Z146" s="8"/>
      <c r="AA146" s="8"/>
      <c r="AB146" s="8"/>
      <c r="AC146" s="8"/>
      <c r="AD146" s="8"/>
      <c r="AE146" s="8"/>
      <c r="AF146" s="8"/>
      <c r="AG146" s="8"/>
      <c r="AH146" s="7" t="s">
        <v>51</v>
      </c>
      <c r="AI146" s="6" t="s">
        <v>49</v>
      </c>
      <c r="AJ146" s="6" t="s">
        <v>49</v>
      </c>
      <c r="AK146" s="6" t="s">
        <v>49</v>
      </c>
      <c r="AL146" s="9" t="s">
        <v>49</v>
      </c>
      <c r="AM146" s="9" t="s">
        <v>72</v>
      </c>
      <c r="AN146" s="6" t="s">
        <v>49</v>
      </c>
      <c r="AO146" s="9" t="s">
        <v>72</v>
      </c>
      <c r="AP146" s="11">
        <v>63.408209999999997</v>
      </c>
      <c r="AQ146" s="11">
        <v>79108.92</v>
      </c>
      <c r="AR146" s="11">
        <v>79108.925833333327</v>
      </c>
      <c r="AS146" s="11">
        <v>353.87824999999998</v>
      </c>
      <c r="AT146" s="11">
        <v>242.68391999999997</v>
      </c>
      <c r="AU146" s="11">
        <v>0</v>
      </c>
      <c r="AV146" s="11" t="s">
        <v>51</v>
      </c>
    </row>
    <row r="147" spans="1:50" customFormat="1" ht="14.5" hidden="1">
      <c r="A147" s="6">
        <v>146</v>
      </c>
      <c r="B147" s="7" t="s">
        <v>378</v>
      </c>
      <c r="C147" s="7" t="s">
        <v>49</v>
      </c>
      <c r="D147" s="6">
        <v>12479</v>
      </c>
      <c r="E147" s="6" t="s">
        <v>379</v>
      </c>
      <c r="F147" s="8"/>
      <c r="G147" s="8"/>
      <c r="H147" s="7" t="s">
        <v>49</v>
      </c>
      <c r="I147" s="7"/>
      <c r="J147" s="6" t="s">
        <v>49</v>
      </c>
      <c r="K147" s="9" t="s">
        <v>49</v>
      </c>
      <c r="L147" s="9" t="s">
        <v>49</v>
      </c>
      <c r="M147" s="8"/>
      <c r="N147" s="12"/>
      <c r="O147" s="12"/>
      <c r="P147" s="9" t="s">
        <v>49</v>
      </c>
      <c r="Q147" s="9" t="s">
        <v>49</v>
      </c>
      <c r="R147" s="8"/>
      <c r="S147" s="8"/>
      <c r="T147" s="8"/>
      <c r="U147" s="8"/>
      <c r="V147" s="9" t="s">
        <v>49</v>
      </c>
      <c r="W147" s="9" t="s">
        <v>49</v>
      </c>
      <c r="X147" s="8"/>
      <c r="Y147" s="8"/>
      <c r="Z147" s="8"/>
      <c r="AA147" s="8"/>
      <c r="AB147" s="8"/>
      <c r="AC147" s="8"/>
      <c r="AD147" s="8"/>
      <c r="AE147" s="8"/>
      <c r="AF147" s="8"/>
      <c r="AG147" s="8"/>
      <c r="AH147" s="7" t="s">
        <v>51</v>
      </c>
      <c r="AI147" s="6" t="s">
        <v>49</v>
      </c>
      <c r="AJ147" s="6" t="s">
        <v>49</v>
      </c>
      <c r="AK147" s="6" t="s">
        <v>49</v>
      </c>
      <c r="AL147" s="9" t="s">
        <v>49</v>
      </c>
      <c r="AM147" s="9" t="s">
        <v>380</v>
      </c>
      <c r="AN147" s="6" t="s">
        <v>49</v>
      </c>
      <c r="AO147" s="9" t="s">
        <v>159</v>
      </c>
      <c r="AP147" s="11">
        <v>0</v>
      </c>
      <c r="AQ147" s="11">
        <v>0</v>
      </c>
      <c r="AR147" s="11">
        <v>0</v>
      </c>
      <c r="AS147" s="11">
        <v>0</v>
      </c>
      <c r="AT147" s="11">
        <v>0</v>
      </c>
      <c r="AU147" s="11">
        <v>0</v>
      </c>
      <c r="AV147" s="11" t="s">
        <v>51</v>
      </c>
    </row>
    <row r="148" spans="1:50" customFormat="1" ht="14.5" hidden="1">
      <c r="A148" s="6">
        <v>147</v>
      </c>
      <c r="B148" s="7" t="s">
        <v>381</v>
      </c>
      <c r="C148" s="7" t="s">
        <v>49</v>
      </c>
      <c r="D148" s="6">
        <v>12479</v>
      </c>
      <c r="E148" s="6" t="s">
        <v>49</v>
      </c>
      <c r="F148" s="8"/>
      <c r="G148" s="8"/>
      <c r="H148" s="7" t="s">
        <v>49</v>
      </c>
      <c r="I148" s="7"/>
      <c r="J148" s="6" t="s">
        <v>49</v>
      </c>
      <c r="K148" s="9" t="s">
        <v>49</v>
      </c>
      <c r="L148" s="9" t="s">
        <v>49</v>
      </c>
      <c r="M148" s="8"/>
      <c r="N148" s="8"/>
      <c r="O148" s="12"/>
      <c r="P148" s="9" t="s">
        <v>49</v>
      </c>
      <c r="Q148" s="9" t="s">
        <v>49</v>
      </c>
      <c r="R148" s="8"/>
      <c r="S148" s="8"/>
      <c r="T148" s="8"/>
      <c r="U148" s="8"/>
      <c r="V148" s="9" t="s">
        <v>49</v>
      </c>
      <c r="W148" s="9" t="s">
        <v>49</v>
      </c>
      <c r="X148" s="8"/>
      <c r="Y148" s="8"/>
      <c r="Z148" s="8"/>
      <c r="AA148" s="8"/>
      <c r="AB148" s="8"/>
      <c r="AC148" s="8"/>
      <c r="AD148" s="8"/>
      <c r="AE148" s="8"/>
      <c r="AF148" s="8"/>
      <c r="AG148" s="8"/>
      <c r="AH148" s="7" t="s">
        <v>57</v>
      </c>
      <c r="AI148" s="6" t="s">
        <v>71</v>
      </c>
      <c r="AJ148" s="6" t="s">
        <v>49</v>
      </c>
      <c r="AK148" s="6" t="s">
        <v>118</v>
      </c>
      <c r="AL148" s="9" t="s">
        <v>380</v>
      </c>
      <c r="AM148" s="9" t="s">
        <v>49</v>
      </c>
      <c r="AN148" s="6" t="s">
        <v>82</v>
      </c>
      <c r="AO148" s="9" t="s">
        <v>49</v>
      </c>
      <c r="AP148" s="11">
        <v>7248.8885899999996</v>
      </c>
      <c r="AQ148" s="11">
        <v>0</v>
      </c>
      <c r="AR148" s="11">
        <v>0</v>
      </c>
      <c r="AS148" s="11">
        <v>41681.266040000002</v>
      </c>
      <c r="AT148" s="11">
        <v>0</v>
      </c>
      <c r="AU148" s="11">
        <v>0</v>
      </c>
      <c r="AV148" s="11">
        <v>0</v>
      </c>
    </row>
    <row r="149" spans="1:50" customFormat="1" ht="14.5" hidden="1">
      <c r="A149" s="6">
        <v>148</v>
      </c>
      <c r="B149" s="7" t="s">
        <v>382</v>
      </c>
      <c r="C149" s="7" t="s">
        <v>49</v>
      </c>
      <c r="D149" s="6">
        <v>15063</v>
      </c>
      <c r="E149" s="6" t="s">
        <v>383</v>
      </c>
      <c r="F149" s="8"/>
      <c r="G149" s="8"/>
      <c r="H149" s="7" t="s">
        <v>49</v>
      </c>
      <c r="I149" s="7"/>
      <c r="J149" s="6" t="s">
        <v>49</v>
      </c>
      <c r="K149" s="9" t="s">
        <v>49</v>
      </c>
      <c r="L149" s="9" t="s">
        <v>49</v>
      </c>
      <c r="M149" s="8"/>
      <c r="N149" s="10">
        <v>43374</v>
      </c>
      <c r="O149" s="10">
        <v>43831</v>
      </c>
      <c r="P149" s="9" t="s">
        <v>49</v>
      </c>
      <c r="Q149" s="9" t="s">
        <v>49</v>
      </c>
      <c r="R149" s="8"/>
      <c r="S149" s="8"/>
      <c r="T149" s="8"/>
      <c r="U149" s="8"/>
      <c r="V149" s="9" t="s">
        <v>49</v>
      </c>
      <c r="W149" s="9" t="s">
        <v>49</v>
      </c>
      <c r="X149" s="8"/>
      <c r="Y149" s="8"/>
      <c r="Z149" s="8"/>
      <c r="AA149" s="8"/>
      <c r="AB149" s="8"/>
      <c r="AC149" s="8"/>
      <c r="AD149" s="8"/>
      <c r="AE149" s="8"/>
      <c r="AF149" s="8"/>
      <c r="AG149" s="8"/>
      <c r="AH149" s="7" t="s">
        <v>57</v>
      </c>
      <c r="AI149" s="6" t="s">
        <v>49</v>
      </c>
      <c r="AJ149" s="6" t="s">
        <v>49</v>
      </c>
      <c r="AK149" s="6" t="s">
        <v>49</v>
      </c>
      <c r="AL149" s="9" t="s">
        <v>49</v>
      </c>
      <c r="AM149" s="9" t="s">
        <v>357</v>
      </c>
      <c r="AN149" s="6" t="s">
        <v>49</v>
      </c>
      <c r="AO149" s="9" t="s">
        <v>159</v>
      </c>
      <c r="AP149" s="11">
        <v>0</v>
      </c>
      <c r="AQ149" s="11">
        <v>0</v>
      </c>
      <c r="AR149" s="11">
        <v>0</v>
      </c>
      <c r="AS149" s="11">
        <v>0</v>
      </c>
      <c r="AT149" s="11">
        <v>0</v>
      </c>
      <c r="AU149" s="11">
        <v>0</v>
      </c>
      <c r="AV149" s="11" t="s">
        <v>57</v>
      </c>
    </row>
    <row r="150" spans="1:50" customFormat="1" ht="14.5" hidden="1">
      <c r="A150" s="6">
        <v>149</v>
      </c>
      <c r="B150" s="7" t="s">
        <v>384</v>
      </c>
      <c r="C150" s="7" t="s">
        <v>49</v>
      </c>
      <c r="D150" s="6">
        <v>15524</v>
      </c>
      <c r="E150" s="6" t="s">
        <v>385</v>
      </c>
      <c r="F150" s="8"/>
      <c r="G150" s="8"/>
      <c r="H150" s="7" t="s">
        <v>49</v>
      </c>
      <c r="I150" s="7"/>
      <c r="J150" s="6" t="s">
        <v>49</v>
      </c>
      <c r="K150" s="9" t="s">
        <v>49</v>
      </c>
      <c r="L150" s="9" t="s">
        <v>49</v>
      </c>
      <c r="M150" s="12"/>
      <c r="N150" s="10">
        <v>43497</v>
      </c>
      <c r="O150" s="10">
        <v>43921</v>
      </c>
      <c r="P150" s="9" t="s">
        <v>49</v>
      </c>
      <c r="Q150" s="9" t="s">
        <v>49</v>
      </c>
      <c r="R150" s="8"/>
      <c r="S150" s="8"/>
      <c r="T150" s="8"/>
      <c r="U150" s="8"/>
      <c r="V150" s="9" t="s">
        <v>49</v>
      </c>
      <c r="W150" s="9" t="s">
        <v>49</v>
      </c>
      <c r="X150" s="8"/>
      <c r="Y150" s="8"/>
      <c r="Z150" s="8"/>
      <c r="AA150" s="8"/>
      <c r="AB150" s="8"/>
      <c r="AC150" s="8"/>
      <c r="AD150" s="8"/>
      <c r="AE150" s="8"/>
      <c r="AF150" s="8"/>
      <c r="AG150" s="8"/>
      <c r="AH150" s="7" t="s">
        <v>57</v>
      </c>
      <c r="AI150" s="6" t="s">
        <v>49</v>
      </c>
      <c r="AJ150" s="6" t="s">
        <v>49</v>
      </c>
      <c r="AK150" s="6" t="s">
        <v>49</v>
      </c>
      <c r="AL150" s="9" t="s">
        <v>49</v>
      </c>
      <c r="AM150" s="9" t="s">
        <v>386</v>
      </c>
      <c r="AN150" s="6" t="s">
        <v>49</v>
      </c>
      <c r="AO150" s="9" t="s">
        <v>52</v>
      </c>
      <c r="AP150" s="11">
        <v>0</v>
      </c>
      <c r="AQ150" s="11">
        <v>0</v>
      </c>
      <c r="AR150" s="11">
        <v>0</v>
      </c>
      <c r="AS150" s="11">
        <v>0</v>
      </c>
      <c r="AT150" s="11">
        <v>0</v>
      </c>
      <c r="AU150" s="11">
        <v>0</v>
      </c>
      <c r="AV150" s="11" t="s">
        <v>57</v>
      </c>
    </row>
    <row r="151" spans="1:50" customFormat="1" ht="14.5" hidden="1">
      <c r="A151" s="6">
        <v>150</v>
      </c>
      <c r="B151" s="7" t="s">
        <v>387</v>
      </c>
      <c r="C151" s="7" t="s">
        <v>49</v>
      </c>
      <c r="D151" s="6">
        <v>15524</v>
      </c>
      <c r="E151" s="6" t="s">
        <v>388</v>
      </c>
      <c r="F151" s="8"/>
      <c r="G151" s="8"/>
      <c r="H151" s="7" t="s">
        <v>49</v>
      </c>
      <c r="I151" s="7"/>
      <c r="J151" s="6" t="s">
        <v>49</v>
      </c>
      <c r="K151" s="9" t="s">
        <v>49</v>
      </c>
      <c r="L151" s="9" t="s">
        <v>49</v>
      </c>
      <c r="M151" s="8"/>
      <c r="N151" s="10">
        <v>43497</v>
      </c>
      <c r="O151" s="10">
        <v>43921</v>
      </c>
      <c r="P151" s="9" t="s">
        <v>49</v>
      </c>
      <c r="Q151" s="9" t="s">
        <v>49</v>
      </c>
      <c r="R151" s="8"/>
      <c r="S151" s="8"/>
      <c r="T151" s="8"/>
      <c r="U151" s="8"/>
      <c r="V151" s="9" t="s">
        <v>49</v>
      </c>
      <c r="W151" s="9" t="s">
        <v>49</v>
      </c>
      <c r="X151" s="8"/>
      <c r="Y151" s="8"/>
      <c r="Z151" s="8"/>
      <c r="AA151" s="8"/>
      <c r="AB151" s="8"/>
      <c r="AC151" s="8"/>
      <c r="AD151" s="8"/>
      <c r="AE151" s="8"/>
      <c r="AF151" s="8"/>
      <c r="AG151" s="8"/>
      <c r="AH151" s="7" t="s">
        <v>57</v>
      </c>
      <c r="AI151" s="6" t="s">
        <v>49</v>
      </c>
      <c r="AJ151" s="6" t="s">
        <v>49</v>
      </c>
      <c r="AK151" s="6" t="s">
        <v>49</v>
      </c>
      <c r="AL151" s="9" t="s">
        <v>49</v>
      </c>
      <c r="AM151" s="9" t="s">
        <v>386</v>
      </c>
      <c r="AN151" s="6" t="s">
        <v>49</v>
      </c>
      <c r="AO151" s="9" t="s">
        <v>386</v>
      </c>
      <c r="AP151" s="11">
        <v>0</v>
      </c>
      <c r="AQ151" s="11">
        <v>0</v>
      </c>
      <c r="AR151" s="11">
        <v>0</v>
      </c>
      <c r="AS151" s="11">
        <v>0</v>
      </c>
      <c r="AT151" s="11">
        <v>0</v>
      </c>
      <c r="AU151" s="11">
        <v>0</v>
      </c>
      <c r="AV151" s="11" t="s">
        <v>57</v>
      </c>
    </row>
    <row r="152" spans="1:50" ht="13.5" hidden="1" customHeight="1">
      <c r="A152" s="46">
        <v>151</v>
      </c>
      <c r="B152" s="57" t="s">
        <v>389</v>
      </c>
      <c r="C152" s="47" t="s">
        <v>203</v>
      </c>
      <c r="D152" s="12"/>
      <c r="E152" s="6" t="s">
        <v>104</v>
      </c>
      <c r="F152" s="8"/>
      <c r="G152" s="8"/>
      <c r="H152" s="47" t="s">
        <v>88</v>
      </c>
      <c r="I152" s="47" t="s">
        <v>255</v>
      </c>
      <c r="J152" s="46" t="s">
        <v>105</v>
      </c>
      <c r="K152" s="48" t="s">
        <v>106</v>
      </c>
      <c r="L152" s="9" t="s">
        <v>73</v>
      </c>
      <c r="M152" s="18">
        <v>200</v>
      </c>
      <c r="N152" s="12"/>
      <c r="O152" s="12"/>
      <c r="P152" s="9" t="s">
        <v>390</v>
      </c>
      <c r="Q152" s="9" t="s">
        <v>107</v>
      </c>
      <c r="R152" s="46">
        <v>0</v>
      </c>
      <c r="S152" s="46">
        <v>0</v>
      </c>
      <c r="T152" s="6">
        <v>0</v>
      </c>
      <c r="U152" s="46">
        <v>0.2</v>
      </c>
      <c r="V152" s="48" t="s">
        <v>391</v>
      </c>
      <c r="W152" s="9" t="s">
        <v>199</v>
      </c>
      <c r="X152" s="8"/>
      <c r="Y152" s="8"/>
      <c r="Z152" s="8"/>
      <c r="AA152" s="8"/>
      <c r="AB152" s="8"/>
      <c r="AC152" s="8"/>
      <c r="AD152" s="8"/>
      <c r="AE152" s="8"/>
      <c r="AF152" s="8"/>
      <c r="AG152" s="8"/>
      <c r="AH152" s="7" t="s">
        <v>49</v>
      </c>
      <c r="AI152" s="6" t="s">
        <v>49</v>
      </c>
      <c r="AJ152" s="6" t="s">
        <v>49</v>
      </c>
      <c r="AK152" s="6" t="s">
        <v>49</v>
      </c>
      <c r="AL152" s="9" t="s">
        <v>49</v>
      </c>
      <c r="AM152" s="9" t="s">
        <v>49</v>
      </c>
      <c r="AN152" s="6" t="s">
        <v>49</v>
      </c>
      <c r="AO152" s="9" t="s">
        <v>49</v>
      </c>
      <c r="AP152" s="11">
        <v>0</v>
      </c>
      <c r="AQ152" s="11">
        <v>0</v>
      </c>
      <c r="AR152" s="11">
        <v>0</v>
      </c>
      <c r="AS152" s="11">
        <v>0</v>
      </c>
      <c r="AT152" s="11">
        <v>0</v>
      </c>
      <c r="AU152" s="11">
        <v>0</v>
      </c>
      <c r="AV152" s="11">
        <v>0</v>
      </c>
    </row>
    <row r="153" spans="1:50" customFormat="1" ht="14.5" hidden="1">
      <c r="A153" s="6">
        <v>152</v>
      </c>
      <c r="B153" s="7" t="s">
        <v>392</v>
      </c>
      <c r="C153" s="7" t="s">
        <v>49</v>
      </c>
      <c r="D153" s="6">
        <v>15388</v>
      </c>
      <c r="E153" s="6" t="s">
        <v>49</v>
      </c>
      <c r="F153" s="8"/>
      <c r="G153" s="8"/>
      <c r="H153" s="7" t="s">
        <v>49</v>
      </c>
      <c r="I153" s="7"/>
      <c r="J153" s="6" t="s">
        <v>49</v>
      </c>
      <c r="K153" s="9" t="s">
        <v>49</v>
      </c>
      <c r="L153" s="9" t="s">
        <v>49</v>
      </c>
      <c r="M153" s="8"/>
      <c r="N153" s="10">
        <v>43159</v>
      </c>
      <c r="O153" s="10">
        <v>43860</v>
      </c>
      <c r="P153" s="9" t="s">
        <v>49</v>
      </c>
      <c r="Q153" s="9" t="s">
        <v>49</v>
      </c>
      <c r="R153" s="8"/>
      <c r="S153" s="8"/>
      <c r="T153" s="8"/>
      <c r="U153" s="8"/>
      <c r="V153" s="9" t="s">
        <v>49</v>
      </c>
      <c r="W153" s="9" t="s">
        <v>49</v>
      </c>
      <c r="X153" s="8"/>
      <c r="Y153" s="8"/>
      <c r="Z153" s="8"/>
      <c r="AA153" s="8"/>
      <c r="AB153" s="8"/>
      <c r="AC153" s="8"/>
      <c r="AD153" s="8"/>
      <c r="AE153" s="8"/>
      <c r="AF153" s="8"/>
      <c r="AG153" s="8"/>
      <c r="AH153" s="7" t="s">
        <v>57</v>
      </c>
      <c r="AI153" s="6" t="s">
        <v>71</v>
      </c>
      <c r="AJ153" s="6" t="s">
        <v>49</v>
      </c>
      <c r="AK153" s="6" t="s">
        <v>49</v>
      </c>
      <c r="AL153" s="9" t="s">
        <v>92</v>
      </c>
      <c r="AM153" s="9" t="s">
        <v>49</v>
      </c>
      <c r="AN153" s="6" t="s">
        <v>96</v>
      </c>
      <c r="AO153" s="9" t="s">
        <v>49</v>
      </c>
      <c r="AP153" s="11">
        <v>7248.8885899999996</v>
      </c>
      <c r="AQ153" s="11">
        <v>0</v>
      </c>
      <c r="AR153" s="11">
        <v>0</v>
      </c>
      <c r="AS153" s="11">
        <v>41681.266040000002</v>
      </c>
      <c r="AT153" s="11">
        <v>0</v>
      </c>
      <c r="AU153" s="11">
        <v>0</v>
      </c>
      <c r="AV153" s="11">
        <v>0</v>
      </c>
    </row>
    <row r="154" spans="1:50" customFormat="1" ht="14.5" hidden="1">
      <c r="A154" s="6">
        <v>153</v>
      </c>
      <c r="B154" s="7" t="s">
        <v>393</v>
      </c>
      <c r="C154" s="7" t="s">
        <v>49</v>
      </c>
      <c r="D154" s="6">
        <v>15388</v>
      </c>
      <c r="E154" s="6" t="s">
        <v>394</v>
      </c>
      <c r="F154" s="12"/>
      <c r="G154" s="8"/>
      <c r="H154" s="7" t="s">
        <v>49</v>
      </c>
      <c r="I154" s="7"/>
      <c r="J154" s="6" t="s">
        <v>49</v>
      </c>
      <c r="K154" s="9" t="s">
        <v>49</v>
      </c>
      <c r="L154" s="9" t="s">
        <v>49</v>
      </c>
      <c r="M154" s="8"/>
      <c r="N154" s="10">
        <v>43159</v>
      </c>
      <c r="O154" s="10">
        <v>43860</v>
      </c>
      <c r="P154" s="9" t="s">
        <v>49</v>
      </c>
      <c r="Q154" s="9" t="s">
        <v>49</v>
      </c>
      <c r="R154" s="8"/>
      <c r="S154" s="8"/>
      <c r="T154" s="8"/>
      <c r="U154" s="8"/>
      <c r="V154" s="9" t="s">
        <v>49</v>
      </c>
      <c r="W154" s="9" t="s">
        <v>49</v>
      </c>
      <c r="X154" s="8"/>
      <c r="Y154" s="8"/>
      <c r="Z154" s="8"/>
      <c r="AA154" s="12"/>
      <c r="AB154" s="12"/>
      <c r="AC154" s="8"/>
      <c r="AD154" s="12"/>
      <c r="AE154" s="8"/>
      <c r="AF154" s="12"/>
      <c r="AG154" s="12"/>
      <c r="AH154" s="7" t="s">
        <v>51</v>
      </c>
      <c r="AI154" s="6" t="s">
        <v>49</v>
      </c>
      <c r="AJ154" s="6" t="s">
        <v>49</v>
      </c>
      <c r="AK154" s="6" t="s">
        <v>49</v>
      </c>
      <c r="AL154" s="9" t="s">
        <v>49</v>
      </c>
      <c r="AM154" s="9" t="s">
        <v>95</v>
      </c>
      <c r="AN154" s="6" t="s">
        <v>49</v>
      </c>
      <c r="AO154" s="9" t="s">
        <v>49</v>
      </c>
      <c r="AP154" s="11">
        <v>0</v>
      </c>
      <c r="AQ154" s="11">
        <v>0</v>
      </c>
      <c r="AR154" s="11">
        <v>0</v>
      </c>
      <c r="AS154" s="11">
        <v>0</v>
      </c>
      <c r="AT154" s="11">
        <v>0</v>
      </c>
      <c r="AU154" s="11">
        <v>0</v>
      </c>
      <c r="AV154" s="11">
        <v>0</v>
      </c>
    </row>
    <row r="155" spans="1:50" customFormat="1" ht="14.5" hidden="1">
      <c r="A155" s="6">
        <v>154</v>
      </c>
      <c r="B155" s="7" t="s">
        <v>395</v>
      </c>
      <c r="C155" s="7" t="s">
        <v>49</v>
      </c>
      <c r="D155" s="6">
        <v>12528</v>
      </c>
      <c r="E155" s="6" t="s">
        <v>396</v>
      </c>
      <c r="F155" s="8"/>
      <c r="G155" s="8"/>
      <c r="H155" s="7" t="s">
        <v>49</v>
      </c>
      <c r="I155" s="7"/>
      <c r="J155" s="6" t="s">
        <v>49</v>
      </c>
      <c r="K155" s="9" t="s">
        <v>49</v>
      </c>
      <c r="L155" s="9" t="s">
        <v>49</v>
      </c>
      <c r="M155" s="8"/>
      <c r="N155" s="10">
        <v>43497</v>
      </c>
      <c r="O155" s="10">
        <v>43833</v>
      </c>
      <c r="P155" s="9" t="s">
        <v>49</v>
      </c>
      <c r="Q155" s="9" t="s">
        <v>49</v>
      </c>
      <c r="R155" s="8"/>
      <c r="S155" s="8"/>
      <c r="T155" s="8"/>
      <c r="U155" s="8"/>
      <c r="V155" s="9" t="s">
        <v>49</v>
      </c>
      <c r="W155" s="9" t="s">
        <v>49</v>
      </c>
      <c r="X155" s="8"/>
      <c r="Y155" s="8"/>
      <c r="Z155" s="8"/>
      <c r="AA155" s="8"/>
      <c r="AB155" s="8"/>
      <c r="AC155" s="8"/>
      <c r="AD155" s="8"/>
      <c r="AE155" s="8"/>
      <c r="AF155" s="8"/>
      <c r="AG155" s="8"/>
      <c r="AH155" s="7" t="s">
        <v>57</v>
      </c>
      <c r="AI155" s="6" t="s">
        <v>49</v>
      </c>
      <c r="AJ155" s="6" t="s">
        <v>49</v>
      </c>
      <c r="AK155" s="6" t="s">
        <v>49</v>
      </c>
      <c r="AL155" s="9" t="s">
        <v>49</v>
      </c>
      <c r="AM155" s="9" t="s">
        <v>134</v>
      </c>
      <c r="AN155" s="6" t="s">
        <v>49</v>
      </c>
      <c r="AO155" s="9" t="s">
        <v>134</v>
      </c>
      <c r="AP155" s="11">
        <v>0</v>
      </c>
      <c r="AQ155" s="11">
        <v>0</v>
      </c>
      <c r="AR155" s="11">
        <v>0</v>
      </c>
      <c r="AS155" s="11">
        <v>0</v>
      </c>
      <c r="AT155" s="11">
        <v>0</v>
      </c>
      <c r="AU155" s="11">
        <v>0</v>
      </c>
      <c r="AV155" s="11" t="s">
        <v>57</v>
      </c>
    </row>
    <row r="156" spans="1:50" customFormat="1" ht="14.5" hidden="1">
      <c r="A156" s="6">
        <v>155</v>
      </c>
      <c r="B156" s="7" t="s">
        <v>397</v>
      </c>
      <c r="C156" s="7" t="s">
        <v>49</v>
      </c>
      <c r="D156" s="6">
        <v>15644</v>
      </c>
      <c r="E156" s="6" t="s">
        <v>49</v>
      </c>
      <c r="F156" s="8"/>
      <c r="G156" s="8"/>
      <c r="H156" s="7" t="s">
        <v>49</v>
      </c>
      <c r="I156" s="7"/>
      <c r="J156" s="6" t="s">
        <v>49</v>
      </c>
      <c r="K156" s="9" t="s">
        <v>49</v>
      </c>
      <c r="L156" s="9" t="s">
        <v>49</v>
      </c>
      <c r="M156" s="8"/>
      <c r="N156" s="10">
        <v>43739</v>
      </c>
      <c r="O156" s="10">
        <v>44134</v>
      </c>
      <c r="P156" s="9" t="s">
        <v>49</v>
      </c>
      <c r="Q156" s="9" t="s">
        <v>49</v>
      </c>
      <c r="R156" s="8"/>
      <c r="S156" s="8"/>
      <c r="T156" s="8"/>
      <c r="U156" s="8"/>
      <c r="V156" s="9" t="s">
        <v>49</v>
      </c>
      <c r="W156" s="9" t="s">
        <v>49</v>
      </c>
      <c r="X156" s="8"/>
      <c r="Y156" s="8"/>
      <c r="Z156" s="8"/>
      <c r="AA156" s="8"/>
      <c r="AB156" s="8"/>
      <c r="AC156" s="8"/>
      <c r="AD156" s="8"/>
      <c r="AE156" s="8"/>
      <c r="AF156" s="8"/>
      <c r="AG156" s="8"/>
      <c r="AH156" s="7" t="s">
        <v>51</v>
      </c>
      <c r="AI156" s="6" t="s">
        <v>71</v>
      </c>
      <c r="AJ156" s="6" t="s">
        <v>49</v>
      </c>
      <c r="AK156" s="6" t="s">
        <v>49</v>
      </c>
      <c r="AL156" s="9" t="s">
        <v>52</v>
      </c>
      <c r="AM156" s="9" t="s">
        <v>49</v>
      </c>
      <c r="AN156" s="6" t="s">
        <v>96</v>
      </c>
      <c r="AO156" s="9" t="s">
        <v>49</v>
      </c>
      <c r="AP156" s="11">
        <v>7248.8885899999996</v>
      </c>
      <c r="AQ156" s="11">
        <v>0</v>
      </c>
      <c r="AR156" s="11">
        <v>0</v>
      </c>
      <c r="AS156" s="11">
        <v>41681.266040000002</v>
      </c>
      <c r="AT156" s="11">
        <v>0</v>
      </c>
      <c r="AU156" s="11">
        <v>0</v>
      </c>
      <c r="AV156" s="11">
        <v>0</v>
      </c>
    </row>
    <row r="157" spans="1:50" customFormat="1" ht="14.5" hidden="1">
      <c r="A157" s="6">
        <v>156</v>
      </c>
      <c r="B157" s="7" t="s">
        <v>376</v>
      </c>
      <c r="C157" s="7" t="s">
        <v>69</v>
      </c>
      <c r="D157" s="12"/>
      <c r="E157" s="6" t="s">
        <v>104</v>
      </c>
      <c r="F157" s="8"/>
      <c r="G157" s="8"/>
      <c r="H157" s="7" t="s">
        <v>49</v>
      </c>
      <c r="I157" s="7"/>
      <c r="J157" s="6" t="s">
        <v>49</v>
      </c>
      <c r="K157" s="9" t="s">
        <v>49</v>
      </c>
      <c r="L157" s="9" t="s">
        <v>49</v>
      </c>
      <c r="M157" s="13">
        <v>361</v>
      </c>
      <c r="N157" s="12"/>
      <c r="O157" s="12"/>
      <c r="P157" s="9" t="s">
        <v>49</v>
      </c>
      <c r="Q157" s="9" t="s">
        <v>49</v>
      </c>
      <c r="R157" s="8"/>
      <c r="S157" s="8"/>
      <c r="T157" s="8"/>
      <c r="U157" s="8"/>
      <c r="V157" s="9" t="s">
        <v>49</v>
      </c>
      <c r="W157" s="9" t="s">
        <v>49</v>
      </c>
      <c r="X157" s="8"/>
      <c r="Y157" s="8"/>
      <c r="Z157" s="8"/>
      <c r="AA157" s="8"/>
      <c r="AB157" s="8"/>
      <c r="AC157" s="8"/>
      <c r="AD157" s="8"/>
      <c r="AE157" s="8"/>
      <c r="AF157" s="8"/>
      <c r="AG157" s="8"/>
      <c r="AH157" s="7" t="s">
        <v>49</v>
      </c>
      <c r="AI157" s="6" t="s">
        <v>49</v>
      </c>
      <c r="AJ157" s="6" t="s">
        <v>49</v>
      </c>
      <c r="AK157" s="6" t="s">
        <v>49</v>
      </c>
      <c r="AL157" s="9" t="s">
        <v>49</v>
      </c>
      <c r="AM157" s="9" t="s">
        <v>49</v>
      </c>
      <c r="AN157" s="6" t="s">
        <v>49</v>
      </c>
      <c r="AO157" s="9" t="s">
        <v>49</v>
      </c>
      <c r="AP157" s="11">
        <v>0</v>
      </c>
      <c r="AQ157" s="11">
        <v>0</v>
      </c>
      <c r="AR157" s="11">
        <v>0</v>
      </c>
      <c r="AS157" s="11">
        <v>0</v>
      </c>
      <c r="AT157" s="11">
        <v>0</v>
      </c>
      <c r="AU157" s="11">
        <v>417</v>
      </c>
      <c r="AV157" s="11">
        <v>0</v>
      </c>
      <c r="AW157" t="s">
        <v>93</v>
      </c>
    </row>
    <row r="158" spans="1:50" customFormat="1" ht="14.5" hidden="1">
      <c r="A158" s="6">
        <v>157</v>
      </c>
      <c r="B158" s="7" t="s">
        <v>398</v>
      </c>
      <c r="C158" s="7" t="s">
        <v>49</v>
      </c>
      <c r="D158" s="6">
        <v>15644</v>
      </c>
      <c r="E158" s="6" t="s">
        <v>399</v>
      </c>
      <c r="F158" s="12"/>
      <c r="G158" s="8"/>
      <c r="H158" s="7" t="s">
        <v>49</v>
      </c>
      <c r="I158" s="7"/>
      <c r="J158" s="6" t="s">
        <v>49</v>
      </c>
      <c r="K158" s="9" t="s">
        <v>49</v>
      </c>
      <c r="L158" s="9" t="s">
        <v>49</v>
      </c>
      <c r="M158" s="8"/>
      <c r="N158" s="10">
        <v>43739</v>
      </c>
      <c r="O158" s="10">
        <v>44134</v>
      </c>
      <c r="P158" s="9" t="s">
        <v>49</v>
      </c>
      <c r="Q158" s="9" t="s">
        <v>49</v>
      </c>
      <c r="R158" s="8"/>
      <c r="S158" s="8"/>
      <c r="T158" s="8"/>
      <c r="U158" s="12"/>
      <c r="V158" s="9" t="s">
        <v>49</v>
      </c>
      <c r="W158" s="9" t="s">
        <v>49</v>
      </c>
      <c r="X158" s="8"/>
      <c r="Y158" s="8"/>
      <c r="Z158" s="8"/>
      <c r="AA158" s="8"/>
      <c r="AB158" s="8"/>
      <c r="AC158" s="8"/>
      <c r="AD158" s="8"/>
      <c r="AE158" s="8"/>
      <c r="AF158" s="8"/>
      <c r="AG158" s="8"/>
      <c r="AH158" s="7" t="s">
        <v>51</v>
      </c>
      <c r="AI158" s="6" t="s">
        <v>49</v>
      </c>
      <c r="AJ158" s="6" t="s">
        <v>49</v>
      </c>
      <c r="AK158" s="6" t="s">
        <v>49</v>
      </c>
      <c r="AL158" s="9" t="s">
        <v>49</v>
      </c>
      <c r="AM158" s="9" t="s">
        <v>52</v>
      </c>
      <c r="AN158" s="6" t="s">
        <v>49</v>
      </c>
      <c r="AO158" s="9" t="s">
        <v>52</v>
      </c>
      <c r="AP158" s="11">
        <v>0</v>
      </c>
      <c r="AQ158" s="11">
        <v>0</v>
      </c>
      <c r="AR158" s="11">
        <v>0</v>
      </c>
      <c r="AS158" s="11">
        <v>0</v>
      </c>
      <c r="AT158" s="11">
        <v>19.49999</v>
      </c>
      <c r="AU158" s="11">
        <v>0</v>
      </c>
      <c r="AV158" s="11" t="s">
        <v>51</v>
      </c>
    </row>
    <row r="159" spans="1:50" customFormat="1" ht="14.5" hidden="1">
      <c r="A159" s="6">
        <v>158</v>
      </c>
      <c r="B159" s="7" t="s">
        <v>400</v>
      </c>
      <c r="C159" s="7" t="s">
        <v>49</v>
      </c>
      <c r="D159" s="6">
        <v>15599</v>
      </c>
      <c r="E159" s="6" t="s">
        <v>49</v>
      </c>
      <c r="F159" s="12"/>
      <c r="G159" s="8"/>
      <c r="H159" s="7" t="s">
        <v>49</v>
      </c>
      <c r="I159" s="7"/>
      <c r="J159" s="6" t="s">
        <v>49</v>
      </c>
      <c r="K159" s="9" t="s">
        <v>49</v>
      </c>
      <c r="L159" s="9" t="s">
        <v>49</v>
      </c>
      <c r="M159" s="12"/>
      <c r="N159" s="12"/>
      <c r="O159" s="10">
        <v>43525</v>
      </c>
      <c r="P159" s="9" t="s">
        <v>49</v>
      </c>
      <c r="Q159" s="9" t="s">
        <v>49</v>
      </c>
      <c r="R159" s="12"/>
      <c r="S159" s="12"/>
      <c r="T159" s="12"/>
      <c r="U159" s="12"/>
      <c r="V159" s="9" t="s">
        <v>49</v>
      </c>
      <c r="W159" s="9" t="s">
        <v>49</v>
      </c>
      <c r="X159" s="8"/>
      <c r="Y159" s="8"/>
      <c r="Z159" s="12"/>
      <c r="AA159" s="8"/>
      <c r="AB159" s="12"/>
      <c r="AC159" s="12"/>
      <c r="AD159" s="12"/>
      <c r="AE159" s="12"/>
      <c r="AF159" s="8"/>
      <c r="AG159" s="12"/>
      <c r="AH159" s="7" t="s">
        <v>57</v>
      </c>
      <c r="AI159" s="6" t="s">
        <v>71</v>
      </c>
      <c r="AJ159" s="6" t="s">
        <v>49</v>
      </c>
      <c r="AK159" s="6" t="s">
        <v>49</v>
      </c>
      <c r="AL159" s="9" t="s">
        <v>343</v>
      </c>
      <c r="AM159" s="9" t="s">
        <v>49</v>
      </c>
      <c r="AN159" s="6" t="s">
        <v>96</v>
      </c>
      <c r="AO159" s="9" t="s">
        <v>49</v>
      </c>
      <c r="AP159" s="11">
        <v>7248.8885899999996</v>
      </c>
      <c r="AQ159" s="11">
        <v>0</v>
      </c>
      <c r="AR159" s="11">
        <v>0</v>
      </c>
      <c r="AS159" s="11">
        <v>41681.266040000002</v>
      </c>
      <c r="AT159" s="11">
        <v>0</v>
      </c>
      <c r="AU159" s="11">
        <v>0</v>
      </c>
      <c r="AV159" s="11">
        <v>0</v>
      </c>
    </row>
    <row r="160" spans="1:50" ht="13.5" customHeight="1">
      <c r="A160" s="46">
        <v>432</v>
      </c>
      <c r="B160" s="47" t="s">
        <v>878</v>
      </c>
      <c r="C160" s="47" t="s">
        <v>81</v>
      </c>
      <c r="D160" s="6">
        <v>12527</v>
      </c>
      <c r="E160" s="6" t="s">
        <v>879</v>
      </c>
      <c r="F160" s="6">
        <v>0</v>
      </c>
      <c r="G160" s="8"/>
      <c r="H160" s="47" t="s">
        <v>88</v>
      </c>
      <c r="I160" s="47" t="s">
        <v>147</v>
      </c>
      <c r="J160" s="46" t="s">
        <v>75</v>
      </c>
      <c r="K160" s="48" t="s">
        <v>89</v>
      </c>
      <c r="L160" s="9" t="s">
        <v>73</v>
      </c>
      <c r="M160" s="72">
        <v>1000</v>
      </c>
      <c r="N160" s="10">
        <v>42933</v>
      </c>
      <c r="O160" s="10">
        <v>43980</v>
      </c>
      <c r="P160" s="9" t="s">
        <v>878</v>
      </c>
      <c r="Q160" s="9" t="s">
        <v>107</v>
      </c>
      <c r="R160" s="46">
        <v>9.19</v>
      </c>
      <c r="S160" s="46">
        <v>34.5</v>
      </c>
      <c r="T160" s="6">
        <v>46.7</v>
      </c>
      <c r="U160" s="46">
        <v>3.8</v>
      </c>
      <c r="V160" s="48" t="s">
        <v>880</v>
      </c>
      <c r="W160" s="9" t="s">
        <v>49</v>
      </c>
      <c r="X160" s="38">
        <v>1</v>
      </c>
      <c r="Y160" s="8"/>
      <c r="Z160" s="68"/>
      <c r="AA160" s="8"/>
      <c r="AB160" s="6">
        <v>1</v>
      </c>
      <c r="AC160" s="8"/>
      <c r="AD160" s="6">
        <v>1</v>
      </c>
      <c r="AE160" s="6">
        <v>0.8</v>
      </c>
      <c r="AF160" s="8"/>
      <c r="AG160" s="6">
        <v>0.8</v>
      </c>
      <c r="AH160" s="7" t="s">
        <v>51</v>
      </c>
      <c r="AI160" s="6" t="s">
        <v>49</v>
      </c>
      <c r="AJ160" s="6" t="s">
        <v>49</v>
      </c>
      <c r="AK160" s="6" t="s">
        <v>49</v>
      </c>
      <c r="AL160" s="9" t="s">
        <v>49</v>
      </c>
      <c r="AM160" s="9" t="s">
        <v>274</v>
      </c>
      <c r="AN160" s="6" t="s">
        <v>73</v>
      </c>
      <c r="AO160" s="9" t="s">
        <v>201</v>
      </c>
      <c r="AP160" s="11">
        <v>239.63751000000002</v>
      </c>
      <c r="AQ160" s="11">
        <v>361371.39</v>
      </c>
      <c r="AR160" s="11">
        <v>361371.40125</v>
      </c>
      <c r="AS160" s="11">
        <v>1747.18434</v>
      </c>
      <c r="AT160" s="11">
        <v>997.63800000000003</v>
      </c>
      <c r="AU160" s="11">
        <v>0</v>
      </c>
      <c r="AV160" s="11" t="s">
        <v>51</v>
      </c>
      <c r="AX160" s="58" t="s">
        <v>877</v>
      </c>
    </row>
    <row r="161" spans="1:50" customFormat="1" ht="14.5" hidden="1">
      <c r="A161" s="6">
        <v>160</v>
      </c>
      <c r="B161" s="7" t="s">
        <v>405</v>
      </c>
      <c r="C161" s="7" t="s">
        <v>49</v>
      </c>
      <c r="D161" s="6">
        <v>15524</v>
      </c>
      <c r="E161" s="6" t="s">
        <v>49</v>
      </c>
      <c r="F161" s="8"/>
      <c r="G161" s="8"/>
      <c r="H161" s="7" t="s">
        <v>49</v>
      </c>
      <c r="I161" s="7"/>
      <c r="J161" s="6" t="s">
        <v>49</v>
      </c>
      <c r="K161" s="9" t="s">
        <v>49</v>
      </c>
      <c r="L161" s="9" t="s">
        <v>49</v>
      </c>
      <c r="M161" s="12"/>
      <c r="N161" s="10">
        <v>43497</v>
      </c>
      <c r="O161" s="10">
        <v>44225</v>
      </c>
      <c r="P161" s="9" t="s">
        <v>49</v>
      </c>
      <c r="Q161" s="9" t="s">
        <v>49</v>
      </c>
      <c r="R161" s="8"/>
      <c r="S161" s="8"/>
      <c r="T161" s="8"/>
      <c r="U161" s="8"/>
      <c r="V161" s="9" t="s">
        <v>49</v>
      </c>
      <c r="W161" s="9" t="s">
        <v>49</v>
      </c>
      <c r="X161" s="8"/>
      <c r="Y161" s="8"/>
      <c r="Z161" s="8"/>
      <c r="AA161" s="8"/>
      <c r="AB161" s="8"/>
      <c r="AC161" s="8"/>
      <c r="AD161" s="8"/>
      <c r="AE161" s="8"/>
      <c r="AF161" s="8"/>
      <c r="AG161" s="8"/>
      <c r="AH161" s="7" t="s">
        <v>57</v>
      </c>
      <c r="AI161" s="6" t="s">
        <v>71</v>
      </c>
      <c r="AJ161" s="6" t="s">
        <v>49</v>
      </c>
      <c r="AK161" s="6" t="s">
        <v>49</v>
      </c>
      <c r="AL161" s="9" t="s">
        <v>386</v>
      </c>
      <c r="AM161" s="9" t="s">
        <v>49</v>
      </c>
      <c r="AN161" s="6" t="s">
        <v>85</v>
      </c>
      <c r="AO161" s="9" t="s">
        <v>49</v>
      </c>
      <c r="AP161" s="11">
        <v>7248.8885899999996</v>
      </c>
      <c r="AQ161" s="11">
        <v>0</v>
      </c>
      <c r="AR161" s="11">
        <v>0</v>
      </c>
      <c r="AS161" s="11">
        <v>41681.266040000002</v>
      </c>
      <c r="AT161" s="11">
        <v>0</v>
      </c>
      <c r="AU161" s="11">
        <v>0</v>
      </c>
      <c r="AV161" s="11">
        <v>0</v>
      </c>
    </row>
    <row r="162" spans="1:50" customFormat="1" ht="14.5" hidden="1">
      <c r="A162" s="6">
        <v>161</v>
      </c>
      <c r="B162" s="7" t="s">
        <v>406</v>
      </c>
      <c r="C162" s="7" t="s">
        <v>49</v>
      </c>
      <c r="D162" s="6">
        <v>15505</v>
      </c>
      <c r="E162" s="6" t="s">
        <v>49</v>
      </c>
      <c r="F162" s="8"/>
      <c r="G162" s="8"/>
      <c r="H162" s="7" t="s">
        <v>49</v>
      </c>
      <c r="I162" s="7"/>
      <c r="J162" s="6" t="s">
        <v>49</v>
      </c>
      <c r="K162" s="9" t="s">
        <v>49</v>
      </c>
      <c r="L162" s="9" t="s">
        <v>49</v>
      </c>
      <c r="M162" s="12"/>
      <c r="N162" s="8"/>
      <c r="O162" s="10">
        <v>43525</v>
      </c>
      <c r="P162" s="9" t="s">
        <v>49</v>
      </c>
      <c r="Q162" s="9" t="s">
        <v>49</v>
      </c>
      <c r="R162" s="8"/>
      <c r="S162" s="8"/>
      <c r="T162" s="8"/>
      <c r="U162" s="8"/>
      <c r="V162" s="9" t="s">
        <v>49</v>
      </c>
      <c r="W162" s="9" t="s">
        <v>49</v>
      </c>
      <c r="X162" s="8"/>
      <c r="Y162" s="8"/>
      <c r="Z162" s="8"/>
      <c r="AA162" s="8"/>
      <c r="AB162" s="8"/>
      <c r="AC162" s="8"/>
      <c r="AD162" s="8"/>
      <c r="AE162" s="8"/>
      <c r="AF162" s="8"/>
      <c r="AG162" s="8"/>
      <c r="AH162" s="7" t="s">
        <v>57</v>
      </c>
      <c r="AI162" s="6" t="s">
        <v>71</v>
      </c>
      <c r="AJ162" s="6" t="s">
        <v>49</v>
      </c>
      <c r="AK162" s="6" t="s">
        <v>49</v>
      </c>
      <c r="AL162" s="9" t="s">
        <v>52</v>
      </c>
      <c r="AM162" s="9" t="s">
        <v>49</v>
      </c>
      <c r="AN162" s="6" t="s">
        <v>85</v>
      </c>
      <c r="AO162" s="9" t="s">
        <v>49</v>
      </c>
      <c r="AP162" s="11">
        <v>7248.8885899999996</v>
      </c>
      <c r="AQ162" s="11">
        <v>0</v>
      </c>
      <c r="AR162" s="11">
        <v>0</v>
      </c>
      <c r="AS162" s="11">
        <v>41681.266040000002</v>
      </c>
      <c r="AT162" s="11">
        <v>0</v>
      </c>
      <c r="AU162" s="11">
        <v>0</v>
      </c>
      <c r="AV162" s="11">
        <v>0</v>
      </c>
    </row>
    <row r="163" spans="1:50" customFormat="1" ht="14.5" hidden="1">
      <c r="A163" s="6">
        <v>162</v>
      </c>
      <c r="B163" s="7" t="s">
        <v>406</v>
      </c>
      <c r="C163" s="7" t="s">
        <v>49</v>
      </c>
      <c r="D163" s="6">
        <v>15505</v>
      </c>
      <c r="E163" s="6" t="s">
        <v>407</v>
      </c>
      <c r="F163" s="8"/>
      <c r="G163" s="8"/>
      <c r="H163" s="7" t="s">
        <v>245</v>
      </c>
      <c r="I163" s="7"/>
      <c r="J163" s="6" t="s">
        <v>75</v>
      </c>
      <c r="K163" s="9" t="s">
        <v>89</v>
      </c>
      <c r="L163" s="9" t="s">
        <v>49</v>
      </c>
      <c r="M163" s="12"/>
      <c r="N163" s="8"/>
      <c r="O163" s="10">
        <v>43525</v>
      </c>
      <c r="P163" s="9" t="s">
        <v>49</v>
      </c>
      <c r="Q163" s="9" t="s">
        <v>49</v>
      </c>
      <c r="R163" s="8"/>
      <c r="S163" s="8"/>
      <c r="T163" s="8"/>
      <c r="U163" s="8"/>
      <c r="V163" s="9" t="s">
        <v>49</v>
      </c>
      <c r="W163" s="9" t="s">
        <v>49</v>
      </c>
      <c r="X163" s="8"/>
      <c r="Y163" s="8"/>
      <c r="Z163" s="8"/>
      <c r="AA163" s="6">
        <v>0.33</v>
      </c>
      <c r="AB163" s="6">
        <v>0.33</v>
      </c>
      <c r="AC163" s="8"/>
      <c r="AD163" s="6">
        <v>0.33</v>
      </c>
      <c r="AE163" s="8"/>
      <c r="AF163" s="6">
        <v>0.16500000000000001</v>
      </c>
      <c r="AG163" s="6">
        <v>0.16500000000000001</v>
      </c>
      <c r="AH163" s="7" t="s">
        <v>57</v>
      </c>
      <c r="AI163" s="6" t="s">
        <v>49</v>
      </c>
      <c r="AJ163" s="6" t="s">
        <v>49</v>
      </c>
      <c r="AK163" s="6" t="s">
        <v>49</v>
      </c>
      <c r="AL163" s="9" t="s">
        <v>49</v>
      </c>
      <c r="AM163" s="9" t="s">
        <v>213</v>
      </c>
      <c r="AN163" s="6" t="s">
        <v>49</v>
      </c>
      <c r="AO163" s="9" t="s">
        <v>213</v>
      </c>
      <c r="AP163" s="11">
        <v>0</v>
      </c>
      <c r="AQ163" s="11">
        <v>0</v>
      </c>
      <c r="AR163" s="11">
        <v>0</v>
      </c>
      <c r="AS163" s="11">
        <v>0</v>
      </c>
      <c r="AT163" s="11">
        <v>330</v>
      </c>
      <c r="AU163" s="11">
        <v>0</v>
      </c>
      <c r="AV163" s="11" t="s">
        <v>57</v>
      </c>
    </row>
    <row r="164" spans="1:50" customFormat="1" ht="14.5" hidden="1">
      <c r="A164" s="6">
        <v>163</v>
      </c>
      <c r="B164" s="7" t="s">
        <v>408</v>
      </c>
      <c r="C164" s="7" t="s">
        <v>49</v>
      </c>
      <c r="D164" s="6">
        <v>15492</v>
      </c>
      <c r="E164" s="6" t="s">
        <v>409</v>
      </c>
      <c r="F164" s="8"/>
      <c r="G164" s="8"/>
      <c r="H164" s="7" t="s">
        <v>49</v>
      </c>
      <c r="I164" s="7"/>
      <c r="J164" s="6" t="s">
        <v>49</v>
      </c>
      <c r="K164" s="9" t="s">
        <v>49</v>
      </c>
      <c r="L164" s="9" t="s">
        <v>49</v>
      </c>
      <c r="M164" s="8"/>
      <c r="N164" s="12"/>
      <c r="O164" s="10">
        <v>43525</v>
      </c>
      <c r="P164" s="9" t="s">
        <v>49</v>
      </c>
      <c r="Q164" s="9" t="s">
        <v>49</v>
      </c>
      <c r="R164" s="8"/>
      <c r="S164" s="8"/>
      <c r="T164" s="8"/>
      <c r="U164" s="8"/>
      <c r="V164" s="9" t="s">
        <v>49</v>
      </c>
      <c r="W164" s="9" t="s">
        <v>49</v>
      </c>
      <c r="X164" s="8"/>
      <c r="Y164" s="8"/>
      <c r="Z164" s="8"/>
      <c r="AA164" s="8"/>
      <c r="AB164" s="8"/>
      <c r="AC164" s="8"/>
      <c r="AD164" s="8"/>
      <c r="AE164" s="8"/>
      <c r="AF164" s="8"/>
      <c r="AG164" s="8"/>
      <c r="AH164" s="7" t="s">
        <v>57</v>
      </c>
      <c r="AI164" s="6" t="s">
        <v>49</v>
      </c>
      <c r="AJ164" s="6" t="s">
        <v>49</v>
      </c>
      <c r="AK164" s="6" t="s">
        <v>49</v>
      </c>
      <c r="AL164" s="9" t="s">
        <v>49</v>
      </c>
      <c r="AM164" s="9" t="s">
        <v>213</v>
      </c>
      <c r="AN164" s="6" t="s">
        <v>49</v>
      </c>
      <c r="AO164" s="9" t="s">
        <v>201</v>
      </c>
      <c r="AP164" s="11">
        <v>0</v>
      </c>
      <c r="AQ164" s="11">
        <v>0</v>
      </c>
      <c r="AR164" s="11">
        <v>0</v>
      </c>
      <c r="AS164" s="11">
        <v>0</v>
      </c>
      <c r="AT164" s="11">
        <v>0</v>
      </c>
      <c r="AU164" s="11">
        <v>0</v>
      </c>
      <c r="AV164" s="11" t="s">
        <v>57</v>
      </c>
    </row>
    <row r="165" spans="1:50" customFormat="1" ht="14.5" hidden="1">
      <c r="A165" s="6">
        <v>164</v>
      </c>
      <c r="B165" s="7" t="s">
        <v>410</v>
      </c>
      <c r="C165" s="7" t="s">
        <v>49</v>
      </c>
      <c r="D165" s="6">
        <v>15492</v>
      </c>
      <c r="E165" s="6" t="s">
        <v>49</v>
      </c>
      <c r="F165" s="8"/>
      <c r="G165" s="8"/>
      <c r="H165" s="7" t="s">
        <v>49</v>
      </c>
      <c r="I165" s="7"/>
      <c r="J165" s="6" t="s">
        <v>49</v>
      </c>
      <c r="K165" s="9" t="s">
        <v>49</v>
      </c>
      <c r="L165" s="9" t="s">
        <v>49</v>
      </c>
      <c r="M165" s="8"/>
      <c r="N165" s="8"/>
      <c r="O165" s="10">
        <v>43525</v>
      </c>
      <c r="P165" s="9" t="s">
        <v>49</v>
      </c>
      <c r="Q165" s="9" t="s">
        <v>49</v>
      </c>
      <c r="R165" s="8"/>
      <c r="S165" s="8"/>
      <c r="T165" s="8"/>
      <c r="U165" s="8"/>
      <c r="V165" s="9" t="s">
        <v>49</v>
      </c>
      <c r="W165" s="9" t="s">
        <v>49</v>
      </c>
      <c r="X165" s="8"/>
      <c r="Y165" s="8"/>
      <c r="Z165" s="8"/>
      <c r="AA165" s="8"/>
      <c r="AB165" s="8"/>
      <c r="AC165" s="8"/>
      <c r="AD165" s="8"/>
      <c r="AE165" s="8"/>
      <c r="AF165" s="8"/>
      <c r="AG165" s="8"/>
      <c r="AH165" s="7" t="s">
        <v>57</v>
      </c>
      <c r="AI165" s="6" t="s">
        <v>71</v>
      </c>
      <c r="AJ165" s="6" t="s">
        <v>49</v>
      </c>
      <c r="AK165" s="6" t="s">
        <v>49</v>
      </c>
      <c r="AL165" s="9" t="s">
        <v>52</v>
      </c>
      <c r="AM165" s="9" t="s">
        <v>49</v>
      </c>
      <c r="AN165" s="6" t="s">
        <v>85</v>
      </c>
      <c r="AO165" s="9" t="s">
        <v>49</v>
      </c>
      <c r="AP165" s="11">
        <v>7248.8885899999996</v>
      </c>
      <c r="AQ165" s="11">
        <v>0</v>
      </c>
      <c r="AR165" s="11">
        <v>0</v>
      </c>
      <c r="AS165" s="11">
        <v>41681.266040000002</v>
      </c>
      <c r="AT165" s="11">
        <v>0</v>
      </c>
      <c r="AU165" s="11">
        <v>0</v>
      </c>
      <c r="AV165" s="11">
        <v>0</v>
      </c>
    </row>
    <row r="166" spans="1:50" customFormat="1" ht="14.5" hidden="1">
      <c r="A166" s="6">
        <v>165</v>
      </c>
      <c r="B166" s="7" t="s">
        <v>411</v>
      </c>
      <c r="C166" s="7" t="s">
        <v>49</v>
      </c>
      <c r="D166" s="6">
        <v>15503</v>
      </c>
      <c r="E166" s="6" t="s">
        <v>49</v>
      </c>
      <c r="F166" s="8"/>
      <c r="G166" s="8"/>
      <c r="H166" s="7" t="s">
        <v>49</v>
      </c>
      <c r="I166" s="7"/>
      <c r="J166" s="6" t="s">
        <v>49</v>
      </c>
      <c r="K166" s="9" t="s">
        <v>49</v>
      </c>
      <c r="L166" s="9" t="s">
        <v>49</v>
      </c>
      <c r="M166" s="8"/>
      <c r="N166" s="10">
        <v>43556</v>
      </c>
      <c r="O166" s="10">
        <v>43860</v>
      </c>
      <c r="P166" s="9" t="s">
        <v>49</v>
      </c>
      <c r="Q166" s="9" t="s">
        <v>49</v>
      </c>
      <c r="R166" s="8"/>
      <c r="S166" s="8"/>
      <c r="T166" s="8"/>
      <c r="U166" s="8"/>
      <c r="V166" s="9" t="s">
        <v>49</v>
      </c>
      <c r="W166" s="9" t="s">
        <v>49</v>
      </c>
      <c r="X166" s="8"/>
      <c r="Y166" s="8"/>
      <c r="Z166" s="8"/>
      <c r="AA166" s="8"/>
      <c r="AB166" s="8"/>
      <c r="AC166" s="8"/>
      <c r="AD166" s="8"/>
      <c r="AE166" s="8"/>
      <c r="AF166" s="8"/>
      <c r="AG166" s="8"/>
      <c r="AH166" s="7" t="s">
        <v>57</v>
      </c>
      <c r="AI166" s="6" t="s">
        <v>71</v>
      </c>
      <c r="AJ166" s="6" t="s">
        <v>49</v>
      </c>
      <c r="AK166" s="6" t="s">
        <v>49</v>
      </c>
      <c r="AL166" s="9" t="s">
        <v>52</v>
      </c>
      <c r="AM166" s="9" t="s">
        <v>49</v>
      </c>
      <c r="AN166" s="6" t="s">
        <v>85</v>
      </c>
      <c r="AO166" s="9" t="s">
        <v>49</v>
      </c>
      <c r="AP166" s="11">
        <v>7248.8885899999996</v>
      </c>
      <c r="AQ166" s="11">
        <v>0</v>
      </c>
      <c r="AR166" s="11">
        <v>0</v>
      </c>
      <c r="AS166" s="11">
        <v>41681.266040000002</v>
      </c>
      <c r="AT166" s="11">
        <v>0</v>
      </c>
      <c r="AU166" s="11">
        <v>0</v>
      </c>
      <c r="AV166" s="11">
        <v>0</v>
      </c>
    </row>
    <row r="167" spans="1:50" customFormat="1" ht="14.5" hidden="1">
      <c r="A167" s="6">
        <v>166</v>
      </c>
      <c r="B167" s="7" t="s">
        <v>411</v>
      </c>
      <c r="C167" s="7" t="s">
        <v>49</v>
      </c>
      <c r="D167" s="6">
        <v>15503</v>
      </c>
      <c r="E167" s="6" t="s">
        <v>412</v>
      </c>
      <c r="F167" s="8"/>
      <c r="G167" s="8"/>
      <c r="H167" s="7" t="s">
        <v>49</v>
      </c>
      <c r="I167" s="7"/>
      <c r="J167" s="6" t="s">
        <v>49</v>
      </c>
      <c r="K167" s="9" t="s">
        <v>49</v>
      </c>
      <c r="L167" s="9" t="s">
        <v>49</v>
      </c>
      <c r="M167" s="8"/>
      <c r="N167" s="10">
        <v>43556</v>
      </c>
      <c r="O167" s="10">
        <v>43860</v>
      </c>
      <c r="P167" s="9" t="s">
        <v>49</v>
      </c>
      <c r="Q167" s="9" t="s">
        <v>49</v>
      </c>
      <c r="R167" s="8"/>
      <c r="S167" s="8"/>
      <c r="T167" s="8"/>
      <c r="U167" s="8"/>
      <c r="V167" s="9" t="s">
        <v>49</v>
      </c>
      <c r="W167" s="9" t="s">
        <v>49</v>
      </c>
      <c r="X167" s="8"/>
      <c r="Y167" s="8"/>
      <c r="Z167" s="8"/>
      <c r="AA167" s="12"/>
      <c r="AB167" s="12"/>
      <c r="AC167" s="8"/>
      <c r="AD167" s="12"/>
      <c r="AE167" s="8"/>
      <c r="AF167" s="12"/>
      <c r="AG167" s="12"/>
      <c r="AH167" s="7" t="s">
        <v>57</v>
      </c>
      <c r="AI167" s="6" t="s">
        <v>49</v>
      </c>
      <c r="AJ167" s="6" t="s">
        <v>49</v>
      </c>
      <c r="AK167" s="6" t="s">
        <v>49</v>
      </c>
      <c r="AL167" s="9" t="s">
        <v>49</v>
      </c>
      <c r="AM167" s="9" t="s">
        <v>200</v>
      </c>
      <c r="AN167" s="6" t="s">
        <v>49</v>
      </c>
      <c r="AO167" s="9" t="s">
        <v>201</v>
      </c>
      <c r="AP167" s="11">
        <v>0</v>
      </c>
      <c r="AQ167" s="11">
        <v>0</v>
      </c>
      <c r="AR167" s="11">
        <v>0</v>
      </c>
      <c r="AS167" s="11">
        <v>0</v>
      </c>
      <c r="AT167" s="11">
        <v>487.63799999999998</v>
      </c>
      <c r="AU167" s="11">
        <v>0</v>
      </c>
      <c r="AV167" s="11" t="s">
        <v>57</v>
      </c>
    </row>
    <row r="168" spans="1:50" customFormat="1" ht="14.5" hidden="1">
      <c r="A168" s="6">
        <v>167</v>
      </c>
      <c r="B168" s="7" t="s">
        <v>413</v>
      </c>
      <c r="C168" s="7" t="s">
        <v>49</v>
      </c>
      <c r="D168" s="6">
        <v>15342</v>
      </c>
      <c r="E168" s="6" t="s">
        <v>49</v>
      </c>
      <c r="F168" s="8"/>
      <c r="G168" s="8"/>
      <c r="H168" s="7" t="s">
        <v>49</v>
      </c>
      <c r="I168" s="7"/>
      <c r="J168" s="6" t="s">
        <v>49</v>
      </c>
      <c r="K168" s="9" t="s">
        <v>49</v>
      </c>
      <c r="L168" s="9" t="s">
        <v>49</v>
      </c>
      <c r="M168" s="8"/>
      <c r="N168" s="10">
        <v>43313</v>
      </c>
      <c r="O168" s="10">
        <v>43921</v>
      </c>
      <c r="P168" s="9" t="s">
        <v>49</v>
      </c>
      <c r="Q168" s="9" t="s">
        <v>49</v>
      </c>
      <c r="R168" s="8"/>
      <c r="S168" s="8"/>
      <c r="T168" s="8"/>
      <c r="U168" s="8"/>
      <c r="V168" s="9" t="s">
        <v>49</v>
      </c>
      <c r="W168" s="9" t="s">
        <v>49</v>
      </c>
      <c r="X168" s="8"/>
      <c r="Y168" s="8"/>
      <c r="Z168" s="8"/>
      <c r="AA168" s="8"/>
      <c r="AB168" s="8"/>
      <c r="AC168" s="8"/>
      <c r="AD168" s="8"/>
      <c r="AE168" s="8"/>
      <c r="AF168" s="8"/>
      <c r="AG168" s="8"/>
      <c r="AH168" s="7" t="s">
        <v>57</v>
      </c>
      <c r="AI168" s="6" t="s">
        <v>71</v>
      </c>
      <c r="AJ168" s="6" t="s">
        <v>49</v>
      </c>
      <c r="AK168" s="6" t="s">
        <v>49</v>
      </c>
      <c r="AL168" s="9" t="s">
        <v>414</v>
      </c>
      <c r="AM168" s="9" t="s">
        <v>49</v>
      </c>
      <c r="AN168" s="6" t="s">
        <v>82</v>
      </c>
      <c r="AO168" s="9" t="s">
        <v>49</v>
      </c>
      <c r="AP168" s="11">
        <v>7248.8885899999996</v>
      </c>
      <c r="AQ168" s="11">
        <v>0</v>
      </c>
      <c r="AR168" s="11">
        <v>0</v>
      </c>
      <c r="AS168" s="11">
        <v>41681.266040000002</v>
      </c>
      <c r="AT168" s="11">
        <v>0</v>
      </c>
      <c r="AU168" s="11">
        <v>0</v>
      </c>
      <c r="AV168" s="11">
        <v>0</v>
      </c>
    </row>
    <row r="169" spans="1:50" ht="13.5" hidden="1" customHeight="1">
      <c r="A169" s="46">
        <v>168</v>
      </c>
      <c r="B169" s="57" t="s">
        <v>415</v>
      </c>
      <c r="C169" s="47" t="s">
        <v>81</v>
      </c>
      <c r="D169" s="6">
        <v>15342</v>
      </c>
      <c r="E169" s="6" t="s">
        <v>416</v>
      </c>
      <c r="F169" s="6">
        <v>83342</v>
      </c>
      <c r="G169" s="8"/>
      <c r="H169" s="47" t="s">
        <v>88</v>
      </c>
      <c r="I169" s="57" t="s">
        <v>266</v>
      </c>
      <c r="J169" s="46" t="s">
        <v>75</v>
      </c>
      <c r="K169" s="48" t="s">
        <v>76</v>
      </c>
      <c r="L169" s="9" t="s">
        <v>218</v>
      </c>
      <c r="M169" s="6">
        <v>0</v>
      </c>
      <c r="N169" s="10">
        <v>43543</v>
      </c>
      <c r="O169" s="10">
        <v>43921</v>
      </c>
      <c r="P169" s="9" t="s">
        <v>49</v>
      </c>
      <c r="Q169" s="9" t="s">
        <v>49</v>
      </c>
      <c r="R169" s="46">
        <v>2.11</v>
      </c>
      <c r="S169" s="46">
        <v>7.3</v>
      </c>
      <c r="T169" s="6">
        <v>10</v>
      </c>
      <c r="U169" s="46">
        <v>3.5</v>
      </c>
      <c r="V169" s="48" t="s">
        <v>417</v>
      </c>
      <c r="W169" s="9" t="s">
        <v>108</v>
      </c>
      <c r="X169" s="8"/>
      <c r="Y169" s="8"/>
      <c r="Z169" s="8"/>
      <c r="AA169" s="6">
        <v>1.988</v>
      </c>
      <c r="AB169" s="6">
        <v>1.988</v>
      </c>
      <c r="AC169" s="8"/>
      <c r="AD169" s="6">
        <v>1.988</v>
      </c>
      <c r="AE169" s="8"/>
      <c r="AF169" s="6">
        <v>0.99399999999999999</v>
      </c>
      <c r="AG169" s="6">
        <v>0.99399999999999999</v>
      </c>
      <c r="AH169" s="7" t="s">
        <v>57</v>
      </c>
      <c r="AI169" s="6" t="s">
        <v>49</v>
      </c>
      <c r="AJ169" s="6" t="s">
        <v>49</v>
      </c>
      <c r="AK169" s="6" t="s">
        <v>49</v>
      </c>
      <c r="AL169" s="9" t="s">
        <v>49</v>
      </c>
      <c r="AM169" s="9" t="s">
        <v>52</v>
      </c>
      <c r="AN169" s="6" t="s">
        <v>218</v>
      </c>
      <c r="AO169" s="9" t="s">
        <v>52</v>
      </c>
      <c r="AP169" s="11">
        <v>0</v>
      </c>
      <c r="AQ169" s="11">
        <v>0</v>
      </c>
      <c r="AR169" s="11">
        <v>0</v>
      </c>
      <c r="AS169" s="11">
        <v>0</v>
      </c>
      <c r="AT169" s="11">
        <v>0</v>
      </c>
      <c r="AU169" s="11">
        <v>0</v>
      </c>
      <c r="AV169" s="11" t="s">
        <v>57</v>
      </c>
    </row>
    <row r="170" spans="1:50" customFormat="1" ht="14.5" hidden="1">
      <c r="A170" s="6">
        <v>169</v>
      </c>
      <c r="B170" s="7" t="s">
        <v>418</v>
      </c>
      <c r="C170" s="7" t="s">
        <v>81</v>
      </c>
      <c r="D170" s="6">
        <v>15342</v>
      </c>
      <c r="E170" s="6" t="s">
        <v>419</v>
      </c>
      <c r="F170" s="8"/>
      <c r="G170" s="8"/>
      <c r="H170" s="7" t="s">
        <v>49</v>
      </c>
      <c r="I170" s="7"/>
      <c r="J170" s="6" t="s">
        <v>49</v>
      </c>
      <c r="K170" s="9" t="s">
        <v>49</v>
      </c>
      <c r="L170" s="9" t="s">
        <v>49</v>
      </c>
      <c r="M170" s="8"/>
      <c r="N170" s="10">
        <v>43313</v>
      </c>
      <c r="O170" s="10">
        <v>43832</v>
      </c>
      <c r="P170" s="9" t="s">
        <v>49</v>
      </c>
      <c r="Q170" s="9" t="s">
        <v>49</v>
      </c>
      <c r="R170" s="8"/>
      <c r="S170" s="8"/>
      <c r="T170" s="8"/>
      <c r="U170" s="8"/>
      <c r="V170" s="9" t="s">
        <v>49</v>
      </c>
      <c r="W170" s="9" t="s">
        <v>49</v>
      </c>
      <c r="X170" s="8"/>
      <c r="Y170" s="8"/>
      <c r="Z170" s="8"/>
      <c r="AA170" s="8"/>
      <c r="AB170" s="8"/>
      <c r="AC170" s="8"/>
      <c r="AD170" s="8"/>
      <c r="AE170" s="8"/>
      <c r="AF170" s="8"/>
      <c r="AG170" s="8"/>
      <c r="AH170" s="7" t="s">
        <v>51</v>
      </c>
      <c r="AI170" s="6" t="s">
        <v>49</v>
      </c>
      <c r="AJ170" s="6" t="s">
        <v>49</v>
      </c>
      <c r="AK170" s="6" t="s">
        <v>49</v>
      </c>
      <c r="AL170" s="9" t="s">
        <v>49</v>
      </c>
      <c r="AM170" s="9" t="s">
        <v>420</v>
      </c>
      <c r="AN170" s="6" t="s">
        <v>49</v>
      </c>
      <c r="AO170" s="9" t="s">
        <v>201</v>
      </c>
      <c r="AP170" s="11">
        <v>32.925599999999996</v>
      </c>
      <c r="AQ170" s="11">
        <v>51257.29</v>
      </c>
      <c r="AR170" s="11">
        <v>51257.301250000011</v>
      </c>
      <c r="AS170" s="11">
        <v>196.41192999999998</v>
      </c>
      <c r="AT170" s="11">
        <v>51.257289999999998</v>
      </c>
      <c r="AU170" s="11">
        <v>0</v>
      </c>
      <c r="AV170" s="11" t="s">
        <v>51</v>
      </c>
    </row>
    <row r="171" spans="1:50" ht="13.5" customHeight="1">
      <c r="A171" s="46">
        <v>82</v>
      </c>
      <c r="B171" s="47" t="s">
        <v>254</v>
      </c>
      <c r="C171" s="47" t="s">
        <v>81</v>
      </c>
      <c r="D171" s="6">
        <v>15390</v>
      </c>
      <c r="E171" s="6" t="s">
        <v>257</v>
      </c>
      <c r="F171" s="6">
        <v>83397</v>
      </c>
      <c r="G171" s="8"/>
      <c r="H171" s="47" t="s">
        <v>88</v>
      </c>
      <c r="I171" s="47" t="s">
        <v>255</v>
      </c>
      <c r="J171" s="46" t="s">
        <v>105</v>
      </c>
      <c r="K171" s="48" t="s">
        <v>76</v>
      </c>
      <c r="L171" s="9" t="s">
        <v>73</v>
      </c>
      <c r="M171" s="17">
        <v>8811</v>
      </c>
      <c r="N171" s="10">
        <v>43313</v>
      </c>
      <c r="O171" s="10">
        <v>44196</v>
      </c>
      <c r="P171" s="9" t="s">
        <v>254</v>
      </c>
      <c r="Q171" s="9" t="s">
        <v>258</v>
      </c>
      <c r="R171" s="65">
        <v>8.3800000000000008</v>
      </c>
      <c r="S171" s="65">
        <v>677.4</v>
      </c>
      <c r="T171" s="38">
        <v>5140.5</v>
      </c>
      <c r="U171" s="46">
        <v>141</v>
      </c>
      <c r="V171" s="48" t="s">
        <v>259</v>
      </c>
      <c r="W171" s="9" t="s">
        <v>49</v>
      </c>
      <c r="X171" s="38">
        <v>5.0359999999999996</v>
      </c>
      <c r="Y171" s="8"/>
      <c r="Z171" s="38">
        <v>3.7749999999999999</v>
      </c>
      <c r="AA171" s="8"/>
      <c r="AB171" s="38">
        <v>8.8109999999999999</v>
      </c>
      <c r="AC171" s="38">
        <v>16</v>
      </c>
      <c r="AD171" s="38">
        <v>24.811</v>
      </c>
      <c r="AE171" s="38">
        <v>7.0490000000000004</v>
      </c>
      <c r="AF171" s="8"/>
      <c r="AG171" s="38">
        <v>7.0490000000000004</v>
      </c>
      <c r="AH171" s="7" t="s">
        <v>51</v>
      </c>
      <c r="AI171" s="6" t="s">
        <v>49</v>
      </c>
      <c r="AJ171" s="6" t="s">
        <v>49</v>
      </c>
      <c r="AK171" s="6" t="s">
        <v>49</v>
      </c>
      <c r="AL171" s="9" t="s">
        <v>49</v>
      </c>
      <c r="AM171" s="9" t="s">
        <v>256</v>
      </c>
      <c r="AN171" s="6" t="s">
        <v>73</v>
      </c>
      <c r="AO171" s="9" t="s">
        <v>242</v>
      </c>
      <c r="AP171" s="11">
        <v>4232.2445399999997</v>
      </c>
      <c r="AQ171" s="11">
        <v>6340689.9199999999</v>
      </c>
      <c r="AR171" s="11">
        <v>6340689.925416667</v>
      </c>
      <c r="AS171" s="11">
        <v>10781.221589999999</v>
      </c>
      <c r="AT171" s="11">
        <v>12948.939920000001</v>
      </c>
      <c r="AU171" s="11"/>
      <c r="AV171" s="11" t="s">
        <v>51</v>
      </c>
      <c r="AX171" s="58" t="s">
        <v>254</v>
      </c>
    </row>
    <row r="172" spans="1:50" ht="13.5" hidden="1" customHeight="1">
      <c r="A172" s="46">
        <v>171</v>
      </c>
      <c r="B172" s="57" t="s">
        <v>425</v>
      </c>
      <c r="C172" s="47" t="s">
        <v>86</v>
      </c>
      <c r="D172" s="6">
        <v>12497</v>
      </c>
      <c r="E172" s="6" t="s">
        <v>426</v>
      </c>
      <c r="F172" s="6">
        <v>83164</v>
      </c>
      <c r="G172" s="8"/>
      <c r="H172" s="57" t="s">
        <v>245</v>
      </c>
      <c r="I172" s="47"/>
      <c r="J172" s="46" t="s">
        <v>75</v>
      </c>
      <c r="K172" s="48" t="s">
        <v>89</v>
      </c>
      <c r="L172" s="9" t="s">
        <v>218</v>
      </c>
      <c r="M172" s="8"/>
      <c r="N172" s="12"/>
      <c r="O172" s="10">
        <v>44012</v>
      </c>
      <c r="P172" s="9" t="s">
        <v>49</v>
      </c>
      <c r="Q172" s="9" t="s">
        <v>49</v>
      </c>
      <c r="R172" s="46">
        <v>6.56</v>
      </c>
      <c r="S172" s="46">
        <v>21.3</v>
      </c>
      <c r="T172" s="6">
        <v>41.1</v>
      </c>
      <c r="U172" s="46">
        <v>3.3</v>
      </c>
      <c r="V172" s="48" t="s">
        <v>427</v>
      </c>
      <c r="W172" s="9" t="s">
        <v>49</v>
      </c>
      <c r="X172" s="8"/>
      <c r="Y172" s="8"/>
      <c r="Z172" s="8"/>
      <c r="AA172" s="6">
        <v>1.25</v>
      </c>
      <c r="AB172" s="6">
        <v>1.25</v>
      </c>
      <c r="AC172" s="8"/>
      <c r="AD172" s="6">
        <v>1.25</v>
      </c>
      <c r="AE172" s="8"/>
      <c r="AF172" s="6">
        <v>0.625</v>
      </c>
      <c r="AG172" s="6">
        <v>0.625</v>
      </c>
      <c r="AH172" s="7" t="s">
        <v>57</v>
      </c>
      <c r="AI172" s="6" t="s">
        <v>49</v>
      </c>
      <c r="AJ172" s="6" t="s">
        <v>49</v>
      </c>
      <c r="AK172" s="6" t="s">
        <v>49</v>
      </c>
      <c r="AL172" s="9" t="s">
        <v>49</v>
      </c>
      <c r="AM172" s="9" t="s">
        <v>92</v>
      </c>
      <c r="AN172" s="6" t="s">
        <v>49</v>
      </c>
      <c r="AO172" s="9" t="s">
        <v>92</v>
      </c>
      <c r="AP172" s="11">
        <v>0</v>
      </c>
      <c r="AQ172" s="11">
        <v>0</v>
      </c>
      <c r="AR172" s="11">
        <v>0</v>
      </c>
      <c r="AS172" s="11">
        <v>0</v>
      </c>
      <c r="AT172" s="11">
        <v>0</v>
      </c>
      <c r="AU172" s="11">
        <v>0</v>
      </c>
      <c r="AV172" s="11" t="s">
        <v>57</v>
      </c>
    </row>
    <row r="173" spans="1:50" customFormat="1" ht="14.5" hidden="1">
      <c r="A173" s="6">
        <v>172</v>
      </c>
      <c r="B173" s="7" t="s">
        <v>428</v>
      </c>
      <c r="C173" s="7" t="s">
        <v>86</v>
      </c>
      <c r="D173" s="6">
        <v>12497</v>
      </c>
      <c r="E173" s="6" t="s">
        <v>49</v>
      </c>
      <c r="F173" s="8"/>
      <c r="G173" s="8"/>
      <c r="H173" s="7" t="s">
        <v>49</v>
      </c>
      <c r="I173" s="7"/>
      <c r="J173" s="6" t="s">
        <v>49</v>
      </c>
      <c r="K173" s="9" t="s">
        <v>49</v>
      </c>
      <c r="L173" s="9" t="s">
        <v>49</v>
      </c>
      <c r="M173" s="8"/>
      <c r="N173" s="10">
        <v>42968</v>
      </c>
      <c r="O173" s="10">
        <v>44012</v>
      </c>
      <c r="P173" s="9" t="s">
        <v>49</v>
      </c>
      <c r="Q173" s="9" t="s">
        <v>49</v>
      </c>
      <c r="R173" s="8"/>
      <c r="S173" s="8"/>
      <c r="T173" s="8"/>
      <c r="U173" s="8"/>
      <c r="V173" s="9" t="s">
        <v>49</v>
      </c>
      <c r="W173" s="9" t="s">
        <v>49</v>
      </c>
      <c r="X173" s="8"/>
      <c r="Y173" s="8"/>
      <c r="Z173" s="8"/>
      <c r="AA173" s="8"/>
      <c r="AB173" s="8"/>
      <c r="AC173" s="8"/>
      <c r="AD173" s="8"/>
      <c r="AE173" s="8"/>
      <c r="AF173" s="8"/>
      <c r="AG173" s="8"/>
      <c r="AH173" s="7" t="s">
        <v>51</v>
      </c>
      <c r="AI173" s="6" t="s">
        <v>71</v>
      </c>
      <c r="AJ173" s="6" t="s">
        <v>49</v>
      </c>
      <c r="AK173" s="6" t="s">
        <v>118</v>
      </c>
      <c r="AL173" s="9" t="s">
        <v>95</v>
      </c>
      <c r="AM173" s="9" t="s">
        <v>49</v>
      </c>
      <c r="AN173" s="6" t="s">
        <v>85</v>
      </c>
      <c r="AO173" s="9" t="s">
        <v>49</v>
      </c>
      <c r="AP173" s="11">
        <v>7248.8885899999996</v>
      </c>
      <c r="AQ173" s="11">
        <v>0</v>
      </c>
      <c r="AR173" s="11">
        <v>0</v>
      </c>
      <c r="AS173" s="11">
        <v>41681.266040000002</v>
      </c>
      <c r="AT173" s="11">
        <v>0</v>
      </c>
      <c r="AU173" s="11">
        <v>0</v>
      </c>
      <c r="AV173" s="11">
        <v>0</v>
      </c>
    </row>
    <row r="174" spans="1:50" customFormat="1" ht="14.5" hidden="1">
      <c r="A174" s="6">
        <v>173</v>
      </c>
      <c r="B174" s="7" t="s">
        <v>429</v>
      </c>
      <c r="C174" s="7" t="s">
        <v>49</v>
      </c>
      <c r="D174" s="6">
        <v>12497</v>
      </c>
      <c r="E174" s="6" t="s">
        <v>49</v>
      </c>
      <c r="F174" s="8"/>
      <c r="G174" s="8"/>
      <c r="H174" s="7" t="s">
        <v>49</v>
      </c>
      <c r="I174" s="7"/>
      <c r="J174" s="6" t="s">
        <v>49</v>
      </c>
      <c r="K174" s="9" t="s">
        <v>49</v>
      </c>
      <c r="L174" s="9" t="s">
        <v>49</v>
      </c>
      <c r="M174" s="8"/>
      <c r="N174" s="10">
        <v>42968</v>
      </c>
      <c r="O174" s="10">
        <v>43833</v>
      </c>
      <c r="P174" s="9" t="s">
        <v>49</v>
      </c>
      <c r="Q174" s="9" t="s">
        <v>49</v>
      </c>
      <c r="R174" s="8"/>
      <c r="S174" s="8"/>
      <c r="T174" s="8"/>
      <c r="U174" s="8"/>
      <c r="V174" s="9" t="s">
        <v>49</v>
      </c>
      <c r="W174" s="9" t="s">
        <v>49</v>
      </c>
      <c r="X174" s="8"/>
      <c r="Y174" s="8"/>
      <c r="Z174" s="8"/>
      <c r="AA174" s="8"/>
      <c r="AB174" s="8"/>
      <c r="AC174" s="8"/>
      <c r="AD174" s="8"/>
      <c r="AE174" s="8"/>
      <c r="AF174" s="8"/>
      <c r="AG174" s="8"/>
      <c r="AH174" s="7" t="s">
        <v>51</v>
      </c>
      <c r="AI174" s="6" t="s">
        <v>49</v>
      </c>
      <c r="AJ174" s="6" t="s">
        <v>49</v>
      </c>
      <c r="AK174" s="6" t="s">
        <v>49</v>
      </c>
      <c r="AL174" s="9" t="s">
        <v>49</v>
      </c>
      <c r="AM174" s="9" t="s">
        <v>95</v>
      </c>
      <c r="AN174" s="6" t="s">
        <v>49</v>
      </c>
      <c r="AO174" s="9" t="s">
        <v>49</v>
      </c>
      <c r="AP174" s="11">
        <v>7248.8885899999996</v>
      </c>
      <c r="AQ174" s="11">
        <v>0</v>
      </c>
      <c r="AR174" s="11">
        <v>0</v>
      </c>
      <c r="AS174" s="11">
        <v>41681.266040000002</v>
      </c>
      <c r="AT174" s="11">
        <v>0</v>
      </c>
      <c r="AU174" s="11">
        <v>0</v>
      </c>
      <c r="AV174" s="11">
        <v>0</v>
      </c>
    </row>
    <row r="175" spans="1:50" customFormat="1" ht="14.5" hidden="1">
      <c r="A175" s="6">
        <v>174</v>
      </c>
      <c r="B175" s="7" t="s">
        <v>430</v>
      </c>
      <c r="C175" s="7" t="s">
        <v>49</v>
      </c>
      <c r="D175" s="6">
        <v>12561</v>
      </c>
      <c r="E175" s="6" t="s">
        <v>431</v>
      </c>
      <c r="F175" s="8"/>
      <c r="G175" s="8"/>
      <c r="H175" s="7" t="s">
        <v>49</v>
      </c>
      <c r="I175" s="7"/>
      <c r="J175" s="6" t="s">
        <v>49</v>
      </c>
      <c r="K175" s="9" t="s">
        <v>49</v>
      </c>
      <c r="L175" s="9" t="s">
        <v>49</v>
      </c>
      <c r="M175" s="8"/>
      <c r="N175" s="10">
        <v>42592</v>
      </c>
      <c r="O175" s="10">
        <v>43860</v>
      </c>
      <c r="P175" s="9" t="s">
        <v>49</v>
      </c>
      <c r="Q175" s="9" t="s">
        <v>49</v>
      </c>
      <c r="R175" s="8"/>
      <c r="S175" s="8"/>
      <c r="T175" s="8"/>
      <c r="U175" s="8"/>
      <c r="V175" s="9" t="s">
        <v>49</v>
      </c>
      <c r="W175" s="9" t="s">
        <v>49</v>
      </c>
      <c r="X175" s="8"/>
      <c r="Y175" s="8"/>
      <c r="Z175" s="8"/>
      <c r="AA175" s="8"/>
      <c r="AB175" s="8"/>
      <c r="AC175" s="8"/>
      <c r="AD175" s="8"/>
      <c r="AE175" s="8"/>
      <c r="AF175" s="8"/>
      <c r="AG175" s="8"/>
      <c r="AH175" s="7" t="s">
        <v>57</v>
      </c>
      <c r="AI175" s="6" t="s">
        <v>49</v>
      </c>
      <c r="AJ175" s="6" t="s">
        <v>49</v>
      </c>
      <c r="AK175" s="6" t="s">
        <v>49</v>
      </c>
      <c r="AL175" s="9" t="s">
        <v>49</v>
      </c>
      <c r="AM175" s="9" t="s">
        <v>432</v>
      </c>
      <c r="AN175" s="6" t="s">
        <v>49</v>
      </c>
      <c r="AO175" s="9" t="s">
        <v>432</v>
      </c>
      <c r="AP175" s="11">
        <v>0</v>
      </c>
      <c r="AQ175" s="11">
        <v>0</v>
      </c>
      <c r="AR175" s="11">
        <v>0</v>
      </c>
      <c r="AS175" s="11">
        <v>124.83089</v>
      </c>
      <c r="AT175" s="11">
        <v>0</v>
      </c>
      <c r="AU175" s="11">
        <v>0</v>
      </c>
      <c r="AV175" s="11" t="s">
        <v>57</v>
      </c>
    </row>
    <row r="176" spans="1:50" customFormat="1" ht="14.5" hidden="1">
      <c r="A176" s="6">
        <v>175</v>
      </c>
      <c r="B176" s="7" t="s">
        <v>433</v>
      </c>
      <c r="C176" s="7" t="s">
        <v>49</v>
      </c>
      <c r="D176" s="6">
        <v>15062</v>
      </c>
      <c r="E176" s="6" t="s">
        <v>434</v>
      </c>
      <c r="F176" s="8"/>
      <c r="G176" s="8"/>
      <c r="H176" s="7" t="s">
        <v>49</v>
      </c>
      <c r="I176" s="7"/>
      <c r="J176" s="6" t="s">
        <v>49</v>
      </c>
      <c r="K176" s="9" t="s">
        <v>49</v>
      </c>
      <c r="L176" s="9" t="s">
        <v>49</v>
      </c>
      <c r="M176" s="8"/>
      <c r="N176" s="10">
        <v>43126</v>
      </c>
      <c r="O176" s="10">
        <v>43921</v>
      </c>
      <c r="P176" s="9" t="s">
        <v>49</v>
      </c>
      <c r="Q176" s="9" t="s">
        <v>49</v>
      </c>
      <c r="R176" s="8"/>
      <c r="S176" s="8"/>
      <c r="T176" s="8"/>
      <c r="U176" s="8"/>
      <c r="V176" s="9" t="s">
        <v>49</v>
      </c>
      <c r="W176" s="9" t="s">
        <v>49</v>
      </c>
      <c r="X176" s="8"/>
      <c r="Y176" s="8"/>
      <c r="Z176" s="8"/>
      <c r="AA176" s="8"/>
      <c r="AB176" s="8"/>
      <c r="AC176" s="8"/>
      <c r="AD176" s="8"/>
      <c r="AE176" s="8"/>
      <c r="AF176" s="8"/>
      <c r="AG176" s="8"/>
      <c r="AH176" s="7" t="s">
        <v>51</v>
      </c>
      <c r="AI176" s="6" t="s">
        <v>49</v>
      </c>
      <c r="AJ176" s="6" t="s">
        <v>49</v>
      </c>
      <c r="AK176" s="6" t="s">
        <v>49</v>
      </c>
      <c r="AL176" s="9" t="s">
        <v>49</v>
      </c>
      <c r="AM176" s="9" t="s">
        <v>435</v>
      </c>
      <c r="AN176" s="6" t="s">
        <v>49</v>
      </c>
      <c r="AO176" s="9" t="s">
        <v>435</v>
      </c>
      <c r="AP176" s="11">
        <v>0</v>
      </c>
      <c r="AQ176" s="11">
        <v>0</v>
      </c>
      <c r="AR176" s="11">
        <v>0</v>
      </c>
      <c r="AS176" s="11">
        <v>0</v>
      </c>
      <c r="AT176" s="11">
        <v>0</v>
      </c>
      <c r="AU176" s="11">
        <v>0</v>
      </c>
      <c r="AV176" s="11" t="s">
        <v>51</v>
      </c>
    </row>
    <row r="177" spans="1:48" customFormat="1" ht="14.5" hidden="1">
      <c r="A177" s="6">
        <v>176</v>
      </c>
      <c r="B177" s="7" t="s">
        <v>436</v>
      </c>
      <c r="C177" s="7" t="s">
        <v>49</v>
      </c>
      <c r="D177" s="6">
        <v>15070</v>
      </c>
      <c r="E177" s="6" t="s">
        <v>437</v>
      </c>
      <c r="F177" s="8"/>
      <c r="G177" s="8"/>
      <c r="H177" s="7" t="s">
        <v>49</v>
      </c>
      <c r="I177" s="7"/>
      <c r="J177" s="6" t="s">
        <v>49</v>
      </c>
      <c r="K177" s="9" t="s">
        <v>49</v>
      </c>
      <c r="L177" s="9" t="s">
        <v>49</v>
      </c>
      <c r="M177" s="8"/>
      <c r="N177" s="10">
        <v>42919</v>
      </c>
      <c r="O177" s="10">
        <v>43831</v>
      </c>
      <c r="P177" s="9" t="s">
        <v>49</v>
      </c>
      <c r="Q177" s="9" t="s">
        <v>49</v>
      </c>
      <c r="R177" s="8"/>
      <c r="S177" s="8"/>
      <c r="T177" s="8"/>
      <c r="U177" s="8"/>
      <c r="V177" s="9" t="s">
        <v>49</v>
      </c>
      <c r="W177" s="9" t="s">
        <v>49</v>
      </c>
      <c r="X177" s="8"/>
      <c r="Y177" s="8"/>
      <c r="Z177" s="8"/>
      <c r="AA177" s="8"/>
      <c r="AB177" s="8"/>
      <c r="AC177" s="8"/>
      <c r="AD177" s="8"/>
      <c r="AE177" s="8"/>
      <c r="AF177" s="8"/>
      <c r="AG177" s="8"/>
      <c r="AH177" s="7" t="s">
        <v>51</v>
      </c>
      <c r="AI177" s="6" t="s">
        <v>49</v>
      </c>
      <c r="AJ177" s="6" t="s">
        <v>49</v>
      </c>
      <c r="AK177" s="6" t="s">
        <v>49</v>
      </c>
      <c r="AL177" s="9" t="s">
        <v>49</v>
      </c>
      <c r="AM177" s="9" t="s">
        <v>134</v>
      </c>
      <c r="AN177" s="6" t="s">
        <v>49</v>
      </c>
      <c r="AO177" s="9" t="s">
        <v>320</v>
      </c>
      <c r="AP177" s="11">
        <v>0</v>
      </c>
      <c r="AQ177" s="11">
        <v>0</v>
      </c>
      <c r="AR177" s="11">
        <v>0</v>
      </c>
      <c r="AS177" s="11">
        <v>0</v>
      </c>
      <c r="AT177" s="11">
        <v>0</v>
      </c>
      <c r="AU177" s="11">
        <v>0</v>
      </c>
      <c r="AV177" s="11" t="s">
        <v>51</v>
      </c>
    </row>
    <row r="178" spans="1:48" customFormat="1" ht="14.5" hidden="1">
      <c r="A178" s="6">
        <v>177</v>
      </c>
      <c r="B178" s="7" t="s">
        <v>438</v>
      </c>
      <c r="C178" s="7" t="s">
        <v>49</v>
      </c>
      <c r="D178" s="6">
        <v>15287</v>
      </c>
      <c r="E178" s="6" t="s">
        <v>439</v>
      </c>
      <c r="F178" s="8"/>
      <c r="G178" s="8"/>
      <c r="H178" s="7" t="s">
        <v>49</v>
      </c>
      <c r="I178" s="7"/>
      <c r="J178" s="6" t="s">
        <v>49</v>
      </c>
      <c r="K178" s="9" t="s">
        <v>49</v>
      </c>
      <c r="L178" s="9" t="s">
        <v>49</v>
      </c>
      <c r="M178" s="8"/>
      <c r="N178" s="10">
        <v>43312</v>
      </c>
      <c r="O178" s="10">
        <v>43831</v>
      </c>
      <c r="P178" s="9" t="s">
        <v>49</v>
      </c>
      <c r="Q178" s="9" t="s">
        <v>49</v>
      </c>
      <c r="R178" s="8"/>
      <c r="S178" s="8"/>
      <c r="T178" s="8"/>
      <c r="U178" s="8"/>
      <c r="V178" s="9" t="s">
        <v>49</v>
      </c>
      <c r="W178" s="9" t="s">
        <v>49</v>
      </c>
      <c r="X178" s="8"/>
      <c r="Y178" s="8"/>
      <c r="Z178" s="8"/>
      <c r="AA178" s="8"/>
      <c r="AB178" s="8"/>
      <c r="AC178" s="8"/>
      <c r="AD178" s="8"/>
      <c r="AE178" s="8"/>
      <c r="AF178" s="8"/>
      <c r="AG178" s="8"/>
      <c r="AH178" s="7" t="s">
        <v>51</v>
      </c>
      <c r="AI178" s="6" t="s">
        <v>49</v>
      </c>
      <c r="AJ178" s="6" t="s">
        <v>49</v>
      </c>
      <c r="AK178" s="6" t="s">
        <v>49</v>
      </c>
      <c r="AL178" s="9" t="s">
        <v>49</v>
      </c>
      <c r="AM178" s="9" t="s">
        <v>122</v>
      </c>
      <c r="AN178" s="6" t="s">
        <v>49</v>
      </c>
      <c r="AO178" s="9" t="s">
        <v>122</v>
      </c>
      <c r="AP178" s="11">
        <v>0</v>
      </c>
      <c r="AQ178" s="11">
        <v>0</v>
      </c>
      <c r="AR178" s="11">
        <v>0</v>
      </c>
      <c r="AS178" s="11">
        <v>0</v>
      </c>
      <c r="AT178" s="11">
        <v>0</v>
      </c>
      <c r="AU178" s="11">
        <v>0</v>
      </c>
      <c r="AV178" s="11" t="s">
        <v>51</v>
      </c>
    </row>
    <row r="179" spans="1:48" customFormat="1" ht="14.5" hidden="1">
      <c r="A179" s="6">
        <v>178</v>
      </c>
      <c r="B179" s="7" t="s">
        <v>440</v>
      </c>
      <c r="C179" s="7" t="s">
        <v>49</v>
      </c>
      <c r="D179" s="6">
        <v>15292</v>
      </c>
      <c r="E179" s="6" t="s">
        <v>441</v>
      </c>
      <c r="F179" s="8"/>
      <c r="G179" s="8"/>
      <c r="H179" s="7" t="s">
        <v>49</v>
      </c>
      <c r="I179" s="7"/>
      <c r="J179" s="6" t="s">
        <v>49</v>
      </c>
      <c r="K179" s="9" t="s">
        <v>49</v>
      </c>
      <c r="L179" s="9" t="s">
        <v>49</v>
      </c>
      <c r="M179" s="8"/>
      <c r="N179" s="10">
        <v>43192</v>
      </c>
      <c r="O179" s="10">
        <v>44533</v>
      </c>
      <c r="P179" s="9" t="s">
        <v>49</v>
      </c>
      <c r="Q179" s="9" t="s">
        <v>49</v>
      </c>
      <c r="R179" s="8"/>
      <c r="S179" s="8"/>
      <c r="T179" s="8"/>
      <c r="U179" s="8"/>
      <c r="V179" s="9" t="s">
        <v>49</v>
      </c>
      <c r="W179" s="9" t="s">
        <v>49</v>
      </c>
      <c r="X179" s="8"/>
      <c r="Y179" s="8"/>
      <c r="Z179" s="8"/>
      <c r="AA179" s="8"/>
      <c r="AB179" s="8"/>
      <c r="AC179" s="8"/>
      <c r="AD179" s="8"/>
      <c r="AE179" s="8"/>
      <c r="AF179" s="8"/>
      <c r="AG179" s="8"/>
      <c r="AH179" s="7" t="s">
        <v>51</v>
      </c>
      <c r="AI179" s="6" t="s">
        <v>49</v>
      </c>
      <c r="AJ179" s="6" t="s">
        <v>49</v>
      </c>
      <c r="AK179" s="6" t="s">
        <v>49</v>
      </c>
      <c r="AL179" s="9" t="s">
        <v>49</v>
      </c>
      <c r="AM179" s="9" t="s">
        <v>122</v>
      </c>
      <c r="AN179" s="6" t="s">
        <v>49</v>
      </c>
      <c r="AO179" s="9" t="s">
        <v>122</v>
      </c>
      <c r="AP179" s="11">
        <v>0</v>
      </c>
      <c r="AQ179" s="11">
        <v>0</v>
      </c>
      <c r="AR179" s="11">
        <v>0</v>
      </c>
      <c r="AS179" s="11">
        <v>0</v>
      </c>
      <c r="AT179" s="11">
        <v>0</v>
      </c>
      <c r="AU179" s="11">
        <v>0</v>
      </c>
      <c r="AV179" s="11" t="s">
        <v>51</v>
      </c>
    </row>
    <row r="180" spans="1:48" customFormat="1" ht="14.5" hidden="1">
      <c r="A180" s="6">
        <v>179</v>
      </c>
      <c r="B180" s="7" t="s">
        <v>442</v>
      </c>
      <c r="C180" s="7" t="s">
        <v>49</v>
      </c>
      <c r="D180" s="6">
        <v>15376</v>
      </c>
      <c r="E180" s="6" t="s">
        <v>443</v>
      </c>
      <c r="F180" s="8"/>
      <c r="G180" s="8"/>
      <c r="H180" s="7" t="s">
        <v>49</v>
      </c>
      <c r="I180" s="7"/>
      <c r="J180" s="6" t="s">
        <v>49</v>
      </c>
      <c r="K180" s="9" t="s">
        <v>49</v>
      </c>
      <c r="L180" s="9" t="s">
        <v>49</v>
      </c>
      <c r="M180" s="8"/>
      <c r="N180" s="12"/>
      <c r="O180" s="10">
        <v>43525</v>
      </c>
      <c r="P180" s="9" t="s">
        <v>49</v>
      </c>
      <c r="Q180" s="9" t="s">
        <v>49</v>
      </c>
      <c r="R180" s="8"/>
      <c r="S180" s="8"/>
      <c r="T180" s="8"/>
      <c r="U180" s="8"/>
      <c r="V180" s="9" t="s">
        <v>49</v>
      </c>
      <c r="W180" s="9" t="s">
        <v>49</v>
      </c>
      <c r="X180" s="8"/>
      <c r="Y180" s="8"/>
      <c r="Z180" s="8"/>
      <c r="AA180" s="8"/>
      <c r="AB180" s="8"/>
      <c r="AC180" s="8"/>
      <c r="AD180" s="8"/>
      <c r="AE180" s="8"/>
      <c r="AF180" s="8"/>
      <c r="AG180" s="8"/>
      <c r="AH180" s="7" t="s">
        <v>57</v>
      </c>
      <c r="AI180" s="6" t="s">
        <v>49</v>
      </c>
      <c r="AJ180" s="6" t="s">
        <v>49</v>
      </c>
      <c r="AK180" s="6" t="s">
        <v>49</v>
      </c>
      <c r="AL180" s="9" t="s">
        <v>49</v>
      </c>
      <c r="AM180" s="9" t="s">
        <v>213</v>
      </c>
      <c r="AN180" s="6" t="s">
        <v>49</v>
      </c>
      <c r="AO180" s="9" t="s">
        <v>213</v>
      </c>
      <c r="AP180" s="11">
        <v>0</v>
      </c>
      <c r="AQ180" s="11">
        <v>0</v>
      </c>
      <c r="AR180" s="11">
        <v>0</v>
      </c>
      <c r="AS180" s="11">
        <v>0</v>
      </c>
      <c r="AT180" s="11">
        <v>0</v>
      </c>
      <c r="AU180" s="11">
        <v>0</v>
      </c>
      <c r="AV180" s="11" t="s">
        <v>57</v>
      </c>
    </row>
    <row r="181" spans="1:48" customFormat="1" ht="14.5" hidden="1">
      <c r="A181" s="6">
        <v>180</v>
      </c>
      <c r="B181" s="7" t="s">
        <v>444</v>
      </c>
      <c r="C181" s="7" t="s">
        <v>49</v>
      </c>
      <c r="D181" s="6">
        <v>15523</v>
      </c>
      <c r="E181" s="6" t="s">
        <v>49</v>
      </c>
      <c r="F181" s="8"/>
      <c r="G181" s="8"/>
      <c r="H181" s="7" t="s">
        <v>49</v>
      </c>
      <c r="I181" s="7"/>
      <c r="J181" s="6" t="s">
        <v>49</v>
      </c>
      <c r="K181" s="9" t="s">
        <v>49</v>
      </c>
      <c r="L181" s="9" t="s">
        <v>49</v>
      </c>
      <c r="M181" s="8"/>
      <c r="N181" s="10">
        <v>43251</v>
      </c>
      <c r="O181" s="10">
        <v>43831</v>
      </c>
      <c r="P181" s="9" t="s">
        <v>49</v>
      </c>
      <c r="Q181" s="9" t="s">
        <v>49</v>
      </c>
      <c r="R181" s="8"/>
      <c r="S181" s="8"/>
      <c r="T181" s="8"/>
      <c r="U181" s="8"/>
      <c r="V181" s="9" t="s">
        <v>49</v>
      </c>
      <c r="W181" s="9" t="s">
        <v>49</v>
      </c>
      <c r="X181" s="8"/>
      <c r="Y181" s="8"/>
      <c r="Z181" s="8"/>
      <c r="AA181" s="8"/>
      <c r="AB181" s="8"/>
      <c r="AC181" s="8"/>
      <c r="AD181" s="8"/>
      <c r="AE181" s="8"/>
      <c r="AF181" s="8"/>
      <c r="AG181" s="8"/>
      <c r="AH181" s="7" t="s">
        <v>51</v>
      </c>
      <c r="AI181" s="6" t="s">
        <v>71</v>
      </c>
      <c r="AJ181" s="6" t="s">
        <v>49</v>
      </c>
      <c r="AK181" s="6" t="s">
        <v>49</v>
      </c>
      <c r="AL181" s="9" t="s">
        <v>200</v>
      </c>
      <c r="AM181" s="9" t="s">
        <v>49</v>
      </c>
      <c r="AN181" s="6" t="s">
        <v>85</v>
      </c>
      <c r="AO181" s="9" t="s">
        <v>49</v>
      </c>
      <c r="AP181" s="11">
        <v>7248.8885899999996</v>
      </c>
      <c r="AQ181" s="11">
        <v>0</v>
      </c>
      <c r="AR181" s="11">
        <v>0</v>
      </c>
      <c r="AS181" s="11">
        <v>41681.266040000002</v>
      </c>
      <c r="AT181" s="11">
        <v>0</v>
      </c>
      <c r="AU181" s="11">
        <v>0</v>
      </c>
      <c r="AV181" s="11">
        <v>0</v>
      </c>
    </row>
    <row r="182" spans="1:48" customFormat="1" ht="14.5" hidden="1">
      <c r="A182" s="6">
        <v>181</v>
      </c>
      <c r="B182" s="7" t="s">
        <v>444</v>
      </c>
      <c r="C182" s="7" t="s">
        <v>49</v>
      </c>
      <c r="D182" s="6">
        <v>15523</v>
      </c>
      <c r="E182" s="6" t="s">
        <v>445</v>
      </c>
      <c r="F182" s="8"/>
      <c r="G182" s="8"/>
      <c r="H182" s="7" t="s">
        <v>49</v>
      </c>
      <c r="I182" s="7"/>
      <c r="J182" s="6" t="s">
        <v>49</v>
      </c>
      <c r="K182" s="9" t="s">
        <v>49</v>
      </c>
      <c r="L182" s="9" t="s">
        <v>49</v>
      </c>
      <c r="M182" s="12"/>
      <c r="N182" s="10">
        <v>43251</v>
      </c>
      <c r="O182" s="10">
        <v>43831</v>
      </c>
      <c r="P182" s="9" t="s">
        <v>49</v>
      </c>
      <c r="Q182" s="9" t="s">
        <v>49</v>
      </c>
      <c r="R182" s="8"/>
      <c r="S182" s="8"/>
      <c r="T182" s="8"/>
      <c r="U182" s="8"/>
      <c r="V182" s="9" t="s">
        <v>49</v>
      </c>
      <c r="W182" s="9" t="s">
        <v>49</v>
      </c>
      <c r="X182" s="8"/>
      <c r="Y182" s="8"/>
      <c r="Z182" s="8"/>
      <c r="AA182" s="8"/>
      <c r="AB182" s="8"/>
      <c r="AC182" s="8"/>
      <c r="AD182" s="8"/>
      <c r="AE182" s="8"/>
      <c r="AF182" s="8"/>
      <c r="AG182" s="8"/>
      <c r="AH182" s="7" t="s">
        <v>51</v>
      </c>
      <c r="AI182" s="6" t="s">
        <v>49</v>
      </c>
      <c r="AJ182" s="6" t="s">
        <v>49</v>
      </c>
      <c r="AK182" s="6" t="s">
        <v>49</v>
      </c>
      <c r="AL182" s="9" t="s">
        <v>49</v>
      </c>
      <c r="AM182" s="9" t="s">
        <v>200</v>
      </c>
      <c r="AN182" s="6" t="s">
        <v>49</v>
      </c>
      <c r="AO182" s="9" t="s">
        <v>200</v>
      </c>
      <c r="AP182" s="11">
        <v>0</v>
      </c>
      <c r="AQ182" s="11">
        <v>0</v>
      </c>
      <c r="AR182" s="11">
        <v>0</v>
      </c>
      <c r="AS182" s="11">
        <v>0</v>
      </c>
      <c r="AT182" s="11">
        <v>0</v>
      </c>
      <c r="AU182" s="11">
        <v>0</v>
      </c>
      <c r="AV182" s="11" t="s">
        <v>51</v>
      </c>
    </row>
    <row r="183" spans="1:48" customFormat="1" ht="14.5" hidden="1">
      <c r="A183" s="6">
        <v>182</v>
      </c>
      <c r="B183" s="7" t="s">
        <v>446</v>
      </c>
      <c r="C183" s="7" t="s">
        <v>49</v>
      </c>
      <c r="D183" s="6">
        <v>15067</v>
      </c>
      <c r="E183" s="6" t="s">
        <v>447</v>
      </c>
      <c r="F183" s="8"/>
      <c r="G183" s="8"/>
      <c r="H183" s="7" t="s">
        <v>49</v>
      </c>
      <c r="I183" s="7"/>
      <c r="J183" s="6" t="s">
        <v>49</v>
      </c>
      <c r="K183" s="9" t="s">
        <v>49</v>
      </c>
      <c r="L183" s="9" t="s">
        <v>49</v>
      </c>
      <c r="M183" s="8"/>
      <c r="N183" s="10">
        <v>42947</v>
      </c>
      <c r="O183" s="10">
        <v>43524</v>
      </c>
      <c r="P183" s="9" t="s">
        <v>49</v>
      </c>
      <c r="Q183" s="9" t="s">
        <v>49</v>
      </c>
      <c r="R183" s="8"/>
      <c r="S183" s="8"/>
      <c r="T183" s="8"/>
      <c r="U183" s="8"/>
      <c r="V183" s="9" t="s">
        <v>49</v>
      </c>
      <c r="W183" s="9" t="s">
        <v>49</v>
      </c>
      <c r="X183" s="8"/>
      <c r="Y183" s="8"/>
      <c r="Z183" s="8"/>
      <c r="AA183" s="8"/>
      <c r="AB183" s="8"/>
      <c r="AC183" s="8"/>
      <c r="AD183" s="8"/>
      <c r="AE183" s="8"/>
      <c r="AF183" s="8"/>
      <c r="AG183" s="8"/>
      <c r="AH183" s="7" t="s">
        <v>51</v>
      </c>
      <c r="AI183" s="6" t="s">
        <v>49</v>
      </c>
      <c r="AJ183" s="6" t="s">
        <v>49</v>
      </c>
      <c r="AK183" s="6" t="s">
        <v>49</v>
      </c>
      <c r="AL183" s="9" t="s">
        <v>49</v>
      </c>
      <c r="AM183" s="9" t="s">
        <v>221</v>
      </c>
      <c r="AN183" s="6" t="s">
        <v>49</v>
      </c>
      <c r="AO183" s="9" t="s">
        <v>222</v>
      </c>
      <c r="AP183" s="11">
        <v>0</v>
      </c>
      <c r="AQ183" s="11">
        <v>0</v>
      </c>
      <c r="AR183" s="11">
        <v>0</v>
      </c>
      <c r="AS183" s="11">
        <v>0</v>
      </c>
      <c r="AT183" s="11">
        <v>0</v>
      </c>
      <c r="AU183" s="11">
        <v>0</v>
      </c>
      <c r="AV183" s="11" t="s">
        <v>51</v>
      </c>
    </row>
    <row r="184" spans="1:48" customFormat="1" ht="14.5" hidden="1">
      <c r="A184" s="6">
        <v>183</v>
      </c>
      <c r="B184" s="7" t="s">
        <v>448</v>
      </c>
      <c r="C184" s="7" t="s">
        <v>49</v>
      </c>
      <c r="D184" s="6">
        <v>15495</v>
      </c>
      <c r="E184" s="6" t="s">
        <v>49</v>
      </c>
      <c r="F184" s="8"/>
      <c r="G184" s="8"/>
      <c r="H184" s="7" t="s">
        <v>49</v>
      </c>
      <c r="I184" s="7"/>
      <c r="J184" s="6" t="s">
        <v>49</v>
      </c>
      <c r="K184" s="9" t="s">
        <v>49</v>
      </c>
      <c r="L184" s="9" t="s">
        <v>49</v>
      </c>
      <c r="M184" s="8"/>
      <c r="N184" s="8"/>
      <c r="O184" s="10">
        <v>43525</v>
      </c>
      <c r="P184" s="9" t="s">
        <v>49</v>
      </c>
      <c r="Q184" s="9" t="s">
        <v>49</v>
      </c>
      <c r="R184" s="8"/>
      <c r="S184" s="8"/>
      <c r="T184" s="8"/>
      <c r="U184" s="8"/>
      <c r="V184" s="9" t="s">
        <v>49</v>
      </c>
      <c r="W184" s="9" t="s">
        <v>49</v>
      </c>
      <c r="X184" s="8"/>
      <c r="Y184" s="8"/>
      <c r="Z184" s="8"/>
      <c r="AA184" s="8"/>
      <c r="AB184" s="8"/>
      <c r="AC184" s="8"/>
      <c r="AD184" s="8"/>
      <c r="AE184" s="8"/>
      <c r="AF184" s="8"/>
      <c r="AG184" s="8"/>
      <c r="AH184" s="7" t="s">
        <v>57</v>
      </c>
      <c r="AI184" s="6" t="s">
        <v>71</v>
      </c>
      <c r="AJ184" s="6" t="s">
        <v>49</v>
      </c>
      <c r="AK184" s="6" t="s">
        <v>49</v>
      </c>
      <c r="AL184" s="9" t="s">
        <v>67</v>
      </c>
      <c r="AM184" s="9" t="s">
        <v>49</v>
      </c>
      <c r="AN184" s="6" t="s">
        <v>85</v>
      </c>
      <c r="AO184" s="9" t="s">
        <v>49</v>
      </c>
      <c r="AP184" s="11">
        <v>7248.8885899999996</v>
      </c>
      <c r="AQ184" s="11">
        <v>0</v>
      </c>
      <c r="AR184" s="11">
        <v>0</v>
      </c>
      <c r="AS184" s="11">
        <v>41681.266040000002</v>
      </c>
      <c r="AT184" s="11">
        <v>0</v>
      </c>
      <c r="AU184" s="11">
        <v>0</v>
      </c>
      <c r="AV184" s="11">
        <v>0</v>
      </c>
    </row>
    <row r="185" spans="1:48" customFormat="1" ht="14.5" hidden="1">
      <c r="A185" s="6">
        <v>184</v>
      </c>
      <c r="B185" s="7" t="s">
        <v>449</v>
      </c>
      <c r="C185" s="7" t="s">
        <v>49</v>
      </c>
      <c r="D185" s="6">
        <v>15495</v>
      </c>
      <c r="E185" s="6" t="s">
        <v>450</v>
      </c>
      <c r="F185" s="8"/>
      <c r="G185" s="8"/>
      <c r="H185" s="7" t="s">
        <v>49</v>
      </c>
      <c r="I185" s="7"/>
      <c r="J185" s="6" t="s">
        <v>49</v>
      </c>
      <c r="K185" s="9" t="s">
        <v>49</v>
      </c>
      <c r="L185" s="9" t="s">
        <v>49</v>
      </c>
      <c r="M185" s="8"/>
      <c r="N185" s="8"/>
      <c r="O185" s="10">
        <v>43525</v>
      </c>
      <c r="P185" s="9" t="s">
        <v>49</v>
      </c>
      <c r="Q185" s="9" t="s">
        <v>49</v>
      </c>
      <c r="R185" s="8"/>
      <c r="S185" s="8"/>
      <c r="T185" s="8"/>
      <c r="U185" s="8"/>
      <c r="V185" s="9" t="s">
        <v>49</v>
      </c>
      <c r="W185" s="9" t="s">
        <v>49</v>
      </c>
      <c r="X185" s="8"/>
      <c r="Y185" s="8"/>
      <c r="Z185" s="8"/>
      <c r="AA185" s="8"/>
      <c r="AB185" s="8"/>
      <c r="AC185" s="8"/>
      <c r="AD185" s="8"/>
      <c r="AE185" s="8"/>
      <c r="AF185" s="8"/>
      <c r="AG185" s="8"/>
      <c r="AH185" s="7" t="s">
        <v>57</v>
      </c>
      <c r="AI185" s="6" t="s">
        <v>49</v>
      </c>
      <c r="AJ185" s="6" t="s">
        <v>49</v>
      </c>
      <c r="AK185" s="6" t="s">
        <v>49</v>
      </c>
      <c r="AL185" s="9" t="s">
        <v>49</v>
      </c>
      <c r="AM185" s="9" t="s">
        <v>67</v>
      </c>
      <c r="AN185" s="6" t="s">
        <v>49</v>
      </c>
      <c r="AO185" s="9" t="s">
        <v>67</v>
      </c>
      <c r="AP185" s="11">
        <v>0</v>
      </c>
      <c r="AQ185" s="11">
        <v>0</v>
      </c>
      <c r="AR185" s="11">
        <v>0</v>
      </c>
      <c r="AS185" s="11">
        <v>0</v>
      </c>
      <c r="AT185" s="11">
        <v>0</v>
      </c>
      <c r="AU185" s="11">
        <v>0</v>
      </c>
      <c r="AV185" s="11" t="s">
        <v>57</v>
      </c>
    </row>
    <row r="186" spans="1:48" customFormat="1" ht="14.5" hidden="1">
      <c r="A186" s="6">
        <v>185</v>
      </c>
      <c r="B186" s="7" t="s">
        <v>451</v>
      </c>
      <c r="C186" s="7" t="s">
        <v>337</v>
      </c>
      <c r="D186" s="6">
        <v>15374</v>
      </c>
      <c r="E186" s="6" t="s">
        <v>452</v>
      </c>
      <c r="F186" s="8"/>
      <c r="G186" s="8"/>
      <c r="H186" s="7" t="s">
        <v>49</v>
      </c>
      <c r="I186" s="7"/>
      <c r="J186" s="6" t="s">
        <v>49</v>
      </c>
      <c r="K186" s="9" t="s">
        <v>49</v>
      </c>
      <c r="L186" s="9" t="s">
        <v>49</v>
      </c>
      <c r="M186" s="24">
        <v>1495</v>
      </c>
      <c r="N186" s="12"/>
      <c r="O186" s="10">
        <v>44561</v>
      </c>
      <c r="P186" s="9" t="s">
        <v>49</v>
      </c>
      <c r="Q186" s="9" t="s">
        <v>49</v>
      </c>
      <c r="R186" s="8"/>
      <c r="S186" s="8"/>
      <c r="T186" s="8"/>
      <c r="U186" s="8"/>
      <c r="V186" s="9" t="s">
        <v>49</v>
      </c>
      <c r="W186" s="9" t="s">
        <v>49</v>
      </c>
      <c r="X186" s="8"/>
      <c r="Y186" s="8"/>
      <c r="Z186" s="8"/>
      <c r="AA186" s="8"/>
      <c r="AB186" s="8"/>
      <c r="AC186" s="8"/>
      <c r="AD186" s="8"/>
      <c r="AE186" s="8"/>
      <c r="AF186" s="8"/>
      <c r="AG186" s="8"/>
      <c r="AH186" s="7" t="s">
        <v>51</v>
      </c>
      <c r="AI186" s="6" t="s">
        <v>49</v>
      </c>
      <c r="AJ186" s="6" t="s">
        <v>49</v>
      </c>
      <c r="AK186" s="6" t="s">
        <v>49</v>
      </c>
      <c r="AL186" s="9" t="s">
        <v>49</v>
      </c>
      <c r="AM186" s="9" t="s">
        <v>453</v>
      </c>
      <c r="AN186" s="6" t="s">
        <v>49</v>
      </c>
      <c r="AO186" s="9" t="s">
        <v>453</v>
      </c>
      <c r="AP186" s="11">
        <v>216.15241</v>
      </c>
      <c r="AQ186" s="11">
        <v>383761.49</v>
      </c>
      <c r="AR186" s="11">
        <v>383761.49500000005</v>
      </c>
      <c r="AS186" s="11">
        <v>216.15241</v>
      </c>
      <c r="AT186" s="11">
        <v>1499.7614900000001</v>
      </c>
      <c r="AU186" s="11">
        <v>0</v>
      </c>
      <c r="AV186" s="11" t="s">
        <v>51</v>
      </c>
    </row>
    <row r="187" spans="1:48" customFormat="1" ht="14.5" hidden="1">
      <c r="A187" s="6">
        <v>186</v>
      </c>
      <c r="B187" s="7" t="s">
        <v>454</v>
      </c>
      <c r="C187" s="7" t="s">
        <v>49</v>
      </c>
      <c r="D187" s="6">
        <v>12559</v>
      </c>
      <c r="E187" s="6" t="s">
        <v>49</v>
      </c>
      <c r="F187" s="8"/>
      <c r="G187" s="8"/>
      <c r="H187" s="7" t="s">
        <v>49</v>
      </c>
      <c r="I187" s="7"/>
      <c r="J187" s="6" t="s">
        <v>49</v>
      </c>
      <c r="K187" s="9" t="s">
        <v>49</v>
      </c>
      <c r="L187" s="9" t="s">
        <v>49</v>
      </c>
      <c r="M187" s="8"/>
      <c r="N187" s="10">
        <v>42917</v>
      </c>
      <c r="O187" s="10">
        <v>43858</v>
      </c>
      <c r="P187" s="9" t="s">
        <v>49</v>
      </c>
      <c r="Q187" s="9" t="s">
        <v>49</v>
      </c>
      <c r="R187" s="8"/>
      <c r="S187" s="8"/>
      <c r="T187" s="8"/>
      <c r="U187" s="8"/>
      <c r="V187" s="9" t="s">
        <v>49</v>
      </c>
      <c r="W187" s="9" t="s">
        <v>49</v>
      </c>
      <c r="X187" s="8"/>
      <c r="Y187" s="8"/>
      <c r="Z187" s="8"/>
      <c r="AA187" s="8"/>
      <c r="AB187" s="8"/>
      <c r="AC187" s="8"/>
      <c r="AD187" s="8"/>
      <c r="AE187" s="8"/>
      <c r="AF187" s="8"/>
      <c r="AG187" s="8"/>
      <c r="AH187" s="7" t="s">
        <v>51</v>
      </c>
      <c r="AI187" s="6" t="s">
        <v>71</v>
      </c>
      <c r="AJ187" s="6" t="s">
        <v>49</v>
      </c>
      <c r="AK187" s="6" t="s">
        <v>118</v>
      </c>
      <c r="AL187" s="9" t="s">
        <v>455</v>
      </c>
      <c r="AM187" s="9" t="s">
        <v>49</v>
      </c>
      <c r="AN187" s="6" t="s">
        <v>96</v>
      </c>
      <c r="AO187" s="9" t="s">
        <v>49</v>
      </c>
      <c r="AP187" s="11">
        <v>7248.8885899999996</v>
      </c>
      <c r="AQ187" s="11">
        <v>0</v>
      </c>
      <c r="AR187" s="11">
        <v>0</v>
      </c>
      <c r="AS187" s="11">
        <v>41681.266040000002</v>
      </c>
      <c r="AT187" s="11">
        <v>0</v>
      </c>
      <c r="AU187" s="11">
        <v>0</v>
      </c>
      <c r="AV187" s="11">
        <v>0</v>
      </c>
    </row>
    <row r="188" spans="1:48" customFormat="1" ht="14.5" hidden="1">
      <c r="A188" s="6">
        <v>187</v>
      </c>
      <c r="B188" s="7" t="s">
        <v>456</v>
      </c>
      <c r="C188" s="7" t="s">
        <v>49</v>
      </c>
      <c r="D188" s="6">
        <v>12559</v>
      </c>
      <c r="E188" s="6" t="s">
        <v>457</v>
      </c>
      <c r="F188" s="8"/>
      <c r="G188" s="8"/>
      <c r="H188" s="7" t="s">
        <v>49</v>
      </c>
      <c r="I188" s="7"/>
      <c r="J188" s="6" t="s">
        <v>49</v>
      </c>
      <c r="K188" s="9" t="s">
        <v>49</v>
      </c>
      <c r="L188" s="9" t="s">
        <v>49</v>
      </c>
      <c r="M188" s="8"/>
      <c r="N188" s="10">
        <v>42917</v>
      </c>
      <c r="O188" s="10">
        <v>43858</v>
      </c>
      <c r="P188" s="9" t="s">
        <v>49</v>
      </c>
      <c r="Q188" s="9" t="s">
        <v>49</v>
      </c>
      <c r="R188" s="8"/>
      <c r="S188" s="8"/>
      <c r="T188" s="8"/>
      <c r="U188" s="8"/>
      <c r="V188" s="9" t="s">
        <v>49</v>
      </c>
      <c r="W188" s="9" t="s">
        <v>49</v>
      </c>
      <c r="X188" s="8"/>
      <c r="Y188" s="8"/>
      <c r="Z188" s="8"/>
      <c r="AA188" s="8"/>
      <c r="AB188" s="8"/>
      <c r="AC188" s="8"/>
      <c r="AD188" s="8"/>
      <c r="AE188" s="8"/>
      <c r="AF188" s="8"/>
      <c r="AG188" s="8"/>
      <c r="AH188" s="7" t="s">
        <v>51</v>
      </c>
      <c r="AI188" s="6" t="s">
        <v>49</v>
      </c>
      <c r="AJ188" s="6" t="s">
        <v>49</v>
      </c>
      <c r="AK188" s="6" t="s">
        <v>49</v>
      </c>
      <c r="AL188" s="9" t="s">
        <v>49</v>
      </c>
      <c r="AM188" s="9" t="s">
        <v>455</v>
      </c>
      <c r="AN188" s="6" t="s">
        <v>49</v>
      </c>
      <c r="AO188" s="9" t="s">
        <v>222</v>
      </c>
      <c r="AP188" s="11">
        <v>0</v>
      </c>
      <c r="AQ188" s="11">
        <v>0</v>
      </c>
      <c r="AR188" s="11">
        <v>0</v>
      </c>
      <c r="AS188" s="11">
        <v>0</v>
      </c>
      <c r="AT188" s="11">
        <v>0</v>
      </c>
      <c r="AU188" s="11">
        <v>0</v>
      </c>
      <c r="AV188" s="11" t="s">
        <v>51</v>
      </c>
    </row>
    <row r="189" spans="1:48" customFormat="1" ht="14.5" hidden="1">
      <c r="A189" s="6">
        <v>188</v>
      </c>
      <c r="B189" s="7" t="s">
        <v>458</v>
      </c>
      <c r="C189" s="7" t="s">
        <v>81</v>
      </c>
      <c r="D189" s="6">
        <v>15434</v>
      </c>
      <c r="E189" s="6" t="s">
        <v>49</v>
      </c>
      <c r="F189" s="8"/>
      <c r="G189" s="8"/>
      <c r="H189" s="7" t="s">
        <v>245</v>
      </c>
      <c r="I189" s="7"/>
      <c r="J189" s="6" t="s">
        <v>49</v>
      </c>
      <c r="K189" s="9" t="s">
        <v>49</v>
      </c>
      <c r="L189" s="9" t="s">
        <v>49</v>
      </c>
      <c r="M189" s="8"/>
      <c r="N189" s="8"/>
      <c r="O189" s="12"/>
      <c r="P189" s="9" t="s">
        <v>49</v>
      </c>
      <c r="Q189" s="9" t="s">
        <v>49</v>
      </c>
      <c r="R189" s="8"/>
      <c r="S189" s="8"/>
      <c r="T189" s="8"/>
      <c r="U189" s="8"/>
      <c r="V189" s="9" t="s">
        <v>49</v>
      </c>
      <c r="W189" s="9" t="s">
        <v>49</v>
      </c>
      <c r="X189" s="8"/>
      <c r="Y189" s="8"/>
      <c r="Z189" s="8"/>
      <c r="AA189" s="8"/>
      <c r="AB189" s="8"/>
      <c r="AC189" s="8"/>
      <c r="AD189" s="8"/>
      <c r="AE189" s="8"/>
      <c r="AF189" s="8"/>
      <c r="AG189" s="8"/>
      <c r="AH189" s="7" t="s">
        <v>57</v>
      </c>
      <c r="AI189" s="6" t="s">
        <v>71</v>
      </c>
      <c r="AJ189" s="6" t="s">
        <v>49</v>
      </c>
      <c r="AK189" s="6" t="s">
        <v>49</v>
      </c>
      <c r="AL189" s="9" t="s">
        <v>213</v>
      </c>
      <c r="AM189" s="9" t="s">
        <v>49</v>
      </c>
      <c r="AN189" s="6" t="s">
        <v>218</v>
      </c>
      <c r="AO189" s="9" t="s">
        <v>49</v>
      </c>
      <c r="AP189" s="11">
        <v>7248.8885899999996</v>
      </c>
      <c r="AQ189" s="11">
        <v>0</v>
      </c>
      <c r="AR189" s="11">
        <v>0</v>
      </c>
      <c r="AS189" s="11">
        <v>41681.266040000002</v>
      </c>
      <c r="AT189" s="11">
        <v>0</v>
      </c>
      <c r="AU189" s="11">
        <v>488</v>
      </c>
      <c r="AV189" s="11">
        <v>0</v>
      </c>
    </row>
    <row r="190" spans="1:48" customFormat="1" ht="14.5" hidden="1">
      <c r="A190" s="6">
        <v>189</v>
      </c>
      <c r="B190" s="7" t="s">
        <v>459</v>
      </c>
      <c r="C190" s="7" t="s">
        <v>81</v>
      </c>
      <c r="D190" s="6">
        <v>15434</v>
      </c>
      <c r="E190" s="6" t="s">
        <v>460</v>
      </c>
      <c r="F190" s="6">
        <v>87255</v>
      </c>
      <c r="G190" s="8"/>
      <c r="H190" s="7" t="s">
        <v>245</v>
      </c>
      <c r="I190" s="7"/>
      <c r="J190" s="6" t="s">
        <v>75</v>
      </c>
      <c r="K190" s="9" t="s">
        <v>89</v>
      </c>
      <c r="L190" s="9" t="s">
        <v>218</v>
      </c>
      <c r="M190" s="8"/>
      <c r="N190" s="8"/>
      <c r="O190" s="8"/>
      <c r="P190" s="9" t="s">
        <v>459</v>
      </c>
      <c r="Q190" s="9" t="s">
        <v>461</v>
      </c>
      <c r="R190" s="8"/>
      <c r="S190" s="8"/>
      <c r="T190" s="8"/>
      <c r="U190" s="8"/>
      <c r="V190" s="9" t="s">
        <v>49</v>
      </c>
      <c r="W190" s="9" t="s">
        <v>49</v>
      </c>
      <c r="X190" s="8"/>
      <c r="Y190" s="8"/>
      <c r="Z190" s="8"/>
      <c r="AA190" s="6">
        <v>0.4</v>
      </c>
      <c r="AB190" s="6">
        <v>0.4</v>
      </c>
      <c r="AC190" s="8"/>
      <c r="AD190" s="6">
        <v>0.4</v>
      </c>
      <c r="AE190" s="8"/>
      <c r="AF190" s="6">
        <v>0.2</v>
      </c>
      <c r="AG190" s="6">
        <v>0.2</v>
      </c>
      <c r="AH190" s="7" t="s">
        <v>57</v>
      </c>
      <c r="AI190" s="6" t="s">
        <v>49</v>
      </c>
      <c r="AJ190" s="6" t="s">
        <v>49</v>
      </c>
      <c r="AK190" s="6" t="s">
        <v>49</v>
      </c>
      <c r="AL190" s="9" t="s">
        <v>49</v>
      </c>
      <c r="AM190" s="9" t="s">
        <v>462</v>
      </c>
      <c r="AN190" s="6" t="s">
        <v>218</v>
      </c>
      <c r="AO190" s="9" t="s">
        <v>201</v>
      </c>
      <c r="AP190" s="11">
        <v>-0.18875999999999998</v>
      </c>
      <c r="AQ190" s="11">
        <v>-188.76</v>
      </c>
      <c r="AR190" s="11">
        <v>-188.76041666666669</v>
      </c>
      <c r="AS190" s="11">
        <v>343.83828000000005</v>
      </c>
      <c r="AT190" s="11">
        <v>399.81124</v>
      </c>
      <c r="AU190" s="11">
        <v>0</v>
      </c>
      <c r="AV190" s="11" t="s">
        <v>57</v>
      </c>
    </row>
    <row r="191" spans="1:48" customFormat="1" ht="14.5" hidden="1">
      <c r="A191" s="6">
        <v>190</v>
      </c>
      <c r="B191" s="7" t="s">
        <v>463</v>
      </c>
      <c r="C191" s="7" t="s">
        <v>49</v>
      </c>
      <c r="D191" s="6">
        <v>12528</v>
      </c>
      <c r="E191" s="6" t="s">
        <v>464</v>
      </c>
      <c r="F191" s="8"/>
      <c r="G191" s="8"/>
      <c r="H191" s="7" t="s">
        <v>49</v>
      </c>
      <c r="I191" s="7"/>
      <c r="J191" s="6" t="s">
        <v>49</v>
      </c>
      <c r="K191" s="9" t="s">
        <v>49</v>
      </c>
      <c r="L191" s="9" t="s">
        <v>49</v>
      </c>
      <c r="M191" s="8"/>
      <c r="N191" s="10">
        <v>41639</v>
      </c>
      <c r="O191" s="10">
        <v>43098</v>
      </c>
      <c r="P191" s="9" t="s">
        <v>49</v>
      </c>
      <c r="Q191" s="9" t="s">
        <v>49</v>
      </c>
      <c r="R191" s="8"/>
      <c r="S191" s="8"/>
      <c r="T191" s="8"/>
      <c r="U191" s="8"/>
      <c r="V191" s="9" t="s">
        <v>49</v>
      </c>
      <c r="W191" s="9" t="s">
        <v>49</v>
      </c>
      <c r="X191" s="8"/>
      <c r="Y191" s="8"/>
      <c r="Z191" s="8"/>
      <c r="AA191" s="8"/>
      <c r="AB191" s="8"/>
      <c r="AC191" s="8"/>
      <c r="AD191" s="8"/>
      <c r="AE191" s="8"/>
      <c r="AF191" s="8"/>
      <c r="AG191" s="8"/>
      <c r="AH191" s="7" t="s">
        <v>57</v>
      </c>
      <c r="AI191" s="6" t="s">
        <v>49</v>
      </c>
      <c r="AJ191" s="6" t="s">
        <v>49</v>
      </c>
      <c r="AK191" s="6" t="s">
        <v>49</v>
      </c>
      <c r="AL191" s="9" t="s">
        <v>49</v>
      </c>
      <c r="AM191" s="9" t="s">
        <v>49</v>
      </c>
      <c r="AN191" s="6" t="s">
        <v>49</v>
      </c>
      <c r="AO191" s="9" t="s">
        <v>49</v>
      </c>
      <c r="AP191" s="11">
        <v>0</v>
      </c>
      <c r="AQ191" s="11">
        <v>0</v>
      </c>
      <c r="AR191" s="11">
        <v>0</v>
      </c>
      <c r="AS191" s="11">
        <v>0</v>
      </c>
      <c r="AT191" s="11">
        <v>0</v>
      </c>
      <c r="AU191" s="11">
        <v>0</v>
      </c>
      <c r="AV191" s="11" t="s">
        <v>57</v>
      </c>
    </row>
    <row r="192" spans="1:48" customFormat="1" ht="14.5" hidden="1">
      <c r="A192" s="6">
        <v>191</v>
      </c>
      <c r="B192" s="7" t="s">
        <v>465</v>
      </c>
      <c r="C192" s="7" t="s">
        <v>49</v>
      </c>
      <c r="D192" s="6">
        <v>12528</v>
      </c>
      <c r="E192" s="6" t="s">
        <v>466</v>
      </c>
      <c r="F192" s="8"/>
      <c r="G192" s="8"/>
      <c r="H192" s="7" t="s">
        <v>49</v>
      </c>
      <c r="I192" s="7"/>
      <c r="J192" s="6" t="s">
        <v>49</v>
      </c>
      <c r="K192" s="9" t="s">
        <v>49</v>
      </c>
      <c r="L192" s="9" t="s">
        <v>49</v>
      </c>
      <c r="M192" s="8"/>
      <c r="N192" s="10">
        <v>42940</v>
      </c>
      <c r="O192" s="10">
        <v>44099</v>
      </c>
      <c r="P192" s="9" t="s">
        <v>49</v>
      </c>
      <c r="Q192" s="9" t="s">
        <v>49</v>
      </c>
      <c r="R192" s="8"/>
      <c r="S192" s="8"/>
      <c r="T192" s="8"/>
      <c r="U192" s="8"/>
      <c r="V192" s="9" t="s">
        <v>49</v>
      </c>
      <c r="W192" s="9" t="s">
        <v>49</v>
      </c>
      <c r="X192" s="8"/>
      <c r="Y192" s="8"/>
      <c r="Z192" s="8"/>
      <c r="AA192" s="8"/>
      <c r="AB192" s="8"/>
      <c r="AC192" s="8"/>
      <c r="AD192" s="8"/>
      <c r="AE192" s="8"/>
      <c r="AF192" s="8"/>
      <c r="AG192" s="8"/>
      <c r="AH192" s="7" t="s">
        <v>51</v>
      </c>
      <c r="AI192" s="6" t="s">
        <v>49</v>
      </c>
      <c r="AJ192" s="6" t="s">
        <v>49</v>
      </c>
      <c r="AK192" s="6" t="s">
        <v>49</v>
      </c>
      <c r="AL192" s="9" t="s">
        <v>49</v>
      </c>
      <c r="AM192" s="9" t="s">
        <v>134</v>
      </c>
      <c r="AN192" s="6" t="s">
        <v>49</v>
      </c>
      <c r="AO192" s="9" t="s">
        <v>134</v>
      </c>
      <c r="AP192" s="11">
        <v>0</v>
      </c>
      <c r="AQ192" s="11">
        <v>0</v>
      </c>
      <c r="AR192" s="11">
        <v>0</v>
      </c>
      <c r="AS192" s="11">
        <v>0</v>
      </c>
      <c r="AT192" s="11">
        <v>0</v>
      </c>
      <c r="AU192" s="11">
        <v>0</v>
      </c>
      <c r="AV192" s="11" t="s">
        <v>51</v>
      </c>
    </row>
    <row r="193" spans="1:50" customFormat="1" ht="14.5" hidden="1">
      <c r="A193" s="6">
        <v>192</v>
      </c>
      <c r="B193" s="7" t="s">
        <v>467</v>
      </c>
      <c r="C193" s="7" t="s">
        <v>49</v>
      </c>
      <c r="D193" s="6">
        <v>12528</v>
      </c>
      <c r="E193" s="6" t="s">
        <v>468</v>
      </c>
      <c r="F193" s="8"/>
      <c r="G193" s="8"/>
      <c r="H193" s="7" t="s">
        <v>49</v>
      </c>
      <c r="I193" s="7"/>
      <c r="J193" s="6" t="s">
        <v>49</v>
      </c>
      <c r="K193" s="9" t="s">
        <v>49</v>
      </c>
      <c r="L193" s="9" t="s">
        <v>49</v>
      </c>
      <c r="M193" s="8"/>
      <c r="N193" s="10">
        <v>41639</v>
      </c>
      <c r="O193" s="10">
        <v>43399</v>
      </c>
      <c r="P193" s="9" t="s">
        <v>49</v>
      </c>
      <c r="Q193" s="9" t="s">
        <v>49</v>
      </c>
      <c r="R193" s="8"/>
      <c r="S193" s="8"/>
      <c r="T193" s="8"/>
      <c r="U193" s="8"/>
      <c r="V193" s="9" t="s">
        <v>49</v>
      </c>
      <c r="W193" s="9" t="s">
        <v>49</v>
      </c>
      <c r="X193" s="8"/>
      <c r="Y193" s="8"/>
      <c r="Z193" s="8"/>
      <c r="AA193" s="8"/>
      <c r="AB193" s="8"/>
      <c r="AC193" s="8"/>
      <c r="AD193" s="8"/>
      <c r="AE193" s="8"/>
      <c r="AF193" s="8"/>
      <c r="AG193" s="8"/>
      <c r="AH193" s="7" t="s">
        <v>51</v>
      </c>
      <c r="AI193" s="6" t="s">
        <v>49</v>
      </c>
      <c r="AJ193" s="6" t="s">
        <v>49</v>
      </c>
      <c r="AK193" s="6" t="s">
        <v>49</v>
      </c>
      <c r="AL193" s="9" t="s">
        <v>49</v>
      </c>
      <c r="AM193" s="9" t="s">
        <v>469</v>
      </c>
      <c r="AN193" s="6" t="s">
        <v>49</v>
      </c>
      <c r="AO193" s="9" t="s">
        <v>222</v>
      </c>
      <c r="AP193" s="11">
        <v>0</v>
      </c>
      <c r="AQ193" s="11">
        <v>0</v>
      </c>
      <c r="AR193" s="11">
        <v>0</v>
      </c>
      <c r="AS193" s="11">
        <v>0</v>
      </c>
      <c r="AT193" s="11">
        <v>0</v>
      </c>
      <c r="AU193" s="11">
        <v>0</v>
      </c>
      <c r="AV193" s="11" t="s">
        <v>51</v>
      </c>
    </row>
    <row r="194" spans="1:50" customFormat="1" ht="14.5" hidden="1">
      <c r="A194" s="6">
        <v>193</v>
      </c>
      <c r="B194" s="7" t="s">
        <v>470</v>
      </c>
      <c r="C194" s="7" t="s">
        <v>131</v>
      </c>
      <c r="D194" s="6">
        <v>12528</v>
      </c>
      <c r="E194" s="6" t="s">
        <v>471</v>
      </c>
      <c r="F194" s="6">
        <v>0</v>
      </c>
      <c r="G194" s="8"/>
      <c r="H194" s="7" t="s">
        <v>49</v>
      </c>
      <c r="I194" s="7"/>
      <c r="J194" s="6" t="s">
        <v>49</v>
      </c>
      <c r="K194" s="9" t="s">
        <v>49</v>
      </c>
      <c r="L194" s="9" t="s">
        <v>73</v>
      </c>
      <c r="M194" s="8"/>
      <c r="N194" s="10">
        <v>41639</v>
      </c>
      <c r="O194" s="10">
        <v>44196</v>
      </c>
      <c r="P194" s="9" t="s">
        <v>472</v>
      </c>
      <c r="Q194" s="9" t="s">
        <v>473</v>
      </c>
      <c r="R194" s="8"/>
      <c r="S194" s="8"/>
      <c r="T194" s="8"/>
      <c r="U194" s="6">
        <v>6</v>
      </c>
      <c r="V194" s="9" t="s">
        <v>49</v>
      </c>
      <c r="W194" s="9" t="s">
        <v>132</v>
      </c>
      <c r="X194" s="8"/>
      <c r="Y194" s="8"/>
      <c r="Z194" s="8"/>
      <c r="AA194" s="8"/>
      <c r="AB194" s="8"/>
      <c r="AC194" s="8"/>
      <c r="AD194" s="8"/>
      <c r="AE194" s="8"/>
      <c r="AF194" s="8"/>
      <c r="AG194" s="8"/>
      <c r="AH194" s="7" t="s">
        <v>51</v>
      </c>
      <c r="AI194" s="6" t="s">
        <v>49</v>
      </c>
      <c r="AJ194" s="6" t="s">
        <v>49</v>
      </c>
      <c r="AK194" s="6" t="s">
        <v>49</v>
      </c>
      <c r="AL194" s="9" t="s">
        <v>49</v>
      </c>
      <c r="AM194" s="9" t="s">
        <v>134</v>
      </c>
      <c r="AN194" s="6" t="s">
        <v>73</v>
      </c>
      <c r="AO194" s="9" t="s">
        <v>134</v>
      </c>
      <c r="AP194" s="11">
        <v>281.52954</v>
      </c>
      <c r="AQ194" s="11">
        <v>473669.02</v>
      </c>
      <c r="AR194" s="11">
        <v>473669.01458333334</v>
      </c>
      <c r="AS194" s="11">
        <v>3048.8570299999997</v>
      </c>
      <c r="AT194" s="11">
        <v>3465.6690199999998</v>
      </c>
      <c r="AU194" s="11">
        <v>0</v>
      </c>
      <c r="AV194" s="11" t="s">
        <v>51</v>
      </c>
    </row>
    <row r="195" spans="1:50" ht="13.5" customHeight="1">
      <c r="A195" s="46">
        <v>91</v>
      </c>
      <c r="B195" s="47" t="s">
        <v>278</v>
      </c>
      <c r="C195" s="47" t="s">
        <v>131</v>
      </c>
      <c r="D195" s="68"/>
      <c r="E195" s="6" t="s">
        <v>104</v>
      </c>
      <c r="F195" s="68"/>
      <c r="G195" s="8"/>
      <c r="H195" s="47" t="s">
        <v>88</v>
      </c>
      <c r="I195" s="47"/>
      <c r="J195" s="46" t="s">
        <v>49</v>
      </c>
      <c r="K195" s="48" t="s">
        <v>49</v>
      </c>
      <c r="L195" s="9" t="s">
        <v>49</v>
      </c>
      <c r="M195" s="20">
        <v>2917</v>
      </c>
      <c r="N195" s="68"/>
      <c r="O195" s="68"/>
      <c r="P195" s="9" t="s">
        <v>49</v>
      </c>
      <c r="Q195" s="9" t="s">
        <v>49</v>
      </c>
      <c r="R195" s="76">
        <v>6.05</v>
      </c>
      <c r="S195" s="76">
        <v>71.400000000000006</v>
      </c>
      <c r="T195" s="68">
        <v>80.400000000000006</v>
      </c>
      <c r="U195" s="76">
        <v>11.8</v>
      </c>
      <c r="V195" s="50">
        <v>0.24</v>
      </c>
      <c r="W195" s="9" t="s">
        <v>49</v>
      </c>
      <c r="X195" s="8"/>
      <c r="Y195" s="8"/>
      <c r="Z195" s="68"/>
      <c r="AA195" s="8"/>
      <c r="AB195" s="68"/>
      <c r="AC195" s="68"/>
      <c r="AD195" s="68"/>
      <c r="AE195" s="68"/>
      <c r="AF195" s="8"/>
      <c r="AG195" s="68"/>
      <c r="AH195" s="7" t="s">
        <v>49</v>
      </c>
      <c r="AI195" s="6" t="s">
        <v>49</v>
      </c>
      <c r="AJ195" s="6" t="s">
        <v>49</v>
      </c>
      <c r="AK195" s="6" t="s">
        <v>49</v>
      </c>
      <c r="AL195" s="9" t="s">
        <v>49</v>
      </c>
      <c r="AM195" s="9" t="s">
        <v>49</v>
      </c>
      <c r="AN195" s="6" t="s">
        <v>49</v>
      </c>
      <c r="AO195" s="9" t="s">
        <v>49</v>
      </c>
      <c r="AP195" s="11">
        <v>0</v>
      </c>
      <c r="AQ195" s="11">
        <v>0</v>
      </c>
      <c r="AR195" s="11">
        <v>0</v>
      </c>
      <c r="AS195" s="11">
        <v>0</v>
      </c>
      <c r="AT195" s="11">
        <v>0</v>
      </c>
      <c r="AU195" s="11">
        <v>2300</v>
      </c>
      <c r="AV195" s="11">
        <v>0</v>
      </c>
      <c r="AW195" t="s">
        <v>93</v>
      </c>
      <c r="AX195" s="59" t="s">
        <v>933</v>
      </c>
    </row>
    <row r="196" spans="1:50" customFormat="1" ht="14.5" hidden="1">
      <c r="A196" s="6">
        <v>195</v>
      </c>
      <c r="B196" s="7" t="s">
        <v>478</v>
      </c>
      <c r="C196" s="7" t="s">
        <v>49</v>
      </c>
      <c r="D196" s="6">
        <v>12528</v>
      </c>
      <c r="E196" s="6" t="s">
        <v>479</v>
      </c>
      <c r="F196" s="8"/>
      <c r="G196" s="8"/>
      <c r="H196" s="7" t="s">
        <v>49</v>
      </c>
      <c r="I196" s="7"/>
      <c r="J196" s="6" t="s">
        <v>49</v>
      </c>
      <c r="K196" s="9" t="s">
        <v>49</v>
      </c>
      <c r="L196" s="9" t="s">
        <v>49</v>
      </c>
      <c r="M196" s="8"/>
      <c r="N196" s="10">
        <v>43507</v>
      </c>
      <c r="O196" s="10">
        <v>43831</v>
      </c>
      <c r="P196" s="9" t="s">
        <v>49</v>
      </c>
      <c r="Q196" s="9" t="s">
        <v>49</v>
      </c>
      <c r="R196" s="8"/>
      <c r="S196" s="8"/>
      <c r="T196" s="8"/>
      <c r="U196" s="8"/>
      <c r="V196" s="9" t="s">
        <v>49</v>
      </c>
      <c r="W196" s="9" t="s">
        <v>49</v>
      </c>
      <c r="X196" s="8"/>
      <c r="Y196" s="8"/>
      <c r="Z196" s="8"/>
      <c r="AA196" s="8"/>
      <c r="AB196" s="8"/>
      <c r="AC196" s="8"/>
      <c r="AD196" s="8"/>
      <c r="AE196" s="8"/>
      <c r="AF196" s="8"/>
      <c r="AG196" s="8"/>
      <c r="AH196" s="7" t="s">
        <v>57</v>
      </c>
      <c r="AI196" s="6" t="s">
        <v>49</v>
      </c>
      <c r="AJ196" s="6" t="s">
        <v>49</v>
      </c>
      <c r="AK196" s="6" t="s">
        <v>49</v>
      </c>
      <c r="AL196" s="9" t="s">
        <v>49</v>
      </c>
      <c r="AM196" s="9" t="s">
        <v>134</v>
      </c>
      <c r="AN196" s="6" t="s">
        <v>49</v>
      </c>
      <c r="AO196" s="9" t="s">
        <v>134</v>
      </c>
      <c r="AP196" s="11">
        <v>0</v>
      </c>
      <c r="AQ196" s="11">
        <v>0</v>
      </c>
      <c r="AR196" s="11">
        <v>0</v>
      </c>
      <c r="AS196" s="11">
        <v>0</v>
      </c>
      <c r="AT196" s="11">
        <v>0</v>
      </c>
      <c r="AU196" s="11">
        <v>0</v>
      </c>
      <c r="AV196" s="11" t="s">
        <v>57</v>
      </c>
    </row>
    <row r="197" spans="1:50" customFormat="1" ht="14.5" hidden="1">
      <c r="A197" s="6">
        <v>196</v>
      </c>
      <c r="B197" s="7" t="s">
        <v>480</v>
      </c>
      <c r="C197" s="7" t="s">
        <v>131</v>
      </c>
      <c r="D197" s="12"/>
      <c r="E197" s="6" t="s">
        <v>481</v>
      </c>
      <c r="F197" s="8"/>
      <c r="G197" s="8"/>
      <c r="H197" s="7" t="s">
        <v>49</v>
      </c>
      <c r="I197" s="7"/>
      <c r="J197" s="6" t="s">
        <v>49</v>
      </c>
      <c r="K197" s="9" t="s">
        <v>49</v>
      </c>
      <c r="L197" s="9" t="s">
        <v>49</v>
      </c>
      <c r="M197" s="20">
        <v>814</v>
      </c>
      <c r="N197" s="12"/>
      <c r="O197" s="12"/>
      <c r="P197" s="9" t="s">
        <v>49</v>
      </c>
      <c r="Q197" s="9" t="s">
        <v>49</v>
      </c>
      <c r="R197" s="8"/>
      <c r="S197" s="8"/>
      <c r="T197" s="8"/>
      <c r="U197" s="8"/>
      <c r="V197" s="9" t="s">
        <v>49</v>
      </c>
      <c r="W197" s="9" t="s">
        <v>49</v>
      </c>
      <c r="X197" s="8"/>
      <c r="Y197" s="8"/>
      <c r="Z197" s="8"/>
      <c r="AA197" s="8"/>
      <c r="AB197" s="8"/>
      <c r="AC197" s="8"/>
      <c r="AD197" s="8"/>
      <c r="AE197" s="8"/>
      <c r="AF197" s="8"/>
      <c r="AG197" s="8"/>
      <c r="AH197" s="7" t="s">
        <v>49</v>
      </c>
      <c r="AI197" s="6" t="s">
        <v>49</v>
      </c>
      <c r="AJ197" s="6" t="s">
        <v>49</v>
      </c>
      <c r="AK197" s="6" t="s">
        <v>49</v>
      </c>
      <c r="AL197" s="9" t="s">
        <v>49</v>
      </c>
      <c r="AM197" s="9" t="s">
        <v>49</v>
      </c>
      <c r="AN197" s="6" t="s">
        <v>49</v>
      </c>
      <c r="AO197" s="9" t="s">
        <v>49</v>
      </c>
      <c r="AP197" s="11">
        <v>0</v>
      </c>
      <c r="AQ197" s="11">
        <v>0</v>
      </c>
      <c r="AR197" s="11">
        <v>0</v>
      </c>
      <c r="AS197" s="11">
        <v>0</v>
      </c>
      <c r="AT197" s="11">
        <v>0</v>
      </c>
      <c r="AU197" s="11">
        <v>950</v>
      </c>
      <c r="AV197" s="11">
        <v>0</v>
      </c>
      <c r="AW197" t="s">
        <v>482</v>
      </c>
    </row>
    <row r="198" spans="1:50" customFormat="1" ht="15.5" hidden="1">
      <c r="A198" s="6">
        <v>197</v>
      </c>
      <c r="B198" s="7" t="s">
        <v>483</v>
      </c>
      <c r="C198" s="7" t="s">
        <v>131</v>
      </c>
      <c r="D198" s="12"/>
      <c r="E198" s="25" t="s">
        <v>484</v>
      </c>
      <c r="F198" s="8"/>
      <c r="G198" s="8"/>
      <c r="H198" s="7" t="s">
        <v>49</v>
      </c>
      <c r="I198" s="7"/>
      <c r="J198" s="6" t="s">
        <v>49</v>
      </c>
      <c r="K198" s="9" t="s">
        <v>49</v>
      </c>
      <c r="L198" s="9" t="s">
        <v>49</v>
      </c>
      <c r="M198" s="20">
        <v>313</v>
      </c>
      <c r="N198" s="12"/>
      <c r="O198" s="12"/>
      <c r="P198" s="9" t="s">
        <v>49</v>
      </c>
      <c r="Q198" s="9" t="s">
        <v>49</v>
      </c>
      <c r="R198" s="8"/>
      <c r="S198" s="8"/>
      <c r="T198" s="8"/>
      <c r="U198" s="8"/>
      <c r="V198" s="9" t="s">
        <v>49</v>
      </c>
      <c r="W198" s="9" t="s">
        <v>49</v>
      </c>
      <c r="X198" s="8"/>
      <c r="Y198" s="8"/>
      <c r="Z198" s="8"/>
      <c r="AA198" s="8"/>
      <c r="AB198" s="8"/>
      <c r="AC198" s="8"/>
      <c r="AD198" s="8"/>
      <c r="AE198" s="8"/>
      <c r="AF198" s="8"/>
      <c r="AG198" s="8"/>
      <c r="AH198" s="7" t="s">
        <v>49</v>
      </c>
      <c r="AI198" s="6" t="s">
        <v>49</v>
      </c>
      <c r="AJ198" s="6" t="s">
        <v>49</v>
      </c>
      <c r="AK198" s="6" t="s">
        <v>49</v>
      </c>
      <c r="AL198" s="9" t="s">
        <v>49</v>
      </c>
      <c r="AM198" s="9" t="s">
        <v>49</v>
      </c>
      <c r="AN198" s="6" t="s">
        <v>49</v>
      </c>
      <c r="AO198" s="9" t="s">
        <v>49</v>
      </c>
      <c r="AP198" s="11">
        <v>0</v>
      </c>
      <c r="AQ198" s="11">
        <v>0</v>
      </c>
      <c r="AR198" s="11">
        <v>78573.029999999984</v>
      </c>
      <c r="AS198" s="11">
        <v>0</v>
      </c>
      <c r="AT198" s="11">
        <v>0</v>
      </c>
      <c r="AU198" s="11">
        <v>350</v>
      </c>
      <c r="AV198" s="11">
        <v>0</v>
      </c>
      <c r="AW198" t="s">
        <v>93</v>
      </c>
    </row>
    <row r="199" spans="1:50" customFormat="1" ht="14.5" hidden="1">
      <c r="A199" s="6">
        <v>198</v>
      </c>
      <c r="B199" s="7" t="s">
        <v>485</v>
      </c>
      <c r="C199" s="7" t="s">
        <v>131</v>
      </c>
      <c r="D199" s="12"/>
      <c r="E199" s="6" t="s">
        <v>104</v>
      </c>
      <c r="F199" s="12"/>
      <c r="G199" s="8"/>
      <c r="H199" s="7" t="s">
        <v>49</v>
      </c>
      <c r="I199" s="7"/>
      <c r="J199" s="6" t="s">
        <v>49</v>
      </c>
      <c r="K199" s="9" t="s">
        <v>49</v>
      </c>
      <c r="L199" s="9" t="s">
        <v>49</v>
      </c>
      <c r="M199" s="20">
        <v>910</v>
      </c>
      <c r="N199" s="12"/>
      <c r="O199" s="12"/>
      <c r="P199" s="9" t="s">
        <v>49</v>
      </c>
      <c r="Q199" s="9" t="s">
        <v>49</v>
      </c>
      <c r="R199" s="8"/>
      <c r="S199" s="8"/>
      <c r="T199" s="8"/>
      <c r="U199" s="8"/>
      <c r="V199" s="9" t="s">
        <v>49</v>
      </c>
      <c r="W199" s="9" t="s">
        <v>49</v>
      </c>
      <c r="X199" s="8"/>
      <c r="Y199" s="8"/>
      <c r="Z199" s="8"/>
      <c r="AA199" s="8"/>
      <c r="AB199" s="8"/>
      <c r="AC199" s="8"/>
      <c r="AD199" s="8"/>
      <c r="AE199" s="8"/>
      <c r="AF199" s="8"/>
      <c r="AG199" s="8"/>
      <c r="AH199" s="7" t="s">
        <v>49</v>
      </c>
      <c r="AI199" s="6" t="s">
        <v>49</v>
      </c>
      <c r="AJ199" s="6" t="s">
        <v>49</v>
      </c>
      <c r="AK199" s="6" t="s">
        <v>49</v>
      </c>
      <c r="AL199" s="9" t="s">
        <v>49</v>
      </c>
      <c r="AM199" s="9" t="s">
        <v>49</v>
      </c>
      <c r="AN199" s="6" t="s">
        <v>49</v>
      </c>
      <c r="AO199" s="9" t="s">
        <v>49</v>
      </c>
      <c r="AP199" s="11">
        <v>0</v>
      </c>
      <c r="AQ199" s="11">
        <v>0</v>
      </c>
      <c r="AR199" s="11">
        <v>0</v>
      </c>
      <c r="AS199" s="11">
        <v>0</v>
      </c>
      <c r="AT199" s="11">
        <v>0</v>
      </c>
      <c r="AU199" s="11">
        <v>0</v>
      </c>
      <c r="AV199" s="11">
        <v>0</v>
      </c>
    </row>
    <row r="200" spans="1:50" customFormat="1" ht="14.5" hidden="1">
      <c r="A200" s="6">
        <v>199</v>
      </c>
      <c r="B200" s="7" t="s">
        <v>486</v>
      </c>
      <c r="C200" s="7" t="s">
        <v>49</v>
      </c>
      <c r="D200" s="6">
        <v>15067</v>
      </c>
      <c r="E200" s="6" t="s">
        <v>487</v>
      </c>
      <c r="F200" s="8"/>
      <c r="G200" s="8"/>
      <c r="H200" s="7" t="s">
        <v>49</v>
      </c>
      <c r="I200" s="7"/>
      <c r="J200" s="6" t="s">
        <v>49</v>
      </c>
      <c r="K200" s="9" t="s">
        <v>49</v>
      </c>
      <c r="L200" s="9" t="s">
        <v>49</v>
      </c>
      <c r="M200" s="8"/>
      <c r="N200" s="10">
        <v>43192</v>
      </c>
      <c r="O200" s="10">
        <v>43371</v>
      </c>
      <c r="P200" s="9" t="s">
        <v>49</v>
      </c>
      <c r="Q200" s="9" t="s">
        <v>49</v>
      </c>
      <c r="R200" s="8"/>
      <c r="S200" s="8"/>
      <c r="T200" s="8"/>
      <c r="U200" s="8"/>
      <c r="V200" s="9" t="s">
        <v>49</v>
      </c>
      <c r="W200" s="9" t="s">
        <v>49</v>
      </c>
      <c r="X200" s="8"/>
      <c r="Y200" s="8"/>
      <c r="Z200" s="8"/>
      <c r="AA200" s="8"/>
      <c r="AB200" s="8"/>
      <c r="AC200" s="8"/>
      <c r="AD200" s="8"/>
      <c r="AE200" s="8"/>
      <c r="AF200" s="8"/>
      <c r="AG200" s="8"/>
      <c r="AH200" s="7" t="s">
        <v>51</v>
      </c>
      <c r="AI200" s="6" t="s">
        <v>49</v>
      </c>
      <c r="AJ200" s="6" t="s">
        <v>49</v>
      </c>
      <c r="AK200" s="6" t="s">
        <v>49</v>
      </c>
      <c r="AL200" s="9" t="s">
        <v>49</v>
      </c>
      <c r="AM200" s="9" t="s">
        <v>221</v>
      </c>
      <c r="AN200" s="6" t="s">
        <v>49</v>
      </c>
      <c r="AO200" s="9" t="s">
        <v>221</v>
      </c>
      <c r="AP200" s="11">
        <v>0</v>
      </c>
      <c r="AQ200" s="11">
        <v>0</v>
      </c>
      <c r="AR200" s="11">
        <v>0</v>
      </c>
      <c r="AS200" s="11">
        <v>0</v>
      </c>
      <c r="AT200" s="11">
        <v>0</v>
      </c>
      <c r="AU200" s="11">
        <v>0</v>
      </c>
      <c r="AV200" s="11" t="s">
        <v>51</v>
      </c>
    </row>
    <row r="201" spans="1:50" customFormat="1" ht="14.5" hidden="1">
      <c r="A201" s="6">
        <v>200</v>
      </c>
      <c r="B201" s="7" t="s">
        <v>488</v>
      </c>
      <c r="C201" s="7" t="s">
        <v>49</v>
      </c>
      <c r="D201" s="6">
        <v>15481</v>
      </c>
      <c r="E201" s="6" t="s">
        <v>489</v>
      </c>
      <c r="F201" s="12"/>
      <c r="G201" s="8"/>
      <c r="H201" s="7" t="s">
        <v>49</v>
      </c>
      <c r="I201" s="7"/>
      <c r="J201" s="6" t="s">
        <v>49</v>
      </c>
      <c r="K201" s="9" t="s">
        <v>49</v>
      </c>
      <c r="L201" s="9" t="s">
        <v>49</v>
      </c>
      <c r="M201" s="12"/>
      <c r="N201" s="8"/>
      <c r="O201" s="10">
        <v>43525</v>
      </c>
      <c r="P201" s="9" t="s">
        <v>49</v>
      </c>
      <c r="Q201" s="9" t="s">
        <v>49</v>
      </c>
      <c r="R201" s="8"/>
      <c r="S201" s="8"/>
      <c r="T201" s="8"/>
      <c r="U201" s="8"/>
      <c r="V201" s="9" t="s">
        <v>49</v>
      </c>
      <c r="W201" s="9" t="s">
        <v>49</v>
      </c>
      <c r="X201" s="8"/>
      <c r="Y201" s="8"/>
      <c r="Z201" s="12"/>
      <c r="AA201" s="8"/>
      <c r="AB201" s="12"/>
      <c r="AC201" s="8"/>
      <c r="AD201" s="12"/>
      <c r="AE201" s="12"/>
      <c r="AF201" s="8"/>
      <c r="AG201" s="12"/>
      <c r="AH201" s="7" t="s">
        <v>57</v>
      </c>
      <c r="AI201" s="6" t="s">
        <v>49</v>
      </c>
      <c r="AJ201" s="6" t="s">
        <v>49</v>
      </c>
      <c r="AK201" s="6" t="s">
        <v>49</v>
      </c>
      <c r="AL201" s="9" t="s">
        <v>49</v>
      </c>
      <c r="AM201" s="9" t="s">
        <v>67</v>
      </c>
      <c r="AN201" s="6" t="s">
        <v>49</v>
      </c>
      <c r="AO201" s="9" t="s">
        <v>67</v>
      </c>
      <c r="AP201" s="11">
        <v>0</v>
      </c>
      <c r="AQ201" s="11">
        <v>0</v>
      </c>
      <c r="AR201" s="11">
        <v>0</v>
      </c>
      <c r="AS201" s="11">
        <v>0</v>
      </c>
      <c r="AT201" s="11">
        <v>0</v>
      </c>
      <c r="AU201" s="11">
        <v>0</v>
      </c>
      <c r="AV201" s="11" t="s">
        <v>57</v>
      </c>
    </row>
    <row r="202" spans="1:50" customFormat="1" ht="14.5" hidden="1">
      <c r="A202" s="6">
        <v>201</v>
      </c>
      <c r="B202" s="7" t="s">
        <v>490</v>
      </c>
      <c r="C202" s="7" t="s">
        <v>86</v>
      </c>
      <c r="D202" s="6">
        <v>15659</v>
      </c>
      <c r="E202" s="6" t="s">
        <v>49</v>
      </c>
      <c r="F202" s="8"/>
      <c r="G202" s="8"/>
      <c r="H202" s="7" t="s">
        <v>49</v>
      </c>
      <c r="I202" s="7"/>
      <c r="J202" s="6" t="s">
        <v>49</v>
      </c>
      <c r="K202" s="9" t="s">
        <v>49</v>
      </c>
      <c r="L202" s="9" t="s">
        <v>49</v>
      </c>
      <c r="M202" s="8"/>
      <c r="N202" s="12"/>
      <c r="O202" s="10">
        <v>43861</v>
      </c>
      <c r="P202" s="9" t="s">
        <v>49</v>
      </c>
      <c r="Q202" s="9" t="s">
        <v>49</v>
      </c>
      <c r="R202" s="8"/>
      <c r="S202" s="8"/>
      <c r="T202" s="8"/>
      <c r="U202" s="8"/>
      <c r="V202" s="9" t="s">
        <v>49</v>
      </c>
      <c r="W202" s="9" t="s">
        <v>49</v>
      </c>
      <c r="X202" s="8"/>
      <c r="Y202" s="8"/>
      <c r="Z202" s="8"/>
      <c r="AA202" s="8"/>
      <c r="AB202" s="8"/>
      <c r="AC202" s="8"/>
      <c r="AD202" s="8"/>
      <c r="AE202" s="8"/>
      <c r="AF202" s="8"/>
      <c r="AG202" s="8"/>
      <c r="AH202" s="7" t="s">
        <v>57</v>
      </c>
      <c r="AI202" s="6" t="s">
        <v>71</v>
      </c>
      <c r="AJ202" s="6" t="s">
        <v>49</v>
      </c>
      <c r="AK202" s="6" t="s">
        <v>49</v>
      </c>
      <c r="AL202" s="9" t="s">
        <v>52</v>
      </c>
      <c r="AM202" s="9" t="s">
        <v>49</v>
      </c>
      <c r="AN202" s="6" t="s">
        <v>85</v>
      </c>
      <c r="AO202" s="9" t="s">
        <v>49</v>
      </c>
      <c r="AP202" s="11">
        <v>7248.8885899999996</v>
      </c>
      <c r="AQ202" s="11">
        <v>0</v>
      </c>
      <c r="AR202" s="11">
        <v>0</v>
      </c>
      <c r="AS202" s="11">
        <v>41681.266040000002</v>
      </c>
      <c r="AT202" s="11">
        <v>0</v>
      </c>
      <c r="AU202" s="11">
        <v>0</v>
      </c>
      <c r="AV202" s="11">
        <v>0</v>
      </c>
    </row>
    <row r="203" spans="1:50" customFormat="1" ht="14.5" hidden="1">
      <c r="A203" s="6">
        <v>202</v>
      </c>
      <c r="B203" s="7" t="s">
        <v>490</v>
      </c>
      <c r="C203" s="7" t="s">
        <v>86</v>
      </c>
      <c r="D203" s="6">
        <v>15659</v>
      </c>
      <c r="E203" s="6" t="s">
        <v>491</v>
      </c>
      <c r="F203" s="8"/>
      <c r="G203" s="8"/>
      <c r="H203" s="7" t="s">
        <v>245</v>
      </c>
      <c r="I203" s="7"/>
      <c r="J203" s="6" t="s">
        <v>75</v>
      </c>
      <c r="K203" s="9" t="s">
        <v>89</v>
      </c>
      <c r="L203" s="9" t="s">
        <v>49</v>
      </c>
      <c r="M203" s="8"/>
      <c r="N203" s="12"/>
      <c r="O203" s="10">
        <v>43861</v>
      </c>
      <c r="P203" s="9" t="s">
        <v>49</v>
      </c>
      <c r="Q203" s="9" t="s">
        <v>49</v>
      </c>
      <c r="R203" s="8"/>
      <c r="S203" s="8"/>
      <c r="T203" s="8"/>
      <c r="U203" s="8"/>
      <c r="V203" s="9" t="s">
        <v>49</v>
      </c>
      <c r="W203" s="9" t="s">
        <v>49</v>
      </c>
      <c r="X203" s="8"/>
      <c r="Y203" s="8"/>
      <c r="Z203" s="8"/>
      <c r="AA203" s="6">
        <v>0.13600000000000001</v>
      </c>
      <c r="AB203" s="6">
        <v>0.13600000000000001</v>
      </c>
      <c r="AC203" s="8"/>
      <c r="AD203" s="6">
        <v>0.13600000000000001</v>
      </c>
      <c r="AE203" s="8"/>
      <c r="AF203" s="6">
        <v>6.8000000000000005E-2</v>
      </c>
      <c r="AG203" s="6">
        <v>6.8000000000000005E-2</v>
      </c>
      <c r="AH203" s="7" t="s">
        <v>57</v>
      </c>
      <c r="AI203" s="6" t="s">
        <v>49</v>
      </c>
      <c r="AJ203" s="6" t="s">
        <v>49</v>
      </c>
      <c r="AK203" s="6" t="s">
        <v>49</v>
      </c>
      <c r="AL203" s="9" t="s">
        <v>49</v>
      </c>
      <c r="AM203" s="9" t="s">
        <v>52</v>
      </c>
      <c r="AN203" s="6" t="s">
        <v>49</v>
      </c>
      <c r="AO203" s="9" t="s">
        <v>492</v>
      </c>
      <c r="AP203" s="11">
        <v>0</v>
      </c>
      <c r="AQ203" s="11">
        <v>0</v>
      </c>
      <c r="AR203" s="11">
        <v>0</v>
      </c>
      <c r="AS203" s="11">
        <v>0</v>
      </c>
      <c r="AT203" s="11">
        <v>0</v>
      </c>
      <c r="AU203" s="11">
        <v>35</v>
      </c>
      <c r="AV203" s="11" t="s">
        <v>57</v>
      </c>
      <c r="AW203" t="s">
        <v>93</v>
      </c>
    </row>
    <row r="204" spans="1:50" customFormat="1" ht="14.5" hidden="1">
      <c r="A204" s="6">
        <v>203</v>
      </c>
      <c r="B204" s="7" t="s">
        <v>493</v>
      </c>
      <c r="C204" s="7" t="s">
        <v>49</v>
      </c>
      <c r="D204" s="6">
        <v>15644</v>
      </c>
      <c r="E204" s="6" t="s">
        <v>49</v>
      </c>
      <c r="F204" s="12"/>
      <c r="G204" s="8"/>
      <c r="H204" s="7" t="s">
        <v>49</v>
      </c>
      <c r="I204" s="7"/>
      <c r="J204" s="6" t="s">
        <v>49</v>
      </c>
      <c r="K204" s="9" t="s">
        <v>49</v>
      </c>
      <c r="L204" s="9" t="s">
        <v>49</v>
      </c>
      <c r="M204" s="8"/>
      <c r="N204" s="12"/>
      <c r="O204" s="12"/>
      <c r="P204" s="9" t="s">
        <v>49</v>
      </c>
      <c r="Q204" s="9" t="s">
        <v>49</v>
      </c>
      <c r="R204" s="8"/>
      <c r="S204" s="8"/>
      <c r="T204" s="8"/>
      <c r="U204" s="8"/>
      <c r="V204" s="9" t="s">
        <v>49</v>
      </c>
      <c r="W204" s="9" t="s">
        <v>49</v>
      </c>
      <c r="X204" s="8"/>
      <c r="Y204" s="8"/>
      <c r="Z204" s="8"/>
      <c r="AA204" s="8"/>
      <c r="AB204" s="8"/>
      <c r="AC204" s="8"/>
      <c r="AD204" s="8"/>
      <c r="AE204" s="8"/>
      <c r="AF204" s="8"/>
      <c r="AG204" s="8"/>
      <c r="AH204" s="7" t="s">
        <v>57</v>
      </c>
      <c r="AI204" s="6" t="s">
        <v>49</v>
      </c>
      <c r="AJ204" s="6" t="s">
        <v>49</v>
      </c>
      <c r="AK204" s="6" t="s">
        <v>118</v>
      </c>
      <c r="AL204" s="9" t="s">
        <v>49</v>
      </c>
      <c r="AM204" s="9" t="s">
        <v>49</v>
      </c>
      <c r="AN204" s="6" t="s">
        <v>49</v>
      </c>
      <c r="AO204" s="9" t="s">
        <v>49</v>
      </c>
      <c r="AP204" s="11">
        <v>7248.8885899999996</v>
      </c>
      <c r="AQ204" s="11">
        <v>0</v>
      </c>
      <c r="AR204" s="11">
        <v>0</v>
      </c>
      <c r="AS204" s="11">
        <v>41681.266040000002</v>
      </c>
      <c r="AT204" s="11">
        <v>0</v>
      </c>
      <c r="AU204" s="11">
        <v>0</v>
      </c>
      <c r="AV204" s="11">
        <v>0</v>
      </c>
    </row>
    <row r="205" spans="1:50" customFormat="1" ht="14.5" hidden="1">
      <c r="A205" s="6">
        <v>204</v>
      </c>
      <c r="B205" s="7" t="s">
        <v>494</v>
      </c>
      <c r="C205" s="7" t="s">
        <v>49</v>
      </c>
      <c r="D205" s="6">
        <v>15435</v>
      </c>
      <c r="E205" s="6" t="s">
        <v>49</v>
      </c>
      <c r="F205" s="8"/>
      <c r="G205" s="8"/>
      <c r="H205" s="7" t="s">
        <v>49</v>
      </c>
      <c r="I205" s="7"/>
      <c r="J205" s="6" t="s">
        <v>49</v>
      </c>
      <c r="K205" s="9" t="s">
        <v>49</v>
      </c>
      <c r="L205" s="9" t="s">
        <v>49</v>
      </c>
      <c r="M205" s="8"/>
      <c r="N205" s="10">
        <v>43514</v>
      </c>
      <c r="O205" s="10">
        <v>43798</v>
      </c>
      <c r="P205" s="9" t="s">
        <v>49</v>
      </c>
      <c r="Q205" s="9" t="s">
        <v>49</v>
      </c>
      <c r="R205" s="8"/>
      <c r="S205" s="8"/>
      <c r="T205" s="8"/>
      <c r="U205" s="8"/>
      <c r="V205" s="9" t="s">
        <v>49</v>
      </c>
      <c r="W205" s="9" t="s">
        <v>49</v>
      </c>
      <c r="X205" s="8"/>
      <c r="Y205" s="8"/>
      <c r="Z205" s="8"/>
      <c r="AA205" s="8"/>
      <c r="AB205" s="8"/>
      <c r="AC205" s="8"/>
      <c r="AD205" s="8"/>
      <c r="AE205" s="8"/>
      <c r="AF205" s="8"/>
      <c r="AG205" s="8"/>
      <c r="AH205" s="7" t="s">
        <v>57</v>
      </c>
      <c r="AI205" s="6" t="s">
        <v>71</v>
      </c>
      <c r="AJ205" s="6" t="s">
        <v>49</v>
      </c>
      <c r="AK205" s="6" t="s">
        <v>49</v>
      </c>
      <c r="AL205" s="9" t="s">
        <v>213</v>
      </c>
      <c r="AM205" s="9" t="s">
        <v>49</v>
      </c>
      <c r="AN205" s="6" t="s">
        <v>85</v>
      </c>
      <c r="AO205" s="9" t="s">
        <v>49</v>
      </c>
      <c r="AP205" s="11">
        <v>7248.8885899999996</v>
      </c>
      <c r="AQ205" s="11">
        <v>0</v>
      </c>
      <c r="AR205" s="11">
        <v>0</v>
      </c>
      <c r="AS205" s="11">
        <v>41681.266040000002</v>
      </c>
      <c r="AT205" s="11">
        <v>0</v>
      </c>
      <c r="AU205" s="11">
        <v>0</v>
      </c>
      <c r="AV205" s="11">
        <v>0</v>
      </c>
    </row>
    <row r="206" spans="1:50" customFormat="1" ht="14.5" hidden="1">
      <c r="A206" s="6">
        <v>205</v>
      </c>
      <c r="B206" s="7" t="s">
        <v>494</v>
      </c>
      <c r="C206" s="7" t="s">
        <v>81</v>
      </c>
      <c r="D206" s="6">
        <v>15435</v>
      </c>
      <c r="E206" s="6" t="s">
        <v>495</v>
      </c>
      <c r="F206" s="8"/>
      <c r="G206" s="8"/>
      <c r="H206" s="7" t="s">
        <v>49</v>
      </c>
      <c r="I206" s="7"/>
      <c r="J206" s="6" t="s">
        <v>49</v>
      </c>
      <c r="K206" s="9" t="s">
        <v>49</v>
      </c>
      <c r="L206" s="9" t="s">
        <v>49</v>
      </c>
      <c r="M206" s="8"/>
      <c r="N206" s="10">
        <v>43514</v>
      </c>
      <c r="O206" s="10">
        <v>43798</v>
      </c>
      <c r="P206" s="9" t="s">
        <v>49</v>
      </c>
      <c r="Q206" s="9" t="s">
        <v>49</v>
      </c>
      <c r="R206" s="8"/>
      <c r="S206" s="8"/>
      <c r="T206" s="8"/>
      <c r="U206" s="8"/>
      <c r="V206" s="9" t="s">
        <v>49</v>
      </c>
      <c r="W206" s="9" t="s">
        <v>49</v>
      </c>
      <c r="X206" s="8"/>
      <c r="Y206" s="8"/>
      <c r="Z206" s="8"/>
      <c r="AA206" s="8"/>
      <c r="AB206" s="8"/>
      <c r="AC206" s="8"/>
      <c r="AD206" s="8"/>
      <c r="AE206" s="8"/>
      <c r="AF206" s="8"/>
      <c r="AG206" s="8"/>
      <c r="AH206" s="7" t="s">
        <v>51</v>
      </c>
      <c r="AI206" s="6" t="s">
        <v>49</v>
      </c>
      <c r="AJ206" s="6" t="s">
        <v>49</v>
      </c>
      <c r="AK206" s="6" t="s">
        <v>49</v>
      </c>
      <c r="AL206" s="9" t="s">
        <v>49</v>
      </c>
      <c r="AM206" s="9" t="s">
        <v>496</v>
      </c>
      <c r="AN206" s="6" t="s">
        <v>49</v>
      </c>
      <c r="AO206" s="9" t="s">
        <v>496</v>
      </c>
      <c r="AP206" s="11">
        <v>-0.26571</v>
      </c>
      <c r="AQ206" s="11">
        <v>-265.70999999999998</v>
      </c>
      <c r="AR206" s="11">
        <v>-265.70833333333337</v>
      </c>
      <c r="AS206" s="11">
        <v>47.768169999999998</v>
      </c>
      <c r="AT206" s="11">
        <v>-0.26571</v>
      </c>
      <c r="AU206" s="11">
        <v>0</v>
      </c>
      <c r="AV206" s="11" t="s">
        <v>51</v>
      </c>
    </row>
    <row r="207" spans="1:50" customFormat="1" ht="14.5" hidden="1">
      <c r="A207" s="6">
        <v>206</v>
      </c>
      <c r="B207" s="7" t="s">
        <v>497</v>
      </c>
      <c r="C207" s="7" t="s">
        <v>49</v>
      </c>
      <c r="D207" s="6">
        <v>15063</v>
      </c>
      <c r="E207" s="6" t="s">
        <v>498</v>
      </c>
      <c r="F207" s="12"/>
      <c r="G207" s="8"/>
      <c r="H207" s="7" t="s">
        <v>49</v>
      </c>
      <c r="I207" s="7"/>
      <c r="J207" s="6" t="s">
        <v>49</v>
      </c>
      <c r="K207" s="9" t="s">
        <v>49</v>
      </c>
      <c r="L207" s="9" t="s">
        <v>49</v>
      </c>
      <c r="M207" s="8"/>
      <c r="N207" s="8"/>
      <c r="O207" s="10">
        <v>43098</v>
      </c>
      <c r="P207" s="9" t="s">
        <v>49</v>
      </c>
      <c r="Q207" s="9" t="s">
        <v>49</v>
      </c>
      <c r="R207" s="8"/>
      <c r="S207" s="8"/>
      <c r="T207" s="8"/>
      <c r="U207" s="8"/>
      <c r="V207" s="9" t="s">
        <v>49</v>
      </c>
      <c r="W207" s="9" t="s">
        <v>49</v>
      </c>
      <c r="X207" s="8"/>
      <c r="Y207" s="8"/>
      <c r="Z207" s="8"/>
      <c r="AA207" s="8"/>
      <c r="AB207" s="8"/>
      <c r="AC207" s="8"/>
      <c r="AD207" s="8"/>
      <c r="AE207" s="8"/>
      <c r="AF207" s="8"/>
      <c r="AG207" s="8"/>
      <c r="AH207" s="7" t="s">
        <v>51</v>
      </c>
      <c r="AI207" s="6" t="s">
        <v>49</v>
      </c>
      <c r="AJ207" s="6" t="s">
        <v>49</v>
      </c>
      <c r="AK207" s="6" t="s">
        <v>49</v>
      </c>
      <c r="AL207" s="9" t="s">
        <v>49</v>
      </c>
      <c r="AM207" s="9" t="s">
        <v>380</v>
      </c>
      <c r="AN207" s="6" t="s">
        <v>49</v>
      </c>
      <c r="AO207" s="9" t="s">
        <v>222</v>
      </c>
      <c r="AP207" s="11">
        <v>0</v>
      </c>
      <c r="AQ207" s="11">
        <v>0</v>
      </c>
      <c r="AR207" s="11">
        <v>0</v>
      </c>
      <c r="AS207" s="11">
        <v>0</v>
      </c>
      <c r="AT207" s="11">
        <v>0</v>
      </c>
      <c r="AU207" s="11">
        <v>0</v>
      </c>
      <c r="AV207" s="11" t="s">
        <v>51</v>
      </c>
    </row>
    <row r="208" spans="1:50" customFormat="1" ht="14.5" hidden="1">
      <c r="A208" s="6">
        <v>207</v>
      </c>
      <c r="B208" s="7" t="s">
        <v>499</v>
      </c>
      <c r="C208" s="7" t="s">
        <v>49</v>
      </c>
      <c r="D208" s="6">
        <v>16014</v>
      </c>
      <c r="E208" s="6" t="s">
        <v>500</v>
      </c>
      <c r="F208" s="8"/>
      <c r="G208" s="8"/>
      <c r="H208" s="7" t="s">
        <v>49</v>
      </c>
      <c r="I208" s="7"/>
      <c r="J208" s="6" t="s">
        <v>49</v>
      </c>
      <c r="K208" s="9" t="s">
        <v>49</v>
      </c>
      <c r="L208" s="9" t="s">
        <v>49</v>
      </c>
      <c r="M208" s="8"/>
      <c r="N208" s="12"/>
      <c r="O208" s="10">
        <v>43525</v>
      </c>
      <c r="P208" s="9" t="s">
        <v>49</v>
      </c>
      <c r="Q208" s="9" t="s">
        <v>49</v>
      </c>
      <c r="R208" s="8"/>
      <c r="S208" s="8"/>
      <c r="T208" s="8"/>
      <c r="U208" s="8"/>
      <c r="V208" s="9" t="s">
        <v>49</v>
      </c>
      <c r="W208" s="9" t="s">
        <v>49</v>
      </c>
      <c r="X208" s="8"/>
      <c r="Y208" s="8"/>
      <c r="Z208" s="8"/>
      <c r="AA208" s="8"/>
      <c r="AB208" s="8"/>
      <c r="AC208" s="8"/>
      <c r="AD208" s="8"/>
      <c r="AE208" s="8"/>
      <c r="AF208" s="8"/>
      <c r="AG208" s="8"/>
      <c r="AH208" s="7" t="s">
        <v>57</v>
      </c>
      <c r="AI208" s="6" t="s">
        <v>49</v>
      </c>
      <c r="AJ208" s="6" t="s">
        <v>49</v>
      </c>
      <c r="AK208" s="6" t="s">
        <v>49</v>
      </c>
      <c r="AL208" s="9" t="s">
        <v>49</v>
      </c>
      <c r="AM208" s="9" t="s">
        <v>122</v>
      </c>
      <c r="AN208" s="6" t="s">
        <v>49</v>
      </c>
      <c r="AO208" s="9" t="s">
        <v>122</v>
      </c>
      <c r="AP208" s="11">
        <v>0</v>
      </c>
      <c r="AQ208" s="11">
        <v>0</v>
      </c>
      <c r="AR208" s="11">
        <v>0</v>
      </c>
      <c r="AS208" s="11">
        <v>0</v>
      </c>
      <c r="AT208" s="11">
        <v>0</v>
      </c>
      <c r="AU208" s="11">
        <v>0</v>
      </c>
      <c r="AV208" s="11" t="s">
        <v>57</v>
      </c>
    </row>
    <row r="209" spans="1:48" customFormat="1" ht="14.5" hidden="1">
      <c r="A209" s="6">
        <v>208</v>
      </c>
      <c r="B209" s="7" t="s">
        <v>501</v>
      </c>
      <c r="C209" s="7" t="s">
        <v>49</v>
      </c>
      <c r="D209" s="6">
        <v>16014</v>
      </c>
      <c r="E209" s="6" t="s">
        <v>502</v>
      </c>
      <c r="F209" s="8"/>
      <c r="G209" s="8"/>
      <c r="H209" s="7" t="s">
        <v>49</v>
      </c>
      <c r="I209" s="7"/>
      <c r="J209" s="6" t="s">
        <v>49</v>
      </c>
      <c r="K209" s="9" t="s">
        <v>49</v>
      </c>
      <c r="L209" s="9" t="s">
        <v>49</v>
      </c>
      <c r="M209" s="8"/>
      <c r="N209" s="10">
        <v>43437</v>
      </c>
      <c r="O209" s="10">
        <v>44561</v>
      </c>
      <c r="P209" s="9" t="s">
        <v>49</v>
      </c>
      <c r="Q209" s="9" t="s">
        <v>49</v>
      </c>
      <c r="R209" s="8"/>
      <c r="S209" s="8"/>
      <c r="T209" s="8"/>
      <c r="U209" s="8"/>
      <c r="V209" s="9" t="s">
        <v>49</v>
      </c>
      <c r="W209" s="9" t="s">
        <v>49</v>
      </c>
      <c r="X209" s="8"/>
      <c r="Y209" s="8"/>
      <c r="Z209" s="8"/>
      <c r="AA209" s="8"/>
      <c r="AB209" s="8"/>
      <c r="AC209" s="8"/>
      <c r="AD209" s="8"/>
      <c r="AE209" s="8"/>
      <c r="AF209" s="8"/>
      <c r="AG209" s="8"/>
      <c r="AH209" s="7" t="s">
        <v>57</v>
      </c>
      <c r="AI209" s="6" t="s">
        <v>49</v>
      </c>
      <c r="AJ209" s="6" t="s">
        <v>49</v>
      </c>
      <c r="AK209" s="6" t="s">
        <v>49</v>
      </c>
      <c r="AL209" s="9" t="s">
        <v>49</v>
      </c>
      <c r="AM209" s="9" t="s">
        <v>122</v>
      </c>
      <c r="AN209" s="6" t="s">
        <v>49</v>
      </c>
      <c r="AO209" s="9" t="s">
        <v>122</v>
      </c>
      <c r="AP209" s="11">
        <v>167.30304999999998</v>
      </c>
      <c r="AQ209" s="11">
        <v>150330.04</v>
      </c>
      <c r="AR209" s="11">
        <v>150330.04</v>
      </c>
      <c r="AS209" s="11">
        <v>489.62342999999998</v>
      </c>
      <c r="AT209" s="11">
        <v>150.33004</v>
      </c>
      <c r="AU209" s="11">
        <v>0</v>
      </c>
      <c r="AV209" s="11" t="s">
        <v>57</v>
      </c>
    </row>
    <row r="210" spans="1:48" customFormat="1" ht="14.5" hidden="1">
      <c r="A210" s="6">
        <v>209</v>
      </c>
      <c r="B210" s="7" t="s">
        <v>503</v>
      </c>
      <c r="C210" s="7" t="s">
        <v>49</v>
      </c>
      <c r="D210" s="6">
        <v>15437</v>
      </c>
      <c r="E210" s="6" t="s">
        <v>49</v>
      </c>
      <c r="F210" s="8"/>
      <c r="G210" s="8"/>
      <c r="H210" s="7" t="s">
        <v>49</v>
      </c>
      <c r="I210" s="7"/>
      <c r="J210" s="6" t="s">
        <v>49</v>
      </c>
      <c r="K210" s="9" t="s">
        <v>49</v>
      </c>
      <c r="L210" s="9" t="s">
        <v>49</v>
      </c>
      <c r="M210" s="8"/>
      <c r="N210" s="10">
        <v>43468</v>
      </c>
      <c r="O210" s="12"/>
      <c r="P210" s="9" t="s">
        <v>49</v>
      </c>
      <c r="Q210" s="9" t="s">
        <v>49</v>
      </c>
      <c r="R210" s="8"/>
      <c r="S210" s="8"/>
      <c r="T210" s="8"/>
      <c r="U210" s="8"/>
      <c r="V210" s="9" t="s">
        <v>49</v>
      </c>
      <c r="W210" s="9" t="s">
        <v>49</v>
      </c>
      <c r="X210" s="8"/>
      <c r="Y210" s="8"/>
      <c r="Z210" s="8"/>
      <c r="AA210" s="8"/>
      <c r="AB210" s="8"/>
      <c r="AC210" s="8"/>
      <c r="AD210" s="8"/>
      <c r="AE210" s="8"/>
      <c r="AF210" s="8"/>
      <c r="AG210" s="8"/>
      <c r="AH210" s="7" t="s">
        <v>57</v>
      </c>
      <c r="AI210" s="6" t="s">
        <v>71</v>
      </c>
      <c r="AJ210" s="6" t="s">
        <v>49</v>
      </c>
      <c r="AK210" s="6" t="s">
        <v>49</v>
      </c>
      <c r="AL210" s="9" t="s">
        <v>213</v>
      </c>
      <c r="AM210" s="9" t="s">
        <v>49</v>
      </c>
      <c r="AN210" s="6" t="s">
        <v>85</v>
      </c>
      <c r="AO210" s="9" t="s">
        <v>49</v>
      </c>
      <c r="AP210" s="11">
        <v>7248.8885899999996</v>
      </c>
      <c r="AQ210" s="11">
        <v>0</v>
      </c>
      <c r="AR210" s="11">
        <v>0</v>
      </c>
      <c r="AS210" s="11">
        <v>41681.266040000002</v>
      </c>
      <c r="AT210" s="11">
        <v>0</v>
      </c>
      <c r="AU210" s="11">
        <v>0</v>
      </c>
      <c r="AV210" s="11">
        <v>0</v>
      </c>
    </row>
    <row r="211" spans="1:48" customFormat="1" ht="14.5" hidden="1">
      <c r="A211" s="6">
        <v>210</v>
      </c>
      <c r="B211" s="7" t="s">
        <v>503</v>
      </c>
      <c r="C211" s="7" t="s">
        <v>49</v>
      </c>
      <c r="D211" s="6">
        <v>15437</v>
      </c>
      <c r="E211" s="6" t="s">
        <v>504</v>
      </c>
      <c r="F211" s="8"/>
      <c r="G211" s="8"/>
      <c r="H211" s="7" t="s">
        <v>49</v>
      </c>
      <c r="I211" s="7"/>
      <c r="J211" s="6" t="s">
        <v>49</v>
      </c>
      <c r="K211" s="9" t="s">
        <v>49</v>
      </c>
      <c r="L211" s="9" t="s">
        <v>49</v>
      </c>
      <c r="M211" s="8"/>
      <c r="N211" s="10">
        <v>43468</v>
      </c>
      <c r="O211" s="8"/>
      <c r="P211" s="9" t="s">
        <v>49</v>
      </c>
      <c r="Q211" s="9" t="s">
        <v>49</v>
      </c>
      <c r="R211" s="8"/>
      <c r="S211" s="8"/>
      <c r="T211" s="8"/>
      <c r="U211" s="8"/>
      <c r="V211" s="9" t="s">
        <v>49</v>
      </c>
      <c r="W211" s="9" t="s">
        <v>49</v>
      </c>
      <c r="X211" s="8"/>
      <c r="Y211" s="8"/>
      <c r="Z211" s="8"/>
      <c r="AA211" s="8"/>
      <c r="AB211" s="8"/>
      <c r="AC211" s="8"/>
      <c r="AD211" s="8"/>
      <c r="AE211" s="8"/>
      <c r="AF211" s="8"/>
      <c r="AG211" s="8"/>
      <c r="AH211" s="7" t="s">
        <v>57</v>
      </c>
      <c r="AI211" s="6" t="s">
        <v>49</v>
      </c>
      <c r="AJ211" s="6" t="s">
        <v>49</v>
      </c>
      <c r="AK211" s="6" t="s">
        <v>49</v>
      </c>
      <c r="AL211" s="9" t="s">
        <v>49</v>
      </c>
      <c r="AM211" s="9" t="s">
        <v>213</v>
      </c>
      <c r="AN211" s="6" t="s">
        <v>49</v>
      </c>
      <c r="AO211" s="9" t="s">
        <v>213</v>
      </c>
      <c r="AP211" s="11">
        <v>0</v>
      </c>
      <c r="AQ211" s="11">
        <v>0</v>
      </c>
      <c r="AR211" s="11">
        <v>0</v>
      </c>
      <c r="AS211" s="11">
        <v>0</v>
      </c>
      <c r="AT211" s="11">
        <v>0</v>
      </c>
      <c r="AU211" s="11">
        <v>0</v>
      </c>
      <c r="AV211" s="11" t="s">
        <v>57</v>
      </c>
    </row>
    <row r="212" spans="1:48" customFormat="1" ht="14.5" hidden="1">
      <c r="A212" s="6">
        <v>211</v>
      </c>
      <c r="B212" s="7" t="s">
        <v>505</v>
      </c>
      <c r="C212" s="7" t="s">
        <v>49</v>
      </c>
      <c r="D212" s="6">
        <v>12521</v>
      </c>
      <c r="E212" s="6" t="s">
        <v>506</v>
      </c>
      <c r="F212" s="8"/>
      <c r="G212" s="8"/>
      <c r="H212" s="7" t="s">
        <v>49</v>
      </c>
      <c r="I212" s="7"/>
      <c r="J212" s="6" t="s">
        <v>49</v>
      </c>
      <c r="K212" s="9" t="s">
        <v>49</v>
      </c>
      <c r="L212" s="9" t="s">
        <v>49</v>
      </c>
      <c r="M212" s="8"/>
      <c r="N212" s="10">
        <v>42795</v>
      </c>
      <c r="O212" s="10">
        <v>44651</v>
      </c>
      <c r="P212" s="9" t="s">
        <v>49</v>
      </c>
      <c r="Q212" s="9" t="s">
        <v>49</v>
      </c>
      <c r="R212" s="8"/>
      <c r="S212" s="8"/>
      <c r="T212" s="8"/>
      <c r="U212" s="8"/>
      <c r="V212" s="9" t="s">
        <v>49</v>
      </c>
      <c r="W212" s="9" t="s">
        <v>49</v>
      </c>
      <c r="X212" s="8"/>
      <c r="Y212" s="8"/>
      <c r="Z212" s="8"/>
      <c r="AA212" s="8"/>
      <c r="AB212" s="8"/>
      <c r="AC212" s="8"/>
      <c r="AD212" s="8"/>
      <c r="AE212" s="8"/>
      <c r="AF212" s="8"/>
      <c r="AG212" s="8"/>
      <c r="AH212" s="7" t="s">
        <v>51</v>
      </c>
      <c r="AI212" s="6" t="s">
        <v>49</v>
      </c>
      <c r="AJ212" s="6" t="s">
        <v>49</v>
      </c>
      <c r="AK212" s="6" t="s">
        <v>49</v>
      </c>
      <c r="AL212" s="9" t="s">
        <v>49</v>
      </c>
      <c r="AM212" s="9" t="s">
        <v>122</v>
      </c>
      <c r="AN212" s="6" t="s">
        <v>49</v>
      </c>
      <c r="AO212" s="9" t="s">
        <v>320</v>
      </c>
      <c r="AP212" s="11">
        <v>0</v>
      </c>
      <c r="AQ212" s="11">
        <v>0</v>
      </c>
      <c r="AR212" s="11">
        <v>0</v>
      </c>
      <c r="AS212" s="11">
        <v>0</v>
      </c>
      <c r="AT212" s="11">
        <v>0</v>
      </c>
      <c r="AU212" s="11">
        <v>0</v>
      </c>
      <c r="AV212" s="11" t="s">
        <v>51</v>
      </c>
    </row>
    <row r="213" spans="1:48" customFormat="1" ht="14.5" hidden="1">
      <c r="A213" s="6">
        <v>212</v>
      </c>
      <c r="B213" s="7" t="s">
        <v>507</v>
      </c>
      <c r="C213" s="7" t="s">
        <v>49</v>
      </c>
      <c r="D213" s="6">
        <v>15067</v>
      </c>
      <c r="E213" s="6" t="s">
        <v>49</v>
      </c>
      <c r="F213" s="8"/>
      <c r="G213" s="8"/>
      <c r="H213" s="7" t="s">
        <v>49</v>
      </c>
      <c r="I213" s="7"/>
      <c r="J213" s="6" t="s">
        <v>49</v>
      </c>
      <c r="K213" s="9" t="s">
        <v>49</v>
      </c>
      <c r="L213" s="9" t="s">
        <v>49</v>
      </c>
      <c r="M213" s="8"/>
      <c r="N213" s="10">
        <v>42947</v>
      </c>
      <c r="O213" s="10">
        <v>44196</v>
      </c>
      <c r="P213" s="9" t="s">
        <v>49</v>
      </c>
      <c r="Q213" s="9" t="s">
        <v>49</v>
      </c>
      <c r="R213" s="8"/>
      <c r="S213" s="8"/>
      <c r="T213" s="8"/>
      <c r="U213" s="8"/>
      <c r="V213" s="9" t="s">
        <v>49</v>
      </c>
      <c r="W213" s="9" t="s">
        <v>49</v>
      </c>
      <c r="X213" s="8"/>
      <c r="Y213" s="8"/>
      <c r="Z213" s="8"/>
      <c r="AA213" s="8"/>
      <c r="AB213" s="8"/>
      <c r="AC213" s="8"/>
      <c r="AD213" s="8"/>
      <c r="AE213" s="8"/>
      <c r="AF213" s="8"/>
      <c r="AG213" s="8"/>
      <c r="AH213" s="7" t="s">
        <v>51</v>
      </c>
      <c r="AI213" s="6" t="s">
        <v>71</v>
      </c>
      <c r="AJ213" s="6" t="s">
        <v>49</v>
      </c>
      <c r="AK213" s="6" t="s">
        <v>49</v>
      </c>
      <c r="AL213" s="9" t="s">
        <v>221</v>
      </c>
      <c r="AM213" s="9" t="s">
        <v>49</v>
      </c>
      <c r="AN213" s="6" t="s">
        <v>96</v>
      </c>
      <c r="AO213" s="9" t="s">
        <v>49</v>
      </c>
      <c r="AP213" s="11">
        <v>7248.8885899999996</v>
      </c>
      <c r="AQ213" s="11">
        <v>0</v>
      </c>
      <c r="AR213" s="11">
        <v>0</v>
      </c>
      <c r="AS213" s="11">
        <v>41681.266040000002</v>
      </c>
      <c r="AT213" s="11">
        <v>0</v>
      </c>
      <c r="AU213" s="11">
        <v>0</v>
      </c>
      <c r="AV213" s="11">
        <v>0</v>
      </c>
    </row>
    <row r="214" spans="1:48" customFormat="1" ht="14.5" hidden="1">
      <c r="A214" s="6">
        <v>213</v>
      </c>
      <c r="B214" s="7" t="s">
        <v>507</v>
      </c>
      <c r="C214" s="7" t="s">
        <v>49</v>
      </c>
      <c r="D214" s="6">
        <v>15067</v>
      </c>
      <c r="E214" s="6" t="s">
        <v>508</v>
      </c>
      <c r="F214" s="8"/>
      <c r="G214" s="8"/>
      <c r="H214" s="7" t="s">
        <v>49</v>
      </c>
      <c r="I214" s="7"/>
      <c r="J214" s="6" t="s">
        <v>49</v>
      </c>
      <c r="K214" s="9" t="s">
        <v>49</v>
      </c>
      <c r="L214" s="9" t="s">
        <v>49</v>
      </c>
      <c r="M214" s="12"/>
      <c r="N214" s="10">
        <v>43283</v>
      </c>
      <c r="O214" s="10">
        <v>43831</v>
      </c>
      <c r="P214" s="9" t="s">
        <v>49</v>
      </c>
      <c r="Q214" s="9" t="s">
        <v>49</v>
      </c>
      <c r="R214" s="8"/>
      <c r="S214" s="8"/>
      <c r="T214" s="8"/>
      <c r="U214" s="8"/>
      <c r="V214" s="9" t="s">
        <v>49</v>
      </c>
      <c r="W214" s="9" t="s">
        <v>49</v>
      </c>
      <c r="X214" s="8"/>
      <c r="Y214" s="8"/>
      <c r="Z214" s="8"/>
      <c r="AA214" s="8"/>
      <c r="AB214" s="8"/>
      <c r="AC214" s="8"/>
      <c r="AD214" s="8"/>
      <c r="AE214" s="8"/>
      <c r="AF214" s="8"/>
      <c r="AG214" s="8"/>
      <c r="AH214" s="7" t="s">
        <v>51</v>
      </c>
      <c r="AI214" s="6" t="s">
        <v>49</v>
      </c>
      <c r="AJ214" s="6" t="s">
        <v>49</v>
      </c>
      <c r="AK214" s="6" t="s">
        <v>49</v>
      </c>
      <c r="AL214" s="9" t="s">
        <v>49</v>
      </c>
      <c r="AM214" s="9" t="s">
        <v>221</v>
      </c>
      <c r="AN214" s="6" t="s">
        <v>49</v>
      </c>
      <c r="AO214" s="9" t="s">
        <v>221</v>
      </c>
      <c r="AP214" s="11">
        <v>0</v>
      </c>
      <c r="AQ214" s="11">
        <v>0</v>
      </c>
      <c r="AR214" s="11">
        <v>0</v>
      </c>
      <c r="AS214" s="11">
        <v>0</v>
      </c>
      <c r="AT214" s="11">
        <v>0</v>
      </c>
      <c r="AU214" s="11">
        <v>0</v>
      </c>
      <c r="AV214" s="11" t="s">
        <v>51</v>
      </c>
    </row>
    <row r="215" spans="1:48" customFormat="1" ht="14.5" hidden="1">
      <c r="A215" s="6">
        <v>214</v>
      </c>
      <c r="B215" s="7" t="s">
        <v>509</v>
      </c>
      <c r="C215" s="7" t="s">
        <v>49</v>
      </c>
      <c r="D215" s="6">
        <v>15067</v>
      </c>
      <c r="E215" s="6" t="s">
        <v>510</v>
      </c>
      <c r="F215" s="8"/>
      <c r="G215" s="8"/>
      <c r="H215" s="7" t="s">
        <v>49</v>
      </c>
      <c r="I215" s="7"/>
      <c r="J215" s="6" t="s">
        <v>49</v>
      </c>
      <c r="K215" s="9" t="s">
        <v>49</v>
      </c>
      <c r="L215" s="9" t="s">
        <v>49</v>
      </c>
      <c r="M215" s="12"/>
      <c r="N215" s="10">
        <v>42999</v>
      </c>
      <c r="O215" s="10">
        <v>43858</v>
      </c>
      <c r="P215" s="9" t="s">
        <v>49</v>
      </c>
      <c r="Q215" s="9" t="s">
        <v>49</v>
      </c>
      <c r="R215" s="8"/>
      <c r="S215" s="8"/>
      <c r="T215" s="8"/>
      <c r="U215" s="8"/>
      <c r="V215" s="9" t="s">
        <v>49</v>
      </c>
      <c r="W215" s="9" t="s">
        <v>49</v>
      </c>
      <c r="X215" s="8"/>
      <c r="Y215" s="8"/>
      <c r="Z215" s="8"/>
      <c r="AA215" s="8"/>
      <c r="AB215" s="8"/>
      <c r="AC215" s="8"/>
      <c r="AD215" s="8"/>
      <c r="AE215" s="8"/>
      <c r="AF215" s="8"/>
      <c r="AG215" s="8"/>
      <c r="AH215" s="7" t="s">
        <v>51</v>
      </c>
      <c r="AI215" s="6" t="s">
        <v>49</v>
      </c>
      <c r="AJ215" s="6" t="s">
        <v>49</v>
      </c>
      <c r="AK215" s="6" t="s">
        <v>49</v>
      </c>
      <c r="AL215" s="9" t="s">
        <v>49</v>
      </c>
      <c r="AM215" s="9" t="s">
        <v>221</v>
      </c>
      <c r="AN215" s="6" t="s">
        <v>49</v>
      </c>
      <c r="AO215" s="9" t="s">
        <v>159</v>
      </c>
      <c r="AP215" s="11">
        <v>0</v>
      </c>
      <c r="AQ215" s="11">
        <v>0</v>
      </c>
      <c r="AR215" s="11">
        <v>0</v>
      </c>
      <c r="AS215" s="11">
        <v>0</v>
      </c>
      <c r="AT215" s="11">
        <v>0</v>
      </c>
      <c r="AU215" s="11">
        <v>0</v>
      </c>
      <c r="AV215" s="11" t="s">
        <v>51</v>
      </c>
    </row>
    <row r="216" spans="1:48" customFormat="1" ht="14.5" hidden="1">
      <c r="A216" s="6">
        <v>215</v>
      </c>
      <c r="B216" s="7" t="s">
        <v>511</v>
      </c>
      <c r="C216" s="7" t="s">
        <v>512</v>
      </c>
      <c r="D216" s="8"/>
      <c r="E216" s="6" t="s">
        <v>104</v>
      </c>
      <c r="F216" s="8"/>
      <c r="G216" s="8"/>
      <c r="H216" s="7" t="s">
        <v>49</v>
      </c>
      <c r="I216" s="7"/>
      <c r="J216" s="6" t="s">
        <v>49</v>
      </c>
      <c r="K216" s="9" t="s">
        <v>49</v>
      </c>
      <c r="L216" s="9" t="s">
        <v>49</v>
      </c>
      <c r="M216" s="26">
        <v>150</v>
      </c>
      <c r="N216" s="8"/>
      <c r="O216" s="8"/>
      <c r="P216" s="9" t="s">
        <v>49</v>
      </c>
      <c r="Q216" s="9" t="s">
        <v>49</v>
      </c>
      <c r="R216" s="8"/>
      <c r="S216" s="8"/>
      <c r="T216" s="8"/>
      <c r="U216" s="8"/>
      <c r="V216" s="9" t="s">
        <v>49</v>
      </c>
      <c r="W216" s="9" t="s">
        <v>49</v>
      </c>
      <c r="X216" s="8"/>
      <c r="Y216" s="8"/>
      <c r="Z216" s="8"/>
      <c r="AA216" s="8"/>
      <c r="AB216" s="8"/>
      <c r="AC216" s="8"/>
      <c r="AD216" s="8"/>
      <c r="AE216" s="8"/>
      <c r="AF216" s="8"/>
      <c r="AG216" s="8"/>
      <c r="AH216" s="7" t="s">
        <v>49</v>
      </c>
      <c r="AI216" s="6" t="s">
        <v>49</v>
      </c>
      <c r="AJ216" s="6" t="s">
        <v>49</v>
      </c>
      <c r="AK216" s="6" t="s">
        <v>49</v>
      </c>
      <c r="AL216" s="9" t="s">
        <v>49</v>
      </c>
      <c r="AM216" s="9" t="s">
        <v>49</v>
      </c>
      <c r="AN216" s="6" t="s">
        <v>49</v>
      </c>
      <c r="AO216" s="9" t="s">
        <v>49</v>
      </c>
      <c r="AP216" s="11">
        <v>0</v>
      </c>
      <c r="AQ216" s="11">
        <v>0</v>
      </c>
      <c r="AR216" s="11">
        <v>0</v>
      </c>
      <c r="AS216" s="11">
        <v>0</v>
      </c>
      <c r="AT216" s="11">
        <v>0</v>
      </c>
      <c r="AU216" s="11">
        <v>0</v>
      </c>
      <c r="AV216" s="11">
        <v>0</v>
      </c>
    </row>
    <row r="217" spans="1:48" customFormat="1" ht="14.5" hidden="1">
      <c r="A217" s="6">
        <v>216</v>
      </c>
      <c r="B217" s="7" t="s">
        <v>513</v>
      </c>
      <c r="C217" s="7" t="s">
        <v>49</v>
      </c>
      <c r="D217" s="6">
        <v>15644</v>
      </c>
      <c r="E217" s="6" t="s">
        <v>49</v>
      </c>
      <c r="F217" s="12"/>
      <c r="G217" s="8"/>
      <c r="H217" s="7" t="s">
        <v>49</v>
      </c>
      <c r="I217" s="7"/>
      <c r="J217" s="6" t="s">
        <v>49</v>
      </c>
      <c r="K217" s="9" t="s">
        <v>49</v>
      </c>
      <c r="L217" s="9" t="s">
        <v>49</v>
      </c>
      <c r="M217" s="12"/>
      <c r="N217" s="12"/>
      <c r="O217" s="12"/>
      <c r="P217" s="9" t="s">
        <v>49</v>
      </c>
      <c r="Q217" s="9" t="s">
        <v>49</v>
      </c>
      <c r="R217" s="12"/>
      <c r="S217" s="12"/>
      <c r="T217" s="12"/>
      <c r="U217" s="12"/>
      <c r="V217" s="9" t="s">
        <v>49</v>
      </c>
      <c r="W217" s="9" t="s">
        <v>49</v>
      </c>
      <c r="X217" s="8"/>
      <c r="Y217" s="12"/>
      <c r="Z217" s="8"/>
      <c r="AA217" s="8"/>
      <c r="AB217" s="12"/>
      <c r="AC217" s="8"/>
      <c r="AD217" s="12"/>
      <c r="AE217" s="12"/>
      <c r="AF217" s="8"/>
      <c r="AG217" s="12"/>
      <c r="AH217" s="7" t="s">
        <v>79</v>
      </c>
      <c r="AI217" s="6" t="s">
        <v>110</v>
      </c>
      <c r="AJ217" s="6" t="s">
        <v>49</v>
      </c>
      <c r="AK217" s="6" t="s">
        <v>49</v>
      </c>
      <c r="AL217" s="9" t="s">
        <v>111</v>
      </c>
      <c r="AM217" s="9" t="s">
        <v>49</v>
      </c>
      <c r="AN217" s="6" t="s">
        <v>82</v>
      </c>
      <c r="AO217" s="9" t="s">
        <v>49</v>
      </c>
      <c r="AP217" s="11">
        <v>7248.8885899999996</v>
      </c>
      <c r="AQ217" s="11">
        <v>0</v>
      </c>
      <c r="AR217" s="11">
        <v>0</v>
      </c>
      <c r="AS217" s="11">
        <v>41681.266040000002</v>
      </c>
      <c r="AT217" s="11">
        <v>0</v>
      </c>
      <c r="AU217" s="11">
        <v>0</v>
      </c>
      <c r="AV217" s="11">
        <v>0</v>
      </c>
    </row>
    <row r="218" spans="1:48" customFormat="1" ht="14.5" hidden="1">
      <c r="A218" s="6">
        <v>217</v>
      </c>
      <c r="B218" s="7" t="s">
        <v>514</v>
      </c>
      <c r="C218" s="7" t="s">
        <v>49</v>
      </c>
      <c r="D218" s="6">
        <v>15599</v>
      </c>
      <c r="E218" s="6" t="s">
        <v>515</v>
      </c>
      <c r="F218" s="8"/>
      <c r="G218" s="8"/>
      <c r="H218" s="7" t="s">
        <v>49</v>
      </c>
      <c r="I218" s="7"/>
      <c r="J218" s="6" t="s">
        <v>49</v>
      </c>
      <c r="K218" s="9" t="s">
        <v>49</v>
      </c>
      <c r="L218" s="9" t="s">
        <v>49</v>
      </c>
      <c r="M218" s="8"/>
      <c r="N218" s="12"/>
      <c r="O218" s="10">
        <v>43525</v>
      </c>
      <c r="P218" s="9" t="s">
        <v>49</v>
      </c>
      <c r="Q218" s="9" t="s">
        <v>49</v>
      </c>
      <c r="R218" s="8"/>
      <c r="S218" s="8"/>
      <c r="T218" s="8"/>
      <c r="U218" s="8"/>
      <c r="V218" s="9" t="s">
        <v>49</v>
      </c>
      <c r="W218" s="9" t="s">
        <v>49</v>
      </c>
      <c r="X218" s="8"/>
      <c r="Y218" s="8"/>
      <c r="Z218" s="8"/>
      <c r="AA218" s="8"/>
      <c r="AB218" s="8"/>
      <c r="AC218" s="8"/>
      <c r="AD218" s="8"/>
      <c r="AE218" s="8"/>
      <c r="AF218" s="8"/>
      <c r="AG218" s="8"/>
      <c r="AH218" s="7" t="s">
        <v>57</v>
      </c>
      <c r="AI218" s="6" t="s">
        <v>49</v>
      </c>
      <c r="AJ218" s="6" t="s">
        <v>49</v>
      </c>
      <c r="AK218" s="6" t="s">
        <v>49</v>
      </c>
      <c r="AL218" s="9" t="s">
        <v>49</v>
      </c>
      <c r="AM218" s="9" t="s">
        <v>343</v>
      </c>
      <c r="AN218" s="6" t="s">
        <v>49</v>
      </c>
      <c r="AO218" s="9" t="s">
        <v>343</v>
      </c>
      <c r="AP218" s="11">
        <v>0</v>
      </c>
      <c r="AQ218" s="11">
        <v>0</v>
      </c>
      <c r="AR218" s="11">
        <v>0</v>
      </c>
      <c r="AS218" s="11">
        <v>0</v>
      </c>
      <c r="AT218" s="11">
        <v>0</v>
      </c>
      <c r="AU218" s="11">
        <v>0</v>
      </c>
      <c r="AV218" s="11" t="s">
        <v>57</v>
      </c>
    </row>
    <row r="219" spans="1:48" customFormat="1" ht="14.5" hidden="1">
      <c r="A219" s="6">
        <v>218</v>
      </c>
      <c r="B219" s="7" t="s">
        <v>516</v>
      </c>
      <c r="C219" s="7" t="s">
        <v>49</v>
      </c>
      <c r="D219" s="6">
        <v>15441</v>
      </c>
      <c r="E219" s="6" t="s">
        <v>517</v>
      </c>
      <c r="F219" s="12"/>
      <c r="G219" s="8"/>
      <c r="H219" s="7" t="s">
        <v>49</v>
      </c>
      <c r="I219" s="7"/>
      <c r="J219" s="6" t="s">
        <v>49</v>
      </c>
      <c r="K219" s="9" t="s">
        <v>49</v>
      </c>
      <c r="L219" s="9" t="s">
        <v>49</v>
      </c>
      <c r="M219" s="8"/>
      <c r="N219" s="12"/>
      <c r="O219" s="12"/>
      <c r="P219" s="9" t="s">
        <v>49</v>
      </c>
      <c r="Q219" s="9" t="s">
        <v>49</v>
      </c>
      <c r="R219" s="8"/>
      <c r="S219" s="8"/>
      <c r="T219" s="8"/>
      <c r="U219" s="8"/>
      <c r="V219" s="9" t="s">
        <v>49</v>
      </c>
      <c r="W219" s="9" t="s">
        <v>49</v>
      </c>
      <c r="X219" s="8"/>
      <c r="Y219" s="8"/>
      <c r="Z219" s="8"/>
      <c r="AA219" s="12"/>
      <c r="AB219" s="12"/>
      <c r="AC219" s="12"/>
      <c r="AD219" s="12"/>
      <c r="AE219" s="8"/>
      <c r="AF219" s="12"/>
      <c r="AG219" s="12"/>
      <c r="AH219" s="7" t="s">
        <v>79</v>
      </c>
      <c r="AI219" s="6" t="s">
        <v>49</v>
      </c>
      <c r="AJ219" s="6" t="s">
        <v>49</v>
      </c>
      <c r="AK219" s="6" t="s">
        <v>49</v>
      </c>
      <c r="AL219" s="9" t="s">
        <v>49</v>
      </c>
      <c r="AM219" s="9" t="s">
        <v>518</v>
      </c>
      <c r="AN219" s="6" t="s">
        <v>49</v>
      </c>
      <c r="AO219" s="9" t="s">
        <v>518</v>
      </c>
      <c r="AP219" s="11">
        <v>0</v>
      </c>
      <c r="AQ219" s="11">
        <v>0</v>
      </c>
      <c r="AR219" s="11">
        <v>0</v>
      </c>
      <c r="AS219" s="11">
        <v>0</v>
      </c>
      <c r="AT219" s="11">
        <v>0</v>
      </c>
      <c r="AU219" s="11">
        <v>0</v>
      </c>
      <c r="AV219" s="11" t="s">
        <v>79</v>
      </c>
    </row>
    <row r="220" spans="1:48" customFormat="1" ht="14.5" hidden="1">
      <c r="A220" s="6">
        <v>219</v>
      </c>
      <c r="B220" s="7" t="s">
        <v>519</v>
      </c>
      <c r="C220" s="7" t="s">
        <v>49</v>
      </c>
      <c r="D220" s="6">
        <v>12649</v>
      </c>
      <c r="E220" s="6" t="s">
        <v>49</v>
      </c>
      <c r="F220" s="8"/>
      <c r="G220" s="8"/>
      <c r="H220" s="7" t="s">
        <v>49</v>
      </c>
      <c r="I220" s="7"/>
      <c r="J220" s="6" t="s">
        <v>49</v>
      </c>
      <c r="K220" s="9" t="s">
        <v>49</v>
      </c>
      <c r="L220" s="9" t="s">
        <v>49</v>
      </c>
      <c r="M220" s="8"/>
      <c r="N220" s="10">
        <v>42982</v>
      </c>
      <c r="O220" s="10">
        <v>44561</v>
      </c>
      <c r="P220" s="9" t="s">
        <v>49</v>
      </c>
      <c r="Q220" s="9" t="s">
        <v>49</v>
      </c>
      <c r="R220" s="8"/>
      <c r="S220" s="8"/>
      <c r="T220" s="8"/>
      <c r="U220" s="8"/>
      <c r="V220" s="9" t="s">
        <v>49</v>
      </c>
      <c r="W220" s="9" t="s">
        <v>49</v>
      </c>
      <c r="X220" s="8"/>
      <c r="Y220" s="8"/>
      <c r="Z220" s="8"/>
      <c r="AA220" s="8"/>
      <c r="AB220" s="8"/>
      <c r="AC220" s="8"/>
      <c r="AD220" s="8"/>
      <c r="AE220" s="8"/>
      <c r="AF220" s="8"/>
      <c r="AG220" s="8"/>
      <c r="AH220" s="7" t="s">
        <v>51</v>
      </c>
      <c r="AI220" s="6" t="s">
        <v>71</v>
      </c>
      <c r="AJ220" s="6" t="s">
        <v>49</v>
      </c>
      <c r="AK220" s="6" t="s">
        <v>520</v>
      </c>
      <c r="AL220" s="9" t="s">
        <v>521</v>
      </c>
      <c r="AM220" s="9" t="s">
        <v>49</v>
      </c>
      <c r="AN220" s="6" t="s">
        <v>96</v>
      </c>
      <c r="AO220" s="9" t="s">
        <v>49</v>
      </c>
      <c r="AP220" s="11">
        <v>7248.8885899999996</v>
      </c>
      <c r="AQ220" s="11">
        <v>0</v>
      </c>
      <c r="AR220" s="11">
        <v>0</v>
      </c>
      <c r="AS220" s="11">
        <v>41681.266040000002</v>
      </c>
      <c r="AT220" s="11">
        <v>0</v>
      </c>
      <c r="AU220" s="11">
        <v>0</v>
      </c>
      <c r="AV220" s="11">
        <v>0</v>
      </c>
    </row>
    <row r="221" spans="1:48" customFormat="1" ht="14.5" hidden="1">
      <c r="A221" s="6">
        <v>220</v>
      </c>
      <c r="B221" s="7" t="s">
        <v>522</v>
      </c>
      <c r="C221" s="7" t="s">
        <v>49</v>
      </c>
      <c r="D221" s="6">
        <v>12649</v>
      </c>
      <c r="E221" s="6" t="s">
        <v>523</v>
      </c>
      <c r="F221" s="8"/>
      <c r="G221" s="8"/>
      <c r="H221" s="7" t="s">
        <v>49</v>
      </c>
      <c r="I221" s="7"/>
      <c r="J221" s="6" t="s">
        <v>49</v>
      </c>
      <c r="K221" s="9" t="s">
        <v>49</v>
      </c>
      <c r="L221" s="9" t="s">
        <v>49</v>
      </c>
      <c r="M221" s="12"/>
      <c r="N221" s="10">
        <v>42982</v>
      </c>
      <c r="O221" s="10">
        <v>44561</v>
      </c>
      <c r="P221" s="9" t="s">
        <v>49</v>
      </c>
      <c r="Q221" s="9" t="s">
        <v>49</v>
      </c>
      <c r="R221" s="8"/>
      <c r="S221" s="8"/>
      <c r="T221" s="8"/>
      <c r="U221" s="8"/>
      <c r="V221" s="9" t="s">
        <v>49</v>
      </c>
      <c r="W221" s="9" t="s">
        <v>49</v>
      </c>
      <c r="X221" s="8"/>
      <c r="Y221" s="8"/>
      <c r="Z221" s="8"/>
      <c r="AA221" s="8"/>
      <c r="AB221" s="8"/>
      <c r="AC221" s="8"/>
      <c r="AD221" s="8"/>
      <c r="AE221" s="8"/>
      <c r="AF221" s="8"/>
      <c r="AG221" s="8"/>
      <c r="AH221" s="7" t="s">
        <v>57</v>
      </c>
      <c r="AI221" s="6" t="s">
        <v>49</v>
      </c>
      <c r="AJ221" s="6" t="s">
        <v>49</v>
      </c>
      <c r="AK221" s="6" t="s">
        <v>49</v>
      </c>
      <c r="AL221" s="9" t="s">
        <v>49</v>
      </c>
      <c r="AM221" s="9" t="s">
        <v>524</v>
      </c>
      <c r="AN221" s="6" t="s">
        <v>49</v>
      </c>
      <c r="AO221" s="9" t="s">
        <v>524</v>
      </c>
      <c r="AP221" s="11">
        <v>0</v>
      </c>
      <c r="AQ221" s="11">
        <v>0</v>
      </c>
      <c r="AR221" s="11">
        <v>0</v>
      </c>
      <c r="AS221" s="11">
        <v>0</v>
      </c>
      <c r="AT221" s="11">
        <v>0</v>
      </c>
      <c r="AU221" s="11">
        <v>0</v>
      </c>
      <c r="AV221" s="11" t="s">
        <v>57</v>
      </c>
    </row>
    <row r="222" spans="1:48" customFormat="1" ht="14.5" hidden="1">
      <c r="A222" s="6">
        <v>221</v>
      </c>
      <c r="B222" s="7" t="s">
        <v>525</v>
      </c>
      <c r="C222" s="7" t="s">
        <v>49</v>
      </c>
      <c r="D222" s="6">
        <v>12649</v>
      </c>
      <c r="E222" s="6" t="s">
        <v>526</v>
      </c>
      <c r="F222" s="12"/>
      <c r="G222" s="8"/>
      <c r="H222" s="7" t="s">
        <v>49</v>
      </c>
      <c r="I222" s="7"/>
      <c r="J222" s="6" t="s">
        <v>49</v>
      </c>
      <c r="K222" s="9" t="s">
        <v>49</v>
      </c>
      <c r="L222" s="9" t="s">
        <v>49</v>
      </c>
      <c r="M222" s="8"/>
      <c r="N222" s="12"/>
      <c r="O222" s="10">
        <v>44561</v>
      </c>
      <c r="P222" s="9" t="s">
        <v>49</v>
      </c>
      <c r="Q222" s="9" t="s">
        <v>49</v>
      </c>
      <c r="R222" s="8"/>
      <c r="S222" s="8"/>
      <c r="T222" s="8"/>
      <c r="U222" s="8"/>
      <c r="V222" s="9" t="s">
        <v>49</v>
      </c>
      <c r="W222" s="9" t="s">
        <v>49</v>
      </c>
      <c r="X222" s="8"/>
      <c r="Y222" s="8"/>
      <c r="Z222" s="12"/>
      <c r="AA222" s="8"/>
      <c r="AB222" s="12"/>
      <c r="AC222" s="8"/>
      <c r="AD222" s="12"/>
      <c r="AE222" s="12"/>
      <c r="AF222" s="8"/>
      <c r="AG222" s="12"/>
      <c r="AH222" s="7" t="s">
        <v>57</v>
      </c>
      <c r="AI222" s="6" t="s">
        <v>49</v>
      </c>
      <c r="AJ222" s="6" t="s">
        <v>49</v>
      </c>
      <c r="AK222" s="6" t="s">
        <v>49</v>
      </c>
      <c r="AL222" s="9" t="s">
        <v>49</v>
      </c>
      <c r="AM222" s="9" t="s">
        <v>524</v>
      </c>
      <c r="AN222" s="6" t="s">
        <v>49</v>
      </c>
      <c r="AO222" s="9" t="s">
        <v>524</v>
      </c>
      <c r="AP222" s="11">
        <v>0</v>
      </c>
      <c r="AQ222" s="11">
        <v>0</v>
      </c>
      <c r="AR222" s="11">
        <v>0</v>
      </c>
      <c r="AS222" s="11">
        <v>0</v>
      </c>
      <c r="AT222" s="11">
        <v>0</v>
      </c>
      <c r="AU222" s="11">
        <v>0</v>
      </c>
      <c r="AV222" s="11" t="s">
        <v>57</v>
      </c>
    </row>
    <row r="223" spans="1:48" customFormat="1" ht="14.5" hidden="1">
      <c r="A223" s="6">
        <v>222</v>
      </c>
      <c r="B223" s="7" t="s">
        <v>527</v>
      </c>
      <c r="C223" s="7" t="s">
        <v>49</v>
      </c>
      <c r="D223" s="6">
        <v>12649</v>
      </c>
      <c r="E223" s="6" t="s">
        <v>528</v>
      </c>
      <c r="F223" s="8"/>
      <c r="G223" s="8"/>
      <c r="H223" s="7" t="s">
        <v>49</v>
      </c>
      <c r="I223" s="7"/>
      <c r="J223" s="6" t="s">
        <v>49</v>
      </c>
      <c r="K223" s="9" t="s">
        <v>49</v>
      </c>
      <c r="L223" s="9" t="s">
        <v>49</v>
      </c>
      <c r="M223" s="8"/>
      <c r="N223" s="12"/>
      <c r="O223" s="10">
        <v>44561</v>
      </c>
      <c r="P223" s="9" t="s">
        <v>49</v>
      </c>
      <c r="Q223" s="9" t="s">
        <v>49</v>
      </c>
      <c r="R223" s="8"/>
      <c r="S223" s="8"/>
      <c r="T223" s="8"/>
      <c r="U223" s="8"/>
      <c r="V223" s="9" t="s">
        <v>49</v>
      </c>
      <c r="W223" s="9" t="s">
        <v>49</v>
      </c>
      <c r="X223" s="8"/>
      <c r="Y223" s="8"/>
      <c r="Z223" s="8"/>
      <c r="AA223" s="12"/>
      <c r="AB223" s="12"/>
      <c r="AC223" s="8"/>
      <c r="AD223" s="12"/>
      <c r="AE223" s="8"/>
      <c r="AF223" s="12"/>
      <c r="AG223" s="12"/>
      <c r="AH223" s="7" t="s">
        <v>57</v>
      </c>
      <c r="AI223" s="6" t="s">
        <v>49</v>
      </c>
      <c r="AJ223" s="6" t="s">
        <v>49</v>
      </c>
      <c r="AK223" s="6" t="s">
        <v>49</v>
      </c>
      <c r="AL223" s="9" t="s">
        <v>49</v>
      </c>
      <c r="AM223" s="9" t="s">
        <v>524</v>
      </c>
      <c r="AN223" s="6" t="s">
        <v>49</v>
      </c>
      <c r="AO223" s="9" t="s">
        <v>524</v>
      </c>
      <c r="AP223" s="11">
        <v>0</v>
      </c>
      <c r="AQ223" s="11">
        <v>0</v>
      </c>
      <c r="AR223" s="11">
        <v>0</v>
      </c>
      <c r="AS223" s="11">
        <v>0</v>
      </c>
      <c r="AT223" s="11">
        <v>0</v>
      </c>
      <c r="AU223" s="11">
        <v>0</v>
      </c>
      <c r="AV223" s="11" t="s">
        <v>57</v>
      </c>
    </row>
    <row r="224" spans="1:48" customFormat="1" ht="14.5" hidden="1">
      <c r="A224" s="6">
        <v>223</v>
      </c>
      <c r="B224" s="7" t="s">
        <v>529</v>
      </c>
      <c r="C224" s="7" t="s">
        <v>49</v>
      </c>
      <c r="D224" s="6">
        <v>12649</v>
      </c>
      <c r="E224" s="6" t="s">
        <v>530</v>
      </c>
      <c r="F224" s="8"/>
      <c r="G224" s="8"/>
      <c r="H224" s="7" t="s">
        <v>49</v>
      </c>
      <c r="I224" s="7"/>
      <c r="J224" s="6" t="s">
        <v>49</v>
      </c>
      <c r="K224" s="9" t="s">
        <v>49</v>
      </c>
      <c r="L224" s="9" t="s">
        <v>49</v>
      </c>
      <c r="M224" s="8"/>
      <c r="N224" s="10">
        <v>43591</v>
      </c>
      <c r="O224" s="10">
        <v>44561</v>
      </c>
      <c r="P224" s="9" t="s">
        <v>49</v>
      </c>
      <c r="Q224" s="9" t="s">
        <v>49</v>
      </c>
      <c r="R224" s="8"/>
      <c r="S224" s="8"/>
      <c r="T224" s="8"/>
      <c r="U224" s="8"/>
      <c r="V224" s="9" t="s">
        <v>49</v>
      </c>
      <c r="W224" s="9" t="s">
        <v>49</v>
      </c>
      <c r="X224" s="8"/>
      <c r="Y224" s="8"/>
      <c r="Z224" s="8"/>
      <c r="AA224" s="8"/>
      <c r="AB224" s="8"/>
      <c r="AC224" s="8"/>
      <c r="AD224" s="8"/>
      <c r="AE224" s="8"/>
      <c r="AF224" s="8"/>
      <c r="AG224" s="8"/>
      <c r="AH224" s="7" t="s">
        <v>57</v>
      </c>
      <c r="AI224" s="6" t="s">
        <v>49</v>
      </c>
      <c r="AJ224" s="6" t="s">
        <v>49</v>
      </c>
      <c r="AK224" s="6" t="s">
        <v>49</v>
      </c>
      <c r="AL224" s="9" t="s">
        <v>49</v>
      </c>
      <c r="AM224" s="9" t="s">
        <v>524</v>
      </c>
      <c r="AN224" s="6" t="s">
        <v>49</v>
      </c>
      <c r="AO224" s="9" t="s">
        <v>524</v>
      </c>
      <c r="AP224" s="11">
        <v>0</v>
      </c>
      <c r="AQ224" s="11">
        <v>0</v>
      </c>
      <c r="AR224" s="11">
        <v>0</v>
      </c>
      <c r="AS224" s="11">
        <v>0</v>
      </c>
      <c r="AT224" s="11">
        <v>0</v>
      </c>
      <c r="AU224" s="11">
        <v>0</v>
      </c>
      <c r="AV224" s="11" t="s">
        <v>57</v>
      </c>
    </row>
    <row r="225" spans="1:50" customFormat="1" ht="14.5" hidden="1">
      <c r="A225" s="6">
        <v>224</v>
      </c>
      <c r="B225" s="7" t="s">
        <v>531</v>
      </c>
      <c r="C225" s="7" t="s">
        <v>49</v>
      </c>
      <c r="D225" s="6">
        <v>12649</v>
      </c>
      <c r="E225" s="6" t="s">
        <v>532</v>
      </c>
      <c r="F225" s="8"/>
      <c r="G225" s="8"/>
      <c r="H225" s="7" t="s">
        <v>49</v>
      </c>
      <c r="I225" s="7"/>
      <c r="J225" s="6" t="s">
        <v>49</v>
      </c>
      <c r="K225" s="9" t="s">
        <v>49</v>
      </c>
      <c r="L225" s="9" t="s">
        <v>49</v>
      </c>
      <c r="M225" s="8"/>
      <c r="N225" s="12"/>
      <c r="O225" s="10">
        <v>44561</v>
      </c>
      <c r="P225" s="9" t="s">
        <v>49</v>
      </c>
      <c r="Q225" s="9" t="s">
        <v>49</v>
      </c>
      <c r="R225" s="8"/>
      <c r="S225" s="8"/>
      <c r="T225" s="8"/>
      <c r="U225" s="8"/>
      <c r="V225" s="9" t="s">
        <v>49</v>
      </c>
      <c r="W225" s="9" t="s">
        <v>49</v>
      </c>
      <c r="X225" s="8"/>
      <c r="Y225" s="8"/>
      <c r="Z225" s="8"/>
      <c r="AA225" s="8"/>
      <c r="AB225" s="8"/>
      <c r="AC225" s="8"/>
      <c r="AD225" s="8"/>
      <c r="AE225" s="8"/>
      <c r="AF225" s="8"/>
      <c r="AG225" s="8"/>
      <c r="AH225" s="7" t="s">
        <v>57</v>
      </c>
      <c r="AI225" s="6" t="s">
        <v>49</v>
      </c>
      <c r="AJ225" s="6" t="s">
        <v>49</v>
      </c>
      <c r="AK225" s="6" t="s">
        <v>49</v>
      </c>
      <c r="AL225" s="9" t="s">
        <v>49</v>
      </c>
      <c r="AM225" s="9" t="s">
        <v>524</v>
      </c>
      <c r="AN225" s="6" t="s">
        <v>49</v>
      </c>
      <c r="AO225" s="9" t="s">
        <v>524</v>
      </c>
      <c r="AP225" s="11">
        <v>0</v>
      </c>
      <c r="AQ225" s="11">
        <v>0</v>
      </c>
      <c r="AR225" s="11">
        <v>0</v>
      </c>
      <c r="AS225" s="11">
        <v>0</v>
      </c>
      <c r="AT225" s="11">
        <v>0</v>
      </c>
      <c r="AU225" s="11">
        <v>0</v>
      </c>
      <c r="AV225" s="11" t="s">
        <v>57</v>
      </c>
    </row>
    <row r="226" spans="1:50" customFormat="1" ht="14.5" hidden="1">
      <c r="A226" s="6">
        <v>225</v>
      </c>
      <c r="B226" s="7" t="s">
        <v>533</v>
      </c>
      <c r="C226" s="7" t="s">
        <v>49</v>
      </c>
      <c r="D226" s="6">
        <v>12649</v>
      </c>
      <c r="E226" s="6" t="s">
        <v>534</v>
      </c>
      <c r="F226" s="8"/>
      <c r="G226" s="8"/>
      <c r="H226" s="7" t="s">
        <v>49</v>
      </c>
      <c r="I226" s="7"/>
      <c r="J226" s="6" t="s">
        <v>49</v>
      </c>
      <c r="K226" s="9" t="s">
        <v>49</v>
      </c>
      <c r="L226" s="9" t="s">
        <v>49</v>
      </c>
      <c r="M226" s="8"/>
      <c r="N226" s="10">
        <v>43598</v>
      </c>
      <c r="O226" s="10">
        <v>44344</v>
      </c>
      <c r="P226" s="9" t="s">
        <v>49</v>
      </c>
      <c r="Q226" s="9" t="s">
        <v>49</v>
      </c>
      <c r="R226" s="8"/>
      <c r="S226" s="8"/>
      <c r="T226" s="8"/>
      <c r="U226" s="8"/>
      <c r="V226" s="9" t="s">
        <v>49</v>
      </c>
      <c r="W226" s="9" t="s">
        <v>49</v>
      </c>
      <c r="X226" s="8"/>
      <c r="Y226" s="8"/>
      <c r="Z226" s="8"/>
      <c r="AA226" s="8"/>
      <c r="AB226" s="8"/>
      <c r="AC226" s="8"/>
      <c r="AD226" s="8"/>
      <c r="AE226" s="8"/>
      <c r="AF226" s="8"/>
      <c r="AG226" s="8"/>
      <c r="AH226" s="7" t="s">
        <v>57</v>
      </c>
      <c r="AI226" s="6" t="s">
        <v>49</v>
      </c>
      <c r="AJ226" s="6" t="s">
        <v>49</v>
      </c>
      <c r="AK226" s="6" t="s">
        <v>49</v>
      </c>
      <c r="AL226" s="9" t="s">
        <v>49</v>
      </c>
      <c r="AM226" s="9" t="s">
        <v>535</v>
      </c>
      <c r="AN226" s="6" t="s">
        <v>49</v>
      </c>
      <c r="AO226" s="9" t="s">
        <v>536</v>
      </c>
      <c r="AP226" s="11">
        <v>0</v>
      </c>
      <c r="AQ226" s="11">
        <v>0</v>
      </c>
      <c r="AR226" s="11">
        <v>0</v>
      </c>
      <c r="AS226" s="11">
        <v>0</v>
      </c>
      <c r="AT226" s="11">
        <v>0</v>
      </c>
      <c r="AU226" s="11">
        <v>0</v>
      </c>
      <c r="AV226" s="11" t="s">
        <v>57</v>
      </c>
    </row>
    <row r="227" spans="1:50" customFormat="1" ht="14.5" hidden="1">
      <c r="A227" s="6">
        <v>226</v>
      </c>
      <c r="B227" s="7" t="s">
        <v>537</v>
      </c>
      <c r="C227" s="7" t="s">
        <v>49</v>
      </c>
      <c r="D227" s="6">
        <v>12649</v>
      </c>
      <c r="E227" s="6" t="s">
        <v>538</v>
      </c>
      <c r="F227" s="8"/>
      <c r="G227" s="8"/>
      <c r="H227" s="7" t="s">
        <v>49</v>
      </c>
      <c r="I227" s="7"/>
      <c r="J227" s="6" t="s">
        <v>49</v>
      </c>
      <c r="K227" s="9" t="s">
        <v>49</v>
      </c>
      <c r="L227" s="9" t="s">
        <v>49</v>
      </c>
      <c r="M227" s="8"/>
      <c r="N227" s="12"/>
      <c r="O227" s="10">
        <v>44561</v>
      </c>
      <c r="P227" s="9" t="s">
        <v>49</v>
      </c>
      <c r="Q227" s="9" t="s">
        <v>49</v>
      </c>
      <c r="R227" s="8"/>
      <c r="S227" s="8"/>
      <c r="T227" s="8"/>
      <c r="U227" s="8"/>
      <c r="V227" s="9" t="s">
        <v>49</v>
      </c>
      <c r="W227" s="9" t="s">
        <v>49</v>
      </c>
      <c r="X227" s="8"/>
      <c r="Y227" s="8"/>
      <c r="Z227" s="8"/>
      <c r="AA227" s="8"/>
      <c r="AB227" s="8"/>
      <c r="AC227" s="8"/>
      <c r="AD227" s="8"/>
      <c r="AE227" s="8"/>
      <c r="AF227" s="8"/>
      <c r="AG227" s="8"/>
      <c r="AH227" s="7" t="s">
        <v>57</v>
      </c>
      <c r="AI227" s="6" t="s">
        <v>49</v>
      </c>
      <c r="AJ227" s="6" t="s">
        <v>49</v>
      </c>
      <c r="AK227" s="6" t="s">
        <v>49</v>
      </c>
      <c r="AL227" s="9" t="s">
        <v>49</v>
      </c>
      <c r="AM227" s="9" t="s">
        <v>524</v>
      </c>
      <c r="AN227" s="6" t="s">
        <v>49</v>
      </c>
      <c r="AO227" s="9" t="s">
        <v>524</v>
      </c>
      <c r="AP227" s="11">
        <v>0</v>
      </c>
      <c r="AQ227" s="11">
        <v>0</v>
      </c>
      <c r="AR227" s="11">
        <v>0</v>
      </c>
      <c r="AS227" s="11">
        <v>0</v>
      </c>
      <c r="AT227" s="11">
        <v>0</v>
      </c>
      <c r="AU227" s="11">
        <v>0</v>
      </c>
      <c r="AV227" s="11" t="s">
        <v>57</v>
      </c>
    </row>
    <row r="228" spans="1:50" customFormat="1" ht="14.5" hidden="1">
      <c r="A228" s="6">
        <v>227</v>
      </c>
      <c r="B228" s="7" t="s">
        <v>539</v>
      </c>
      <c r="C228" s="7" t="s">
        <v>49</v>
      </c>
      <c r="D228" s="6">
        <v>15062</v>
      </c>
      <c r="E228" s="6" t="s">
        <v>540</v>
      </c>
      <c r="F228" s="8"/>
      <c r="G228" s="8"/>
      <c r="H228" s="7" t="s">
        <v>49</v>
      </c>
      <c r="I228" s="7"/>
      <c r="J228" s="6" t="s">
        <v>49</v>
      </c>
      <c r="K228" s="9" t="s">
        <v>49</v>
      </c>
      <c r="L228" s="9" t="s">
        <v>49</v>
      </c>
      <c r="M228" s="8"/>
      <c r="N228" s="10">
        <v>43129</v>
      </c>
      <c r="O228" s="10">
        <v>43921</v>
      </c>
      <c r="P228" s="9" t="s">
        <v>49</v>
      </c>
      <c r="Q228" s="9" t="s">
        <v>49</v>
      </c>
      <c r="R228" s="8"/>
      <c r="S228" s="8"/>
      <c r="T228" s="8"/>
      <c r="U228" s="8"/>
      <c r="V228" s="9" t="s">
        <v>49</v>
      </c>
      <c r="W228" s="9" t="s">
        <v>49</v>
      </c>
      <c r="X228" s="8"/>
      <c r="Y228" s="8"/>
      <c r="Z228" s="8"/>
      <c r="AA228" s="8"/>
      <c r="AB228" s="8"/>
      <c r="AC228" s="8"/>
      <c r="AD228" s="8"/>
      <c r="AE228" s="8"/>
      <c r="AF228" s="8"/>
      <c r="AG228" s="8"/>
      <c r="AH228" s="7" t="s">
        <v>51</v>
      </c>
      <c r="AI228" s="6" t="s">
        <v>49</v>
      </c>
      <c r="AJ228" s="6" t="s">
        <v>49</v>
      </c>
      <c r="AK228" s="6" t="s">
        <v>49</v>
      </c>
      <c r="AL228" s="9" t="s">
        <v>49</v>
      </c>
      <c r="AM228" s="9" t="s">
        <v>435</v>
      </c>
      <c r="AN228" s="6" t="s">
        <v>49</v>
      </c>
      <c r="AO228" s="9" t="s">
        <v>435</v>
      </c>
      <c r="AP228" s="11">
        <v>0</v>
      </c>
      <c r="AQ228" s="11">
        <v>0</v>
      </c>
      <c r="AR228" s="11">
        <v>0</v>
      </c>
      <c r="AS228" s="11">
        <v>0</v>
      </c>
      <c r="AT228" s="11">
        <v>128</v>
      </c>
      <c r="AU228" s="11">
        <v>0</v>
      </c>
      <c r="AV228" s="11" t="s">
        <v>51</v>
      </c>
    </row>
    <row r="229" spans="1:50" customFormat="1" ht="14.5" hidden="1">
      <c r="A229" s="6">
        <v>228</v>
      </c>
      <c r="B229" s="7" t="s">
        <v>541</v>
      </c>
      <c r="C229" s="7" t="s">
        <v>81</v>
      </c>
      <c r="D229" s="6">
        <v>15062</v>
      </c>
      <c r="E229" s="6" t="s">
        <v>49</v>
      </c>
      <c r="F229" s="8"/>
      <c r="G229" s="8"/>
      <c r="H229" s="7" t="s">
        <v>49</v>
      </c>
      <c r="I229" s="7"/>
      <c r="J229" s="6" t="s">
        <v>49</v>
      </c>
      <c r="K229" s="9" t="s">
        <v>49</v>
      </c>
      <c r="L229" s="9" t="s">
        <v>49</v>
      </c>
      <c r="M229" s="8"/>
      <c r="N229" s="10">
        <v>43010</v>
      </c>
      <c r="O229" s="10">
        <v>44196</v>
      </c>
      <c r="P229" s="9" t="s">
        <v>49</v>
      </c>
      <c r="Q229" s="9" t="s">
        <v>49</v>
      </c>
      <c r="R229" s="8"/>
      <c r="S229" s="8"/>
      <c r="T229" s="8"/>
      <c r="U229" s="8"/>
      <c r="V229" s="9" t="s">
        <v>49</v>
      </c>
      <c r="W229" s="9" t="s">
        <v>49</v>
      </c>
      <c r="X229" s="8"/>
      <c r="Y229" s="8"/>
      <c r="Z229" s="8"/>
      <c r="AA229" s="8"/>
      <c r="AB229" s="8"/>
      <c r="AC229" s="8"/>
      <c r="AD229" s="8"/>
      <c r="AE229" s="8"/>
      <c r="AF229" s="8"/>
      <c r="AG229" s="8"/>
      <c r="AH229" s="7" t="s">
        <v>51</v>
      </c>
      <c r="AI229" s="6" t="s">
        <v>71</v>
      </c>
      <c r="AJ229" s="6" t="s">
        <v>49</v>
      </c>
      <c r="AK229" s="6" t="s">
        <v>49</v>
      </c>
      <c r="AL229" s="9" t="s">
        <v>542</v>
      </c>
      <c r="AM229" s="9" t="s">
        <v>49</v>
      </c>
      <c r="AN229" s="6" t="s">
        <v>82</v>
      </c>
      <c r="AO229" s="9" t="s">
        <v>49</v>
      </c>
      <c r="AP229" s="11">
        <v>7248.8885899999996</v>
      </c>
      <c r="AQ229" s="11">
        <v>0</v>
      </c>
      <c r="AR229" s="11">
        <v>0</v>
      </c>
      <c r="AS229" s="11">
        <v>41681.266040000002</v>
      </c>
      <c r="AT229" s="11">
        <v>0</v>
      </c>
      <c r="AU229" s="11">
        <v>0</v>
      </c>
      <c r="AV229" s="11">
        <v>0</v>
      </c>
    </row>
    <row r="230" spans="1:50" customFormat="1" ht="14.5" hidden="1">
      <c r="A230" s="6">
        <v>229</v>
      </c>
      <c r="B230" s="7" t="s">
        <v>543</v>
      </c>
      <c r="C230" s="7" t="s">
        <v>81</v>
      </c>
      <c r="D230" s="6">
        <v>15062</v>
      </c>
      <c r="E230" s="6" t="s">
        <v>544</v>
      </c>
      <c r="F230" s="6">
        <v>78471</v>
      </c>
      <c r="G230" s="8"/>
      <c r="H230" s="7" t="s">
        <v>49</v>
      </c>
      <c r="I230" s="7"/>
      <c r="J230" s="6" t="s">
        <v>49</v>
      </c>
      <c r="K230" s="9" t="s">
        <v>49</v>
      </c>
      <c r="L230" s="9" t="s">
        <v>49</v>
      </c>
      <c r="M230" s="8"/>
      <c r="N230" s="10">
        <v>43103</v>
      </c>
      <c r="O230" s="10">
        <v>44196</v>
      </c>
      <c r="P230" s="9" t="s">
        <v>49</v>
      </c>
      <c r="Q230" s="9" t="s">
        <v>49</v>
      </c>
      <c r="R230" s="8"/>
      <c r="S230" s="8"/>
      <c r="T230" s="8"/>
      <c r="U230" s="8"/>
      <c r="V230" s="9" t="s">
        <v>49</v>
      </c>
      <c r="W230" s="9" t="s">
        <v>49</v>
      </c>
      <c r="X230" s="8"/>
      <c r="Y230" s="8"/>
      <c r="Z230" s="8"/>
      <c r="AA230" s="8"/>
      <c r="AB230" s="8"/>
      <c r="AC230" s="8"/>
      <c r="AD230" s="8"/>
      <c r="AE230" s="8"/>
      <c r="AF230" s="8"/>
      <c r="AG230" s="8"/>
      <c r="AH230" s="7" t="s">
        <v>51</v>
      </c>
      <c r="AI230" s="6" t="s">
        <v>49</v>
      </c>
      <c r="AJ230" s="6" t="s">
        <v>49</v>
      </c>
      <c r="AK230" s="6" t="s">
        <v>49</v>
      </c>
      <c r="AL230" s="9" t="s">
        <v>49</v>
      </c>
      <c r="AM230" s="9" t="s">
        <v>545</v>
      </c>
      <c r="AN230" s="6" t="s">
        <v>49</v>
      </c>
      <c r="AO230" s="9" t="s">
        <v>545</v>
      </c>
      <c r="AP230" s="11">
        <v>7.2925200000000006</v>
      </c>
      <c r="AQ230" s="11">
        <v>9752.07</v>
      </c>
      <c r="AR230" s="11">
        <v>9752.0729166666661</v>
      </c>
      <c r="AS230" s="11">
        <v>2943.3748700000001</v>
      </c>
      <c r="AT230" s="11">
        <v>9.7520699999999998</v>
      </c>
      <c r="AU230" s="11">
        <v>0</v>
      </c>
      <c r="AV230" s="11" t="s">
        <v>51</v>
      </c>
    </row>
    <row r="231" spans="1:50" customFormat="1" ht="14.5" hidden="1">
      <c r="A231" s="6">
        <v>230</v>
      </c>
      <c r="B231" s="7" t="s">
        <v>546</v>
      </c>
      <c r="C231" s="7" t="s">
        <v>49</v>
      </c>
      <c r="D231" s="6">
        <v>15660</v>
      </c>
      <c r="E231" s="6" t="s">
        <v>49</v>
      </c>
      <c r="F231" s="8"/>
      <c r="G231" s="8"/>
      <c r="H231" s="7" t="s">
        <v>49</v>
      </c>
      <c r="I231" s="7"/>
      <c r="J231" s="6" t="s">
        <v>49</v>
      </c>
      <c r="K231" s="9" t="s">
        <v>49</v>
      </c>
      <c r="L231" s="9" t="s">
        <v>49</v>
      </c>
      <c r="M231" s="8"/>
      <c r="N231" s="12"/>
      <c r="O231" s="10">
        <v>43921</v>
      </c>
      <c r="P231" s="9" t="s">
        <v>49</v>
      </c>
      <c r="Q231" s="9" t="s">
        <v>49</v>
      </c>
      <c r="R231" s="8"/>
      <c r="S231" s="8"/>
      <c r="T231" s="8"/>
      <c r="U231" s="8"/>
      <c r="V231" s="9" t="s">
        <v>49</v>
      </c>
      <c r="W231" s="9" t="s">
        <v>49</v>
      </c>
      <c r="X231" s="8"/>
      <c r="Y231" s="8"/>
      <c r="Z231" s="8"/>
      <c r="AA231" s="8"/>
      <c r="AB231" s="8"/>
      <c r="AC231" s="8"/>
      <c r="AD231" s="8"/>
      <c r="AE231" s="8"/>
      <c r="AF231" s="8"/>
      <c r="AG231" s="8"/>
      <c r="AH231" s="7" t="s">
        <v>57</v>
      </c>
      <c r="AI231" s="6" t="s">
        <v>71</v>
      </c>
      <c r="AJ231" s="6" t="s">
        <v>49</v>
      </c>
      <c r="AK231" s="6" t="s">
        <v>49</v>
      </c>
      <c r="AL231" s="9" t="s">
        <v>52</v>
      </c>
      <c r="AM231" s="9" t="s">
        <v>49</v>
      </c>
      <c r="AN231" s="6" t="s">
        <v>85</v>
      </c>
      <c r="AO231" s="9" t="s">
        <v>49</v>
      </c>
      <c r="AP231" s="11">
        <v>7248.8885899999996</v>
      </c>
      <c r="AQ231" s="11">
        <v>0</v>
      </c>
      <c r="AR231" s="11">
        <v>0</v>
      </c>
      <c r="AS231" s="11">
        <v>41681.266040000002</v>
      </c>
      <c r="AT231" s="11">
        <v>0</v>
      </c>
      <c r="AU231" s="11">
        <v>0</v>
      </c>
      <c r="AV231" s="11">
        <v>0</v>
      </c>
    </row>
    <row r="232" spans="1:50" customFormat="1" ht="14.5" hidden="1">
      <c r="A232" s="6">
        <v>231</v>
      </c>
      <c r="B232" s="7" t="s">
        <v>546</v>
      </c>
      <c r="C232" s="7" t="s">
        <v>86</v>
      </c>
      <c r="D232" s="6">
        <v>15660</v>
      </c>
      <c r="E232" s="6" t="s">
        <v>547</v>
      </c>
      <c r="F232" s="6">
        <v>85909</v>
      </c>
      <c r="G232" s="8"/>
      <c r="H232" s="7" t="s">
        <v>49</v>
      </c>
      <c r="I232" s="7"/>
      <c r="J232" s="6" t="s">
        <v>75</v>
      </c>
      <c r="K232" s="9" t="s">
        <v>76</v>
      </c>
      <c r="L232" s="9" t="s">
        <v>73</v>
      </c>
      <c r="M232" s="14">
        <v>35</v>
      </c>
      <c r="N232" s="8"/>
      <c r="O232" s="10">
        <v>43921</v>
      </c>
      <c r="P232" s="9" t="s">
        <v>137</v>
      </c>
      <c r="Q232" s="9" t="s">
        <v>548</v>
      </c>
      <c r="R232" s="8"/>
      <c r="S232" s="8"/>
      <c r="T232" s="8"/>
      <c r="U232" s="8"/>
      <c r="V232" s="9" t="s">
        <v>49</v>
      </c>
      <c r="W232" s="9" t="s">
        <v>49</v>
      </c>
      <c r="X232" s="8"/>
      <c r="Y232" s="8"/>
      <c r="Z232" s="6">
        <v>3.5000000000000003E-2</v>
      </c>
      <c r="AA232" s="8"/>
      <c r="AB232" s="6">
        <v>3.5000000000000003E-2</v>
      </c>
      <c r="AC232" s="8"/>
      <c r="AD232" s="6">
        <v>3.5000000000000003E-2</v>
      </c>
      <c r="AE232" s="6">
        <v>2.8000000000000001E-2</v>
      </c>
      <c r="AF232" s="8"/>
      <c r="AG232" s="6">
        <v>2.8000000000000001E-2</v>
      </c>
      <c r="AH232" s="7" t="s">
        <v>57</v>
      </c>
      <c r="AI232" s="6" t="s">
        <v>49</v>
      </c>
      <c r="AJ232" s="6" t="s">
        <v>49</v>
      </c>
      <c r="AK232" s="6" t="s">
        <v>49</v>
      </c>
      <c r="AL232" s="9" t="s">
        <v>49</v>
      </c>
      <c r="AM232" s="9" t="s">
        <v>52</v>
      </c>
      <c r="AN232" s="6" t="s">
        <v>49</v>
      </c>
      <c r="AO232" s="9" t="s">
        <v>492</v>
      </c>
      <c r="AP232" s="11">
        <v>0</v>
      </c>
      <c r="AQ232" s="11">
        <v>0</v>
      </c>
      <c r="AR232" s="11">
        <v>0</v>
      </c>
      <c r="AS232" s="11">
        <v>0</v>
      </c>
      <c r="AT232" s="11">
        <v>0</v>
      </c>
      <c r="AU232" s="11">
        <v>42</v>
      </c>
      <c r="AV232" s="11" t="s">
        <v>57</v>
      </c>
      <c r="AW232" t="s">
        <v>93</v>
      </c>
    </row>
    <row r="233" spans="1:50" customFormat="1" ht="14.5" hidden="1">
      <c r="A233" s="6">
        <v>232</v>
      </c>
      <c r="B233" s="7" t="s">
        <v>549</v>
      </c>
      <c r="C233" s="7" t="s">
        <v>81</v>
      </c>
      <c r="D233" s="6">
        <v>15446</v>
      </c>
      <c r="E233" s="6" t="s">
        <v>49</v>
      </c>
      <c r="F233" s="8"/>
      <c r="G233" s="8"/>
      <c r="H233" s="7" t="s">
        <v>49</v>
      </c>
      <c r="I233" s="7"/>
      <c r="J233" s="6" t="s">
        <v>49</v>
      </c>
      <c r="K233" s="9" t="s">
        <v>49</v>
      </c>
      <c r="L233" s="9" t="s">
        <v>49</v>
      </c>
      <c r="M233" s="8"/>
      <c r="N233" s="10">
        <v>43409</v>
      </c>
      <c r="O233" s="8"/>
      <c r="P233" s="9" t="s">
        <v>49</v>
      </c>
      <c r="Q233" s="9" t="s">
        <v>49</v>
      </c>
      <c r="R233" s="8"/>
      <c r="S233" s="8"/>
      <c r="T233" s="8"/>
      <c r="U233" s="8"/>
      <c r="V233" s="9" t="s">
        <v>49</v>
      </c>
      <c r="W233" s="9" t="s">
        <v>49</v>
      </c>
      <c r="X233" s="8"/>
      <c r="Y233" s="8"/>
      <c r="Z233" s="8"/>
      <c r="AA233" s="8"/>
      <c r="AB233" s="8"/>
      <c r="AC233" s="8"/>
      <c r="AD233" s="8"/>
      <c r="AE233" s="8"/>
      <c r="AF233" s="8"/>
      <c r="AG233" s="8"/>
      <c r="AH233" s="7" t="s">
        <v>57</v>
      </c>
      <c r="AI233" s="6" t="s">
        <v>71</v>
      </c>
      <c r="AJ233" s="6" t="s">
        <v>49</v>
      </c>
      <c r="AK233" s="6" t="s">
        <v>49</v>
      </c>
      <c r="AL233" s="9" t="s">
        <v>213</v>
      </c>
      <c r="AM233" s="9" t="s">
        <v>49</v>
      </c>
      <c r="AN233" s="6" t="s">
        <v>85</v>
      </c>
      <c r="AO233" s="9" t="s">
        <v>49</v>
      </c>
      <c r="AP233" s="11">
        <v>7248.8885899999996</v>
      </c>
      <c r="AQ233" s="11">
        <v>0</v>
      </c>
      <c r="AR233" s="11">
        <v>0</v>
      </c>
      <c r="AS233" s="11">
        <v>41681.266040000002</v>
      </c>
      <c r="AT233" s="11">
        <v>0</v>
      </c>
      <c r="AU233" s="11">
        <v>0</v>
      </c>
      <c r="AV233" s="11">
        <v>0</v>
      </c>
    </row>
    <row r="234" spans="1:50" customFormat="1" ht="14.5" hidden="1">
      <c r="A234" s="6">
        <v>233</v>
      </c>
      <c r="B234" s="7" t="s">
        <v>549</v>
      </c>
      <c r="C234" s="7" t="s">
        <v>81</v>
      </c>
      <c r="D234" s="6">
        <v>15446</v>
      </c>
      <c r="E234" s="6" t="s">
        <v>550</v>
      </c>
      <c r="F234" s="8"/>
      <c r="G234" s="8"/>
      <c r="H234" s="7" t="s">
        <v>49</v>
      </c>
      <c r="I234" s="7"/>
      <c r="J234" s="6" t="s">
        <v>49</v>
      </c>
      <c r="K234" s="9" t="s">
        <v>49</v>
      </c>
      <c r="L234" s="9" t="s">
        <v>49</v>
      </c>
      <c r="M234" s="8"/>
      <c r="N234" s="10">
        <v>43409</v>
      </c>
      <c r="O234" s="12"/>
      <c r="P234" s="9" t="s">
        <v>49</v>
      </c>
      <c r="Q234" s="9" t="s">
        <v>49</v>
      </c>
      <c r="R234" s="8"/>
      <c r="S234" s="8"/>
      <c r="T234" s="8"/>
      <c r="U234" s="8"/>
      <c r="V234" s="9" t="s">
        <v>49</v>
      </c>
      <c r="W234" s="9" t="s">
        <v>49</v>
      </c>
      <c r="X234" s="8"/>
      <c r="Y234" s="8"/>
      <c r="Z234" s="8"/>
      <c r="AA234" s="8"/>
      <c r="AB234" s="8"/>
      <c r="AC234" s="8"/>
      <c r="AD234" s="8"/>
      <c r="AE234" s="8"/>
      <c r="AF234" s="8"/>
      <c r="AG234" s="8"/>
      <c r="AH234" s="7" t="s">
        <v>57</v>
      </c>
      <c r="AI234" s="6" t="s">
        <v>49</v>
      </c>
      <c r="AJ234" s="6" t="s">
        <v>49</v>
      </c>
      <c r="AK234" s="6" t="s">
        <v>49</v>
      </c>
      <c r="AL234" s="9" t="s">
        <v>49</v>
      </c>
      <c r="AM234" s="9" t="s">
        <v>322</v>
      </c>
      <c r="AN234" s="6" t="s">
        <v>49</v>
      </c>
      <c r="AO234" s="9" t="s">
        <v>322</v>
      </c>
      <c r="AP234" s="11">
        <v>0</v>
      </c>
      <c r="AQ234" s="11">
        <v>0</v>
      </c>
      <c r="AR234" s="11">
        <v>0</v>
      </c>
      <c r="AS234" s="11">
        <v>0</v>
      </c>
      <c r="AT234" s="11">
        <v>0</v>
      </c>
      <c r="AU234" s="11">
        <v>0</v>
      </c>
      <c r="AV234" s="11" t="s">
        <v>57</v>
      </c>
    </row>
    <row r="235" spans="1:50" customFormat="1" ht="14.5" hidden="1">
      <c r="A235" s="6">
        <v>234</v>
      </c>
      <c r="B235" s="7" t="s">
        <v>551</v>
      </c>
      <c r="C235" s="7" t="s">
        <v>292</v>
      </c>
      <c r="D235" s="6">
        <v>15063</v>
      </c>
      <c r="E235" s="6" t="s">
        <v>552</v>
      </c>
      <c r="F235" s="6">
        <v>78974</v>
      </c>
      <c r="G235" s="8"/>
      <c r="H235" s="7" t="s">
        <v>49</v>
      </c>
      <c r="I235" s="7"/>
      <c r="J235" s="6" t="s">
        <v>49</v>
      </c>
      <c r="K235" s="9" t="s">
        <v>49</v>
      </c>
      <c r="L235" s="9" t="s">
        <v>218</v>
      </c>
      <c r="M235" s="8"/>
      <c r="N235" s="10">
        <v>43041</v>
      </c>
      <c r="O235" s="10">
        <v>44012</v>
      </c>
      <c r="P235" s="9" t="s">
        <v>49</v>
      </c>
      <c r="Q235" s="9" t="s">
        <v>49</v>
      </c>
      <c r="R235" s="8"/>
      <c r="S235" s="8"/>
      <c r="T235" s="8"/>
      <c r="U235" s="8"/>
      <c r="V235" s="9" t="s">
        <v>49</v>
      </c>
      <c r="W235" s="9" t="s">
        <v>49</v>
      </c>
      <c r="X235" s="8"/>
      <c r="Y235" s="8"/>
      <c r="Z235" s="8"/>
      <c r="AA235" s="8"/>
      <c r="AB235" s="8"/>
      <c r="AC235" s="8"/>
      <c r="AD235" s="8"/>
      <c r="AE235" s="8"/>
      <c r="AF235" s="8"/>
      <c r="AG235" s="8"/>
      <c r="AH235" s="7" t="s">
        <v>51</v>
      </c>
      <c r="AI235" s="6" t="s">
        <v>71</v>
      </c>
      <c r="AJ235" s="6" t="s">
        <v>49</v>
      </c>
      <c r="AK235" s="6" t="s">
        <v>49</v>
      </c>
      <c r="AL235" s="9" t="s">
        <v>380</v>
      </c>
      <c r="AM235" s="9" t="s">
        <v>49</v>
      </c>
      <c r="AN235" s="6" t="s">
        <v>82</v>
      </c>
      <c r="AO235" s="9" t="s">
        <v>380</v>
      </c>
      <c r="AP235" s="11">
        <v>15.97691</v>
      </c>
      <c r="AQ235" s="11">
        <v>70666.75</v>
      </c>
      <c r="AR235" s="11">
        <v>70666.749166666676</v>
      </c>
      <c r="AS235" s="11">
        <v>1088.99647</v>
      </c>
      <c r="AT235" s="11">
        <v>70.666749999999993</v>
      </c>
      <c r="AU235" s="11">
        <v>0</v>
      </c>
      <c r="AV235" s="11" t="s">
        <v>51</v>
      </c>
    </row>
    <row r="236" spans="1:50" customFormat="1" ht="14.5" hidden="1">
      <c r="A236" s="6">
        <v>235</v>
      </c>
      <c r="B236" s="7" t="s">
        <v>553</v>
      </c>
      <c r="C236" s="7" t="s">
        <v>292</v>
      </c>
      <c r="D236" s="6">
        <v>15063</v>
      </c>
      <c r="E236" s="6" t="s">
        <v>49</v>
      </c>
      <c r="F236" s="8"/>
      <c r="G236" s="8"/>
      <c r="H236" s="7" t="s">
        <v>49</v>
      </c>
      <c r="I236" s="7"/>
      <c r="J236" s="6" t="s">
        <v>49</v>
      </c>
      <c r="K236" s="9" t="s">
        <v>49</v>
      </c>
      <c r="L236" s="9" t="s">
        <v>49</v>
      </c>
      <c r="M236" s="8"/>
      <c r="N236" s="10">
        <v>43329</v>
      </c>
      <c r="O236" s="10">
        <v>43921</v>
      </c>
      <c r="P236" s="9" t="s">
        <v>49</v>
      </c>
      <c r="Q236" s="9" t="s">
        <v>49</v>
      </c>
      <c r="R236" s="8"/>
      <c r="S236" s="8"/>
      <c r="T236" s="8"/>
      <c r="U236" s="8"/>
      <c r="V236" s="9" t="s">
        <v>49</v>
      </c>
      <c r="W236" s="9" t="s">
        <v>49</v>
      </c>
      <c r="X236" s="8"/>
      <c r="Y236" s="8"/>
      <c r="Z236" s="8"/>
      <c r="AA236" s="8"/>
      <c r="AB236" s="8"/>
      <c r="AC236" s="8"/>
      <c r="AD236" s="8"/>
      <c r="AE236" s="8"/>
      <c r="AF236" s="8"/>
      <c r="AG236" s="8"/>
      <c r="AH236" s="7" t="s">
        <v>51</v>
      </c>
      <c r="AI236" s="6" t="s">
        <v>49</v>
      </c>
      <c r="AJ236" s="6" t="s">
        <v>49</v>
      </c>
      <c r="AK236" s="6" t="s">
        <v>49</v>
      </c>
      <c r="AL236" s="9" t="s">
        <v>49</v>
      </c>
      <c r="AM236" s="9" t="s">
        <v>380</v>
      </c>
      <c r="AN236" s="6" t="s">
        <v>49</v>
      </c>
      <c r="AO236" s="9" t="s">
        <v>49</v>
      </c>
      <c r="AP236" s="11">
        <v>7248.8885899999996</v>
      </c>
      <c r="AQ236" s="11">
        <v>0</v>
      </c>
      <c r="AR236" s="11">
        <v>0</v>
      </c>
      <c r="AS236" s="11">
        <v>41681.266040000002</v>
      </c>
      <c r="AT236" s="11">
        <v>0</v>
      </c>
      <c r="AU236" s="11">
        <v>0</v>
      </c>
      <c r="AV236" s="11">
        <v>0</v>
      </c>
    </row>
    <row r="237" spans="1:50" ht="13.5" customHeight="1">
      <c r="A237" s="64"/>
      <c r="B237" s="47" t="s">
        <v>928</v>
      </c>
      <c r="C237" s="47" t="s">
        <v>292</v>
      </c>
      <c r="D237" s="37" t="s">
        <v>104</v>
      </c>
      <c r="E237" s="6" t="s">
        <v>104</v>
      </c>
      <c r="F237" s="69"/>
      <c r="H237" s="64" t="s">
        <v>88</v>
      </c>
      <c r="I237" s="64" t="s">
        <v>924</v>
      </c>
      <c r="J237" s="64"/>
      <c r="K237" s="64"/>
      <c r="L237" s="69"/>
      <c r="P237" s="69"/>
      <c r="Q237" s="69"/>
      <c r="R237" s="45">
        <v>6.04</v>
      </c>
      <c r="S237" s="45">
        <v>30.2</v>
      </c>
      <c r="U237" s="45">
        <v>5</v>
      </c>
      <c r="V237" s="78">
        <v>0.7</v>
      </c>
      <c r="W237" s="69"/>
      <c r="AH237" s="69"/>
      <c r="AI237" s="69"/>
      <c r="AJ237" s="69"/>
      <c r="AK237" s="69"/>
      <c r="AL237" s="69"/>
      <c r="AM237" s="69"/>
      <c r="AN237" s="69"/>
      <c r="AO237" s="69"/>
      <c r="AR237" s="11">
        <v>0</v>
      </c>
      <c r="AX237" s="58" t="s">
        <v>928</v>
      </c>
    </row>
    <row r="238" spans="1:50" customFormat="1" ht="14.5" hidden="1">
      <c r="A238" s="6">
        <v>237</v>
      </c>
      <c r="B238" s="7" t="s">
        <v>559</v>
      </c>
      <c r="C238" s="7" t="s">
        <v>49</v>
      </c>
      <c r="D238" s="6">
        <v>12526</v>
      </c>
      <c r="E238" s="6" t="s">
        <v>49</v>
      </c>
      <c r="F238" s="8"/>
      <c r="G238" s="8"/>
      <c r="H238" s="7" t="s">
        <v>49</v>
      </c>
      <c r="I238" s="7"/>
      <c r="J238" s="6" t="s">
        <v>49</v>
      </c>
      <c r="K238" s="9" t="s">
        <v>49</v>
      </c>
      <c r="L238" s="9" t="s">
        <v>49</v>
      </c>
      <c r="M238" s="8"/>
      <c r="N238" s="10">
        <v>43010</v>
      </c>
      <c r="O238" s="10">
        <v>44593</v>
      </c>
      <c r="P238" s="9" t="s">
        <v>49</v>
      </c>
      <c r="Q238" s="9" t="s">
        <v>49</v>
      </c>
      <c r="R238" s="8"/>
      <c r="S238" s="8"/>
      <c r="T238" s="8"/>
      <c r="U238" s="8"/>
      <c r="V238" s="9" t="s">
        <v>49</v>
      </c>
      <c r="W238" s="9" t="s">
        <v>49</v>
      </c>
      <c r="X238" s="8"/>
      <c r="Y238" s="8"/>
      <c r="Z238" s="8"/>
      <c r="AA238" s="8"/>
      <c r="AB238" s="8"/>
      <c r="AC238" s="8"/>
      <c r="AD238" s="8"/>
      <c r="AE238" s="8"/>
      <c r="AF238" s="8"/>
      <c r="AG238" s="8"/>
      <c r="AH238" s="7" t="s">
        <v>51</v>
      </c>
      <c r="AI238" s="6" t="s">
        <v>71</v>
      </c>
      <c r="AJ238" s="6" t="s">
        <v>49</v>
      </c>
      <c r="AK238" s="6" t="s">
        <v>118</v>
      </c>
      <c r="AL238" s="9" t="s">
        <v>119</v>
      </c>
      <c r="AM238" s="9" t="s">
        <v>49</v>
      </c>
      <c r="AN238" s="6" t="s">
        <v>96</v>
      </c>
      <c r="AO238" s="9" t="s">
        <v>49</v>
      </c>
      <c r="AP238" s="11">
        <v>7248.8885899999996</v>
      </c>
      <c r="AQ238" s="11">
        <v>0</v>
      </c>
      <c r="AR238" s="11">
        <v>0</v>
      </c>
      <c r="AS238" s="11">
        <v>41681.266040000002</v>
      </c>
      <c r="AT238" s="11">
        <v>0</v>
      </c>
      <c r="AU238" s="11">
        <v>0</v>
      </c>
      <c r="AV238" s="11">
        <v>0</v>
      </c>
    </row>
    <row r="239" spans="1:50" customFormat="1" ht="14.5" hidden="1">
      <c r="A239" s="6">
        <v>238</v>
      </c>
      <c r="B239" s="7" t="s">
        <v>560</v>
      </c>
      <c r="C239" s="7" t="s">
        <v>49</v>
      </c>
      <c r="D239" s="6">
        <v>12526</v>
      </c>
      <c r="E239" s="6" t="s">
        <v>561</v>
      </c>
      <c r="F239" s="12"/>
      <c r="G239" s="8"/>
      <c r="H239" s="7" t="s">
        <v>49</v>
      </c>
      <c r="I239" s="7"/>
      <c r="J239" s="6" t="s">
        <v>49</v>
      </c>
      <c r="K239" s="9" t="s">
        <v>49</v>
      </c>
      <c r="L239" s="9" t="s">
        <v>49</v>
      </c>
      <c r="M239" s="12"/>
      <c r="N239" s="10">
        <v>43010</v>
      </c>
      <c r="O239" s="10">
        <v>44593</v>
      </c>
      <c r="P239" s="9" t="s">
        <v>49</v>
      </c>
      <c r="Q239" s="9" t="s">
        <v>49</v>
      </c>
      <c r="R239" s="12"/>
      <c r="S239" s="12"/>
      <c r="T239" s="12"/>
      <c r="U239" s="12"/>
      <c r="V239" s="9" t="s">
        <v>49</v>
      </c>
      <c r="W239" s="9" t="s">
        <v>49</v>
      </c>
      <c r="X239" s="8"/>
      <c r="Y239" s="8"/>
      <c r="Z239" s="8"/>
      <c r="AA239" s="8"/>
      <c r="AB239" s="8"/>
      <c r="AC239" s="8"/>
      <c r="AD239" s="8"/>
      <c r="AE239" s="8"/>
      <c r="AF239" s="8"/>
      <c r="AG239" s="8"/>
      <c r="AH239" s="7" t="s">
        <v>51</v>
      </c>
      <c r="AI239" s="6" t="s">
        <v>49</v>
      </c>
      <c r="AJ239" s="6" t="s">
        <v>49</v>
      </c>
      <c r="AK239" s="6" t="s">
        <v>49</v>
      </c>
      <c r="AL239" s="9" t="s">
        <v>49</v>
      </c>
      <c r="AM239" s="9" t="s">
        <v>122</v>
      </c>
      <c r="AN239" s="6" t="s">
        <v>49</v>
      </c>
      <c r="AO239" s="9" t="s">
        <v>300</v>
      </c>
      <c r="AP239" s="11">
        <v>0</v>
      </c>
      <c r="AQ239" s="11">
        <v>0</v>
      </c>
      <c r="AR239" s="11">
        <v>0</v>
      </c>
      <c r="AS239" s="11">
        <v>0</v>
      </c>
      <c r="AT239" s="11">
        <v>0</v>
      </c>
      <c r="AU239" s="11">
        <v>0</v>
      </c>
      <c r="AV239" s="11" t="s">
        <v>51</v>
      </c>
    </row>
    <row r="240" spans="1:50" customFormat="1" ht="14.5" hidden="1">
      <c r="A240" s="6">
        <v>239</v>
      </c>
      <c r="B240" s="7" t="s">
        <v>562</v>
      </c>
      <c r="C240" s="7" t="s">
        <v>49</v>
      </c>
      <c r="D240" s="6">
        <v>15644</v>
      </c>
      <c r="E240" s="6" t="s">
        <v>49</v>
      </c>
      <c r="F240" s="8"/>
      <c r="G240" s="8"/>
      <c r="H240" s="7" t="s">
        <v>49</v>
      </c>
      <c r="I240" s="7"/>
      <c r="J240" s="6" t="s">
        <v>49</v>
      </c>
      <c r="K240" s="9" t="s">
        <v>49</v>
      </c>
      <c r="L240" s="9" t="s">
        <v>49</v>
      </c>
      <c r="M240" s="8"/>
      <c r="N240" s="12"/>
      <c r="O240" s="12"/>
      <c r="P240" s="9" t="s">
        <v>49</v>
      </c>
      <c r="Q240" s="9" t="s">
        <v>49</v>
      </c>
      <c r="R240" s="8"/>
      <c r="S240" s="8"/>
      <c r="T240" s="8"/>
      <c r="U240" s="8"/>
      <c r="V240" s="9" t="s">
        <v>49</v>
      </c>
      <c r="W240" s="9" t="s">
        <v>49</v>
      </c>
      <c r="X240" s="8"/>
      <c r="Y240" s="8"/>
      <c r="Z240" s="8"/>
      <c r="AA240" s="8"/>
      <c r="AB240" s="8"/>
      <c r="AC240" s="8"/>
      <c r="AD240" s="8"/>
      <c r="AE240" s="8"/>
      <c r="AF240" s="8"/>
      <c r="AG240" s="8"/>
      <c r="AH240" s="7" t="s">
        <v>79</v>
      </c>
      <c r="AI240" s="6" t="s">
        <v>110</v>
      </c>
      <c r="AJ240" s="6" t="s">
        <v>49</v>
      </c>
      <c r="AK240" s="6" t="s">
        <v>49</v>
      </c>
      <c r="AL240" s="9" t="s">
        <v>111</v>
      </c>
      <c r="AM240" s="9" t="s">
        <v>49</v>
      </c>
      <c r="AN240" s="6" t="s">
        <v>82</v>
      </c>
      <c r="AO240" s="9" t="s">
        <v>49</v>
      </c>
      <c r="AP240" s="11">
        <v>7248.8885899999996</v>
      </c>
      <c r="AQ240" s="11">
        <v>0</v>
      </c>
      <c r="AR240" s="11">
        <v>0</v>
      </c>
      <c r="AS240" s="11">
        <v>41681.266040000002</v>
      </c>
      <c r="AT240" s="11">
        <v>0</v>
      </c>
      <c r="AU240" s="11">
        <v>0</v>
      </c>
      <c r="AV240" s="11">
        <v>0</v>
      </c>
    </row>
    <row r="241" spans="1:50" customFormat="1" ht="14.5" hidden="1">
      <c r="A241" s="6">
        <v>240</v>
      </c>
      <c r="B241" s="7" t="s">
        <v>563</v>
      </c>
      <c r="C241" s="7" t="s">
        <v>49</v>
      </c>
      <c r="D241" s="6">
        <v>15644</v>
      </c>
      <c r="E241" s="6" t="s">
        <v>49</v>
      </c>
      <c r="F241" s="8"/>
      <c r="G241" s="8"/>
      <c r="H241" s="7" t="s">
        <v>49</v>
      </c>
      <c r="I241" s="7"/>
      <c r="J241" s="6" t="s">
        <v>49</v>
      </c>
      <c r="K241" s="9" t="s">
        <v>49</v>
      </c>
      <c r="L241" s="9" t="s">
        <v>49</v>
      </c>
      <c r="M241" s="8"/>
      <c r="N241" s="8"/>
      <c r="O241" s="8"/>
      <c r="P241" s="9" t="s">
        <v>49</v>
      </c>
      <c r="Q241" s="9" t="s">
        <v>49</v>
      </c>
      <c r="R241" s="8"/>
      <c r="S241" s="8"/>
      <c r="T241" s="8"/>
      <c r="U241" s="8"/>
      <c r="V241" s="9" t="s">
        <v>49</v>
      </c>
      <c r="W241" s="9" t="s">
        <v>49</v>
      </c>
      <c r="X241" s="8"/>
      <c r="Y241" s="8"/>
      <c r="Z241" s="8"/>
      <c r="AA241" s="8"/>
      <c r="AB241" s="8"/>
      <c r="AC241" s="8"/>
      <c r="AD241" s="8"/>
      <c r="AE241" s="8"/>
      <c r="AF241" s="8"/>
      <c r="AG241" s="8"/>
      <c r="AH241" s="7" t="s">
        <v>79</v>
      </c>
      <c r="AI241" s="6" t="s">
        <v>110</v>
      </c>
      <c r="AJ241" s="6" t="s">
        <v>49</v>
      </c>
      <c r="AK241" s="6" t="s">
        <v>49</v>
      </c>
      <c r="AL241" s="9" t="s">
        <v>111</v>
      </c>
      <c r="AM241" s="9" t="s">
        <v>49</v>
      </c>
      <c r="AN241" s="6" t="s">
        <v>82</v>
      </c>
      <c r="AO241" s="9" t="s">
        <v>49</v>
      </c>
      <c r="AP241" s="11">
        <v>7248.8885899999996</v>
      </c>
      <c r="AQ241" s="11">
        <v>0</v>
      </c>
      <c r="AR241" s="11">
        <v>0</v>
      </c>
      <c r="AS241" s="11">
        <v>41681.266040000002</v>
      </c>
      <c r="AT241" s="11">
        <v>0</v>
      </c>
      <c r="AU241" s="11">
        <v>0</v>
      </c>
      <c r="AV241" s="11">
        <v>0</v>
      </c>
    </row>
    <row r="242" spans="1:50" customFormat="1" ht="14.5" hidden="1">
      <c r="A242" s="6">
        <v>241</v>
      </c>
      <c r="B242" s="7" t="s">
        <v>564</v>
      </c>
      <c r="C242" s="7" t="s">
        <v>49</v>
      </c>
      <c r="D242" s="6">
        <v>12649</v>
      </c>
      <c r="E242" s="6" t="s">
        <v>565</v>
      </c>
      <c r="F242" s="8"/>
      <c r="G242" s="8"/>
      <c r="H242" s="7" t="s">
        <v>49</v>
      </c>
      <c r="I242" s="7"/>
      <c r="J242" s="6" t="s">
        <v>49</v>
      </c>
      <c r="K242" s="9" t="s">
        <v>49</v>
      </c>
      <c r="L242" s="9" t="s">
        <v>49</v>
      </c>
      <c r="M242" s="8"/>
      <c r="N242" s="12"/>
      <c r="O242" s="10">
        <v>44561</v>
      </c>
      <c r="P242" s="9" t="s">
        <v>49</v>
      </c>
      <c r="Q242" s="9" t="s">
        <v>49</v>
      </c>
      <c r="R242" s="8"/>
      <c r="S242" s="8"/>
      <c r="T242" s="8"/>
      <c r="U242" s="8"/>
      <c r="V242" s="9" t="s">
        <v>49</v>
      </c>
      <c r="W242" s="9" t="s">
        <v>49</v>
      </c>
      <c r="X242" s="8"/>
      <c r="Y242" s="8"/>
      <c r="Z242" s="8"/>
      <c r="AA242" s="8"/>
      <c r="AB242" s="8"/>
      <c r="AC242" s="8"/>
      <c r="AD242" s="8"/>
      <c r="AE242" s="8"/>
      <c r="AF242" s="8"/>
      <c r="AG242" s="8"/>
      <c r="AH242" s="7" t="s">
        <v>57</v>
      </c>
      <c r="AI242" s="6" t="s">
        <v>49</v>
      </c>
      <c r="AJ242" s="6" t="s">
        <v>49</v>
      </c>
      <c r="AK242" s="6" t="s">
        <v>49</v>
      </c>
      <c r="AL242" s="9" t="s">
        <v>49</v>
      </c>
      <c r="AM242" s="9" t="s">
        <v>524</v>
      </c>
      <c r="AN242" s="6" t="s">
        <v>49</v>
      </c>
      <c r="AO242" s="9" t="s">
        <v>524</v>
      </c>
      <c r="AP242" s="11">
        <v>0</v>
      </c>
      <c r="AQ242" s="11">
        <v>0</v>
      </c>
      <c r="AR242" s="11">
        <v>0</v>
      </c>
      <c r="AS242" s="11">
        <v>0</v>
      </c>
      <c r="AT242" s="11">
        <v>0</v>
      </c>
      <c r="AU242" s="11">
        <v>0</v>
      </c>
      <c r="AV242" s="11" t="s">
        <v>57</v>
      </c>
    </row>
    <row r="243" spans="1:50" customFormat="1" ht="14.5" hidden="1">
      <c r="A243" s="6">
        <v>242</v>
      </c>
      <c r="B243" s="7" t="s">
        <v>566</v>
      </c>
      <c r="C243" s="7" t="s">
        <v>49</v>
      </c>
      <c r="D243" s="6">
        <v>12528</v>
      </c>
      <c r="E243" s="6" t="s">
        <v>567</v>
      </c>
      <c r="F243" s="8"/>
      <c r="G243" s="8"/>
      <c r="H243" s="7" t="s">
        <v>49</v>
      </c>
      <c r="I243" s="7"/>
      <c r="J243" s="6" t="s">
        <v>49</v>
      </c>
      <c r="K243" s="9" t="s">
        <v>49</v>
      </c>
      <c r="L243" s="9" t="s">
        <v>49</v>
      </c>
      <c r="M243" s="9" t="s">
        <v>49</v>
      </c>
      <c r="N243" s="12"/>
      <c r="O243" s="10">
        <v>43647</v>
      </c>
      <c r="P243" s="9" t="s">
        <v>49</v>
      </c>
      <c r="Q243" s="9" t="s">
        <v>49</v>
      </c>
      <c r="R243" s="8"/>
      <c r="S243" s="8"/>
      <c r="T243" s="8"/>
      <c r="U243" s="8"/>
      <c r="V243" s="9" t="s">
        <v>49</v>
      </c>
      <c r="W243" s="9" t="s">
        <v>49</v>
      </c>
      <c r="X243" s="8"/>
      <c r="Y243" s="8"/>
      <c r="Z243" s="8"/>
      <c r="AA243" s="8"/>
      <c r="AB243" s="8"/>
      <c r="AC243" s="8"/>
      <c r="AD243" s="8"/>
      <c r="AE243" s="8"/>
      <c r="AF243" s="8"/>
      <c r="AG243" s="8"/>
      <c r="AH243" s="7" t="s">
        <v>57</v>
      </c>
      <c r="AI243" s="6" t="s">
        <v>49</v>
      </c>
      <c r="AJ243" s="6" t="s">
        <v>49</v>
      </c>
      <c r="AK243" s="6" t="s">
        <v>49</v>
      </c>
      <c r="AL243" s="9" t="s">
        <v>49</v>
      </c>
      <c r="AM243" s="9" t="s">
        <v>134</v>
      </c>
      <c r="AN243" s="6" t="s">
        <v>49</v>
      </c>
      <c r="AO243" s="9" t="s">
        <v>134</v>
      </c>
      <c r="AP243" s="11">
        <v>0</v>
      </c>
      <c r="AQ243" s="11">
        <v>0</v>
      </c>
      <c r="AR243" s="11">
        <v>0</v>
      </c>
      <c r="AS243" s="11">
        <v>0</v>
      </c>
      <c r="AT243" s="11">
        <v>0</v>
      </c>
      <c r="AU243" s="11">
        <v>0</v>
      </c>
      <c r="AV243" s="11" t="s">
        <v>57</v>
      </c>
    </row>
    <row r="244" spans="1:50" customFormat="1" ht="14.5" hidden="1">
      <c r="A244" s="6">
        <v>243</v>
      </c>
      <c r="B244" s="7" t="s">
        <v>568</v>
      </c>
      <c r="C244" s="7" t="s">
        <v>569</v>
      </c>
      <c r="D244" s="6">
        <v>16025</v>
      </c>
      <c r="E244" s="6" t="s">
        <v>49</v>
      </c>
      <c r="F244" s="8"/>
      <c r="G244" s="8"/>
      <c r="H244" s="7" t="s">
        <v>70</v>
      </c>
      <c r="I244" s="7"/>
      <c r="J244" s="6" t="s">
        <v>49</v>
      </c>
      <c r="K244" s="9" t="s">
        <v>49</v>
      </c>
      <c r="L244" s="9" t="s">
        <v>49</v>
      </c>
      <c r="M244" s="6"/>
      <c r="N244" s="10">
        <v>43472</v>
      </c>
      <c r="O244" s="10">
        <v>43860</v>
      </c>
      <c r="P244" s="9" t="s">
        <v>49</v>
      </c>
      <c r="Q244" s="9" t="s">
        <v>49</v>
      </c>
      <c r="R244" s="8"/>
      <c r="S244" s="8"/>
      <c r="T244" s="8"/>
      <c r="U244" s="8"/>
      <c r="V244" s="9" t="s">
        <v>49</v>
      </c>
      <c r="W244" s="9" t="s">
        <v>49</v>
      </c>
      <c r="X244" s="8"/>
      <c r="Y244" s="8"/>
      <c r="Z244" s="8"/>
      <c r="AA244" s="8"/>
      <c r="AB244" s="8"/>
      <c r="AC244" s="8"/>
      <c r="AD244" s="8"/>
      <c r="AE244" s="8"/>
      <c r="AF244" s="8"/>
      <c r="AG244" s="8"/>
      <c r="AH244" s="7" t="s">
        <v>57</v>
      </c>
      <c r="AI244" s="6" t="s">
        <v>71</v>
      </c>
      <c r="AJ244" s="6" t="s">
        <v>49</v>
      </c>
      <c r="AK244" s="6" t="s">
        <v>49</v>
      </c>
      <c r="AL244" s="9" t="s">
        <v>119</v>
      </c>
      <c r="AM244" s="9" t="s">
        <v>49</v>
      </c>
      <c r="AN244" s="6" t="s">
        <v>85</v>
      </c>
      <c r="AO244" s="9" t="s">
        <v>49</v>
      </c>
      <c r="AP244" s="11">
        <v>7248.8885899999996</v>
      </c>
      <c r="AQ244" s="11">
        <v>0</v>
      </c>
      <c r="AR244" s="11">
        <v>0</v>
      </c>
      <c r="AS244" s="11">
        <v>41681.266040000002</v>
      </c>
      <c r="AT244" s="11">
        <v>0</v>
      </c>
      <c r="AU244" s="11">
        <v>0</v>
      </c>
      <c r="AV244" s="11">
        <v>0</v>
      </c>
    </row>
    <row r="245" spans="1:50" customFormat="1" ht="14.5" hidden="1">
      <c r="A245" s="6">
        <v>244</v>
      </c>
      <c r="B245" s="7" t="s">
        <v>570</v>
      </c>
      <c r="C245" s="7" t="s">
        <v>49</v>
      </c>
      <c r="D245" s="12"/>
      <c r="E245" s="6" t="s">
        <v>49</v>
      </c>
      <c r="F245" s="8"/>
      <c r="G245" s="8"/>
      <c r="H245" s="7" t="s">
        <v>49</v>
      </c>
      <c r="I245" s="7"/>
      <c r="J245" s="6" t="s">
        <v>49</v>
      </c>
      <c r="K245" s="9" t="s">
        <v>49</v>
      </c>
      <c r="L245" s="9" t="s">
        <v>49</v>
      </c>
      <c r="M245" s="8"/>
      <c r="N245" s="8"/>
      <c r="O245" s="12"/>
      <c r="P245" s="9" t="s">
        <v>49</v>
      </c>
      <c r="Q245" s="9" t="s">
        <v>49</v>
      </c>
      <c r="R245" s="8"/>
      <c r="S245" s="8"/>
      <c r="T245" s="8"/>
      <c r="U245" s="8"/>
      <c r="V245" s="9" t="s">
        <v>49</v>
      </c>
      <c r="W245" s="9" t="s">
        <v>49</v>
      </c>
      <c r="X245" s="8"/>
      <c r="Y245" s="8"/>
      <c r="Z245" s="8"/>
      <c r="AA245" s="12"/>
      <c r="AB245" s="12"/>
      <c r="AC245" s="8"/>
      <c r="AD245" s="12"/>
      <c r="AE245" s="8"/>
      <c r="AF245" s="12"/>
      <c r="AG245" s="12"/>
      <c r="AH245" s="7" t="s">
        <v>49</v>
      </c>
      <c r="AI245" s="6" t="s">
        <v>49</v>
      </c>
      <c r="AJ245" s="6" t="s">
        <v>49</v>
      </c>
      <c r="AK245" s="6" t="s">
        <v>49</v>
      </c>
      <c r="AL245" s="9" t="s">
        <v>49</v>
      </c>
      <c r="AM245" s="9" t="s">
        <v>49</v>
      </c>
      <c r="AN245" s="6" t="s">
        <v>49</v>
      </c>
      <c r="AO245" s="9" t="s">
        <v>49</v>
      </c>
      <c r="AP245" s="11">
        <v>7248.8885899999996</v>
      </c>
      <c r="AQ245" s="11">
        <v>0</v>
      </c>
      <c r="AR245" s="11">
        <v>0</v>
      </c>
      <c r="AS245" s="11">
        <v>41681.266040000002</v>
      </c>
      <c r="AT245" s="11">
        <v>0</v>
      </c>
      <c r="AU245" s="11">
        <v>0</v>
      </c>
      <c r="AV245" s="11">
        <v>0</v>
      </c>
    </row>
    <row r="246" spans="1:50" ht="13.5" customHeight="1">
      <c r="A246" s="46">
        <v>263</v>
      </c>
      <c r="B246" s="47" t="s">
        <v>609</v>
      </c>
      <c r="C246" s="47" t="s">
        <v>292</v>
      </c>
      <c r="D246" s="6">
        <v>83110</v>
      </c>
      <c r="E246" s="19" t="s">
        <v>606</v>
      </c>
      <c r="F246" s="68"/>
      <c r="G246" s="8"/>
      <c r="H246" s="47" t="s">
        <v>88</v>
      </c>
      <c r="I246" s="47" t="s">
        <v>147</v>
      </c>
      <c r="J246" s="46" t="s">
        <v>196</v>
      </c>
      <c r="K246" s="48" t="s">
        <v>76</v>
      </c>
      <c r="L246" s="9" t="s">
        <v>73</v>
      </c>
      <c r="M246" s="27">
        <v>1700</v>
      </c>
      <c r="N246" s="68"/>
      <c r="O246" s="68"/>
      <c r="P246" s="9" t="s">
        <v>609</v>
      </c>
      <c r="Q246" s="9" t="s">
        <v>610</v>
      </c>
      <c r="R246" s="46">
        <v>5.87</v>
      </c>
      <c r="S246" s="46">
        <v>24.4</v>
      </c>
      <c r="T246" s="6">
        <v>96.8</v>
      </c>
      <c r="U246" s="46">
        <v>4.2</v>
      </c>
      <c r="V246" s="48" t="s">
        <v>611</v>
      </c>
      <c r="W246" s="9" t="s">
        <v>49</v>
      </c>
      <c r="X246" s="38">
        <v>1.7</v>
      </c>
      <c r="Y246" s="6">
        <v>0.3</v>
      </c>
      <c r="Z246" s="8"/>
      <c r="AA246" s="8"/>
      <c r="AB246" s="6">
        <v>2</v>
      </c>
      <c r="AC246" s="8"/>
      <c r="AD246" s="6">
        <v>2</v>
      </c>
      <c r="AE246" s="6">
        <v>1.36</v>
      </c>
      <c r="AF246" s="38">
        <v>0.15</v>
      </c>
      <c r="AG246" s="6">
        <v>1.51</v>
      </c>
      <c r="AH246" s="7" t="s">
        <v>49</v>
      </c>
      <c r="AI246" s="6" t="s">
        <v>49</v>
      </c>
      <c r="AJ246" s="6" t="s">
        <v>49</v>
      </c>
      <c r="AK246" s="6" t="s">
        <v>49</v>
      </c>
      <c r="AL246" s="9" t="s">
        <v>49</v>
      </c>
      <c r="AM246" s="9" t="s">
        <v>49</v>
      </c>
      <c r="AN246" s="6" t="s">
        <v>49</v>
      </c>
      <c r="AO246" s="9" t="s">
        <v>49</v>
      </c>
      <c r="AP246" s="11">
        <v>0</v>
      </c>
      <c r="AQ246" s="11">
        <v>0</v>
      </c>
      <c r="AR246" s="11">
        <v>0</v>
      </c>
      <c r="AS246" s="11">
        <v>0</v>
      </c>
      <c r="AT246" s="11">
        <v>0</v>
      </c>
      <c r="AU246" s="11">
        <v>0</v>
      </c>
      <c r="AV246" s="11" t="s">
        <v>51</v>
      </c>
      <c r="AX246" s="58" t="s">
        <v>609</v>
      </c>
    </row>
    <row r="247" spans="1:50" customFormat="1" ht="14.5" hidden="1">
      <c r="A247" s="6">
        <v>246</v>
      </c>
      <c r="B247" s="7" t="s">
        <v>578</v>
      </c>
      <c r="C247" s="7" t="s">
        <v>81</v>
      </c>
      <c r="D247" s="6">
        <v>15381</v>
      </c>
      <c r="E247" s="6" t="s">
        <v>49</v>
      </c>
      <c r="F247" s="8"/>
      <c r="G247" s="8"/>
      <c r="H247" s="7" t="s">
        <v>49</v>
      </c>
      <c r="I247" s="7"/>
      <c r="J247" s="6" t="s">
        <v>49</v>
      </c>
      <c r="K247" s="9" t="s">
        <v>49</v>
      </c>
      <c r="L247" s="9" t="s">
        <v>49</v>
      </c>
      <c r="M247" s="8"/>
      <c r="N247" s="10">
        <v>43549</v>
      </c>
      <c r="O247" s="10">
        <v>44194</v>
      </c>
      <c r="P247" s="9" t="s">
        <v>49</v>
      </c>
      <c r="Q247" s="9" t="s">
        <v>49</v>
      </c>
      <c r="R247" s="8"/>
      <c r="S247" s="8"/>
      <c r="T247" s="8"/>
      <c r="U247" s="8"/>
      <c r="V247" s="9" t="s">
        <v>49</v>
      </c>
      <c r="W247" s="9" t="s">
        <v>49</v>
      </c>
      <c r="X247" s="8"/>
      <c r="Y247" s="8"/>
      <c r="Z247" s="8"/>
      <c r="AA247" s="8"/>
      <c r="AB247" s="8"/>
      <c r="AC247" s="8"/>
      <c r="AD247" s="8"/>
      <c r="AE247" s="8"/>
      <c r="AF247" s="8"/>
      <c r="AG247" s="8"/>
      <c r="AH247" s="7" t="s">
        <v>57</v>
      </c>
      <c r="AI247" s="6" t="s">
        <v>71</v>
      </c>
      <c r="AJ247" s="6" t="s">
        <v>49</v>
      </c>
      <c r="AK247" s="6" t="s">
        <v>49</v>
      </c>
      <c r="AL247" s="9" t="s">
        <v>213</v>
      </c>
      <c r="AM247" s="9" t="s">
        <v>49</v>
      </c>
      <c r="AN247" s="6" t="s">
        <v>82</v>
      </c>
      <c r="AO247" s="9" t="s">
        <v>49</v>
      </c>
      <c r="AP247" s="11">
        <v>7248.8885899999996</v>
      </c>
      <c r="AQ247" s="11">
        <v>0</v>
      </c>
      <c r="AR247" s="11">
        <v>0</v>
      </c>
      <c r="AS247" s="11">
        <v>41681.266040000002</v>
      </c>
      <c r="AT247" s="11">
        <v>0</v>
      </c>
      <c r="AU247" s="11">
        <v>0</v>
      </c>
      <c r="AV247" s="11">
        <v>0</v>
      </c>
    </row>
    <row r="248" spans="1:50" customFormat="1" ht="14.5" hidden="1">
      <c r="A248" s="6">
        <v>247</v>
      </c>
      <c r="B248" s="7" t="s">
        <v>578</v>
      </c>
      <c r="C248" s="7" t="s">
        <v>81</v>
      </c>
      <c r="D248" s="6">
        <v>15381</v>
      </c>
      <c r="E248" s="6" t="s">
        <v>579</v>
      </c>
      <c r="F248" s="6">
        <v>78444</v>
      </c>
      <c r="G248" s="8"/>
      <c r="H248" s="7" t="s">
        <v>245</v>
      </c>
      <c r="I248" s="7"/>
      <c r="J248" s="6" t="s">
        <v>75</v>
      </c>
      <c r="K248" s="9" t="s">
        <v>89</v>
      </c>
      <c r="L248" s="9" t="s">
        <v>218</v>
      </c>
      <c r="M248" s="8"/>
      <c r="N248" s="10">
        <v>43549</v>
      </c>
      <c r="O248" s="10">
        <v>44194</v>
      </c>
      <c r="P248" s="9" t="s">
        <v>580</v>
      </c>
      <c r="Q248" s="9" t="s">
        <v>581</v>
      </c>
      <c r="R248" s="8"/>
      <c r="S248" s="8"/>
      <c r="T248" s="8"/>
      <c r="U248" s="8"/>
      <c r="V248" s="9" t="s">
        <v>49</v>
      </c>
      <c r="W248" s="9" t="s">
        <v>49</v>
      </c>
      <c r="X248" s="8"/>
      <c r="Y248" s="8"/>
      <c r="Z248" s="8"/>
      <c r="AA248" s="6">
        <v>1.956</v>
      </c>
      <c r="AB248" s="6">
        <v>1.956</v>
      </c>
      <c r="AC248" s="6">
        <v>4.633</v>
      </c>
      <c r="AD248" s="6">
        <v>6.5890000000000004</v>
      </c>
      <c r="AE248" s="8"/>
      <c r="AF248" s="6">
        <v>0.97799999999999998</v>
      </c>
      <c r="AG248" s="6">
        <v>0.97799999999999998</v>
      </c>
      <c r="AH248" s="7" t="s">
        <v>51</v>
      </c>
      <c r="AI248" s="6" t="s">
        <v>49</v>
      </c>
      <c r="AJ248" s="6" t="s">
        <v>49</v>
      </c>
      <c r="AK248" s="6" t="s">
        <v>49</v>
      </c>
      <c r="AL248" s="9" t="s">
        <v>49</v>
      </c>
      <c r="AM248" s="9" t="s">
        <v>213</v>
      </c>
      <c r="AN248" s="6" t="s">
        <v>49</v>
      </c>
      <c r="AO248" s="9" t="s">
        <v>242</v>
      </c>
      <c r="AP248" s="11">
        <v>58.454440000000005</v>
      </c>
      <c r="AQ248" s="11">
        <v>-439533.58</v>
      </c>
      <c r="AR248" s="11">
        <v>-439533.57750000007</v>
      </c>
      <c r="AS248" s="11">
        <v>769.33985999999993</v>
      </c>
      <c r="AT248" s="11">
        <v>1408.0254199999999</v>
      </c>
      <c r="AU248" s="11">
        <v>1945</v>
      </c>
      <c r="AV248" s="11" t="s">
        <v>51</v>
      </c>
      <c r="AW248" t="s">
        <v>93</v>
      </c>
    </row>
    <row r="249" spans="1:50" customFormat="1" ht="14.5" hidden="1">
      <c r="A249" s="6">
        <v>248</v>
      </c>
      <c r="B249" s="7" t="s">
        <v>582</v>
      </c>
      <c r="C249" s="7" t="s">
        <v>49</v>
      </c>
      <c r="D249" s="12"/>
      <c r="E249" s="6" t="s">
        <v>49</v>
      </c>
      <c r="F249" s="8"/>
      <c r="G249" s="8"/>
      <c r="H249" s="7" t="s">
        <v>49</v>
      </c>
      <c r="I249" s="7"/>
      <c r="J249" s="6" t="s">
        <v>49</v>
      </c>
      <c r="K249" s="9" t="s">
        <v>49</v>
      </c>
      <c r="L249" s="9" t="s">
        <v>49</v>
      </c>
      <c r="M249" s="8"/>
      <c r="N249" s="8"/>
      <c r="O249" s="8"/>
      <c r="P249" s="9" t="s">
        <v>49</v>
      </c>
      <c r="Q249" s="9" t="s">
        <v>49</v>
      </c>
      <c r="R249" s="8"/>
      <c r="S249" s="8"/>
      <c r="T249" s="8"/>
      <c r="U249" s="8"/>
      <c r="V249" s="9" t="s">
        <v>49</v>
      </c>
      <c r="W249" s="9" t="s">
        <v>49</v>
      </c>
      <c r="X249" s="8"/>
      <c r="Y249" s="8"/>
      <c r="Z249" s="8"/>
      <c r="AA249" s="8"/>
      <c r="AB249" s="8"/>
      <c r="AC249" s="8"/>
      <c r="AD249" s="8"/>
      <c r="AE249" s="8"/>
      <c r="AF249" s="8"/>
      <c r="AG249" s="8"/>
      <c r="AH249" s="7" t="s">
        <v>57</v>
      </c>
      <c r="AI249" s="6" t="s">
        <v>49</v>
      </c>
      <c r="AJ249" s="6" t="s">
        <v>49</v>
      </c>
      <c r="AK249" s="6" t="s">
        <v>118</v>
      </c>
      <c r="AL249" s="9" t="s">
        <v>49</v>
      </c>
      <c r="AM249" s="9" t="s">
        <v>49</v>
      </c>
      <c r="AN249" s="6" t="s">
        <v>49</v>
      </c>
      <c r="AO249" s="9" t="s">
        <v>49</v>
      </c>
      <c r="AP249" s="11">
        <v>7248.8885899999996</v>
      </c>
      <c r="AQ249" s="11">
        <v>0</v>
      </c>
      <c r="AR249" s="11">
        <v>0</v>
      </c>
      <c r="AS249" s="11">
        <v>41681.266040000002</v>
      </c>
      <c r="AT249" s="11">
        <v>0</v>
      </c>
      <c r="AU249" s="11">
        <v>0</v>
      </c>
      <c r="AV249" s="11">
        <v>0</v>
      </c>
    </row>
    <row r="250" spans="1:50" customFormat="1" ht="14.5" hidden="1">
      <c r="A250" s="6">
        <v>249</v>
      </c>
      <c r="B250" s="7" t="s">
        <v>583</v>
      </c>
      <c r="C250" s="7" t="s">
        <v>81</v>
      </c>
      <c r="D250" s="6">
        <v>15436</v>
      </c>
      <c r="E250" s="19"/>
      <c r="F250" s="8"/>
      <c r="G250" s="8"/>
      <c r="H250" s="7" t="s">
        <v>49</v>
      </c>
      <c r="I250" s="7"/>
      <c r="J250" s="6" t="s">
        <v>49</v>
      </c>
      <c r="K250" s="9" t="s">
        <v>49</v>
      </c>
      <c r="L250" s="9" t="s">
        <v>49</v>
      </c>
      <c r="M250" s="17">
        <v>107</v>
      </c>
      <c r="N250" s="10">
        <v>43507</v>
      </c>
      <c r="O250" s="10">
        <v>43857</v>
      </c>
      <c r="P250" s="9" t="s">
        <v>49</v>
      </c>
      <c r="Q250" s="9" t="s">
        <v>49</v>
      </c>
      <c r="R250" s="8"/>
      <c r="S250" s="8"/>
      <c r="T250" s="8"/>
      <c r="U250" s="8"/>
      <c r="V250" s="9" t="s">
        <v>49</v>
      </c>
      <c r="W250" s="9" t="s">
        <v>49</v>
      </c>
      <c r="X250" s="8"/>
      <c r="Y250" s="8"/>
      <c r="Z250" s="8"/>
      <c r="AA250" s="8"/>
      <c r="AB250" s="8"/>
      <c r="AC250" s="8"/>
      <c r="AD250" s="8"/>
      <c r="AE250" s="8"/>
      <c r="AF250" s="8"/>
      <c r="AG250" s="8"/>
      <c r="AH250" s="7" t="s">
        <v>57</v>
      </c>
      <c r="AI250" s="6" t="s">
        <v>71</v>
      </c>
      <c r="AJ250" s="6" t="s">
        <v>49</v>
      </c>
      <c r="AK250" s="6" t="s">
        <v>49</v>
      </c>
      <c r="AL250" s="9" t="s">
        <v>213</v>
      </c>
      <c r="AM250" s="9" t="s">
        <v>49</v>
      </c>
      <c r="AN250" s="6" t="s">
        <v>85</v>
      </c>
      <c r="AO250" s="9" t="s">
        <v>49</v>
      </c>
      <c r="AP250" s="11">
        <v>0</v>
      </c>
      <c r="AQ250" s="11">
        <v>0</v>
      </c>
      <c r="AR250" s="11">
        <v>0</v>
      </c>
      <c r="AS250" s="11">
        <v>0</v>
      </c>
      <c r="AT250" s="11">
        <v>0</v>
      </c>
      <c r="AU250" s="11">
        <v>150</v>
      </c>
      <c r="AV250" s="11">
        <v>0</v>
      </c>
      <c r="AW250" t="s">
        <v>93</v>
      </c>
    </row>
    <row r="251" spans="1:50" customFormat="1" ht="14.5" hidden="1">
      <c r="A251" s="6">
        <v>250</v>
      </c>
      <c r="B251" s="7" t="s">
        <v>583</v>
      </c>
      <c r="C251" s="7" t="s">
        <v>81</v>
      </c>
      <c r="D251" s="6">
        <v>15436</v>
      </c>
      <c r="E251" s="6" t="s">
        <v>584</v>
      </c>
      <c r="F251" s="6">
        <v>78975</v>
      </c>
      <c r="G251" s="8"/>
      <c r="H251" s="7" t="s">
        <v>49</v>
      </c>
      <c r="I251" s="7"/>
      <c r="J251" s="6" t="s">
        <v>585</v>
      </c>
      <c r="K251" s="9" t="s">
        <v>89</v>
      </c>
      <c r="L251" s="9" t="s">
        <v>73</v>
      </c>
      <c r="M251" s="8"/>
      <c r="N251" s="10">
        <v>43507</v>
      </c>
      <c r="O251" s="10">
        <v>43857</v>
      </c>
      <c r="P251" s="9" t="s">
        <v>586</v>
      </c>
      <c r="Q251" s="9" t="s">
        <v>587</v>
      </c>
      <c r="R251" s="8"/>
      <c r="S251" s="8"/>
      <c r="T251" s="8"/>
      <c r="U251" s="8"/>
      <c r="V251" s="9" t="s">
        <v>49</v>
      </c>
      <c r="W251" s="9" t="s">
        <v>49</v>
      </c>
      <c r="X251" s="8"/>
      <c r="Y251" s="8"/>
      <c r="Z251" s="6">
        <v>0.107</v>
      </c>
      <c r="AA251" s="8"/>
      <c r="AB251" s="6">
        <v>0.107</v>
      </c>
      <c r="AC251" s="8"/>
      <c r="AD251" s="6">
        <v>0.107</v>
      </c>
      <c r="AE251" s="6">
        <v>8.5999999999999993E-2</v>
      </c>
      <c r="AF251" s="8"/>
      <c r="AG251" s="6">
        <v>8.5999999999999993E-2</v>
      </c>
      <c r="AH251" s="7" t="s">
        <v>57</v>
      </c>
      <c r="AI251" s="6" t="s">
        <v>49</v>
      </c>
      <c r="AJ251" s="6" t="s">
        <v>49</v>
      </c>
      <c r="AK251" s="6" t="s">
        <v>49</v>
      </c>
      <c r="AL251" s="9" t="s">
        <v>49</v>
      </c>
      <c r="AM251" s="9" t="s">
        <v>287</v>
      </c>
      <c r="AN251" s="6" t="s">
        <v>49</v>
      </c>
      <c r="AO251" s="9" t="s">
        <v>287</v>
      </c>
      <c r="AP251" s="11">
        <v>130.29462000000001</v>
      </c>
      <c r="AQ251" s="11">
        <v>149090.10999999999</v>
      </c>
      <c r="AR251" s="11">
        <v>149090.11250000002</v>
      </c>
      <c r="AS251" s="11">
        <v>446.0104</v>
      </c>
      <c r="AT251" s="11">
        <v>149.09010999999998</v>
      </c>
      <c r="AU251" s="11">
        <v>0</v>
      </c>
      <c r="AV251" s="11" t="s">
        <v>57</v>
      </c>
    </row>
    <row r="252" spans="1:50" customFormat="1" ht="14.5" hidden="1">
      <c r="A252" s="6">
        <v>251</v>
      </c>
      <c r="B252" s="7" t="s">
        <v>588</v>
      </c>
      <c r="C252" s="7" t="s">
        <v>81</v>
      </c>
      <c r="D252" s="6">
        <v>15438</v>
      </c>
      <c r="E252" s="6" t="s">
        <v>589</v>
      </c>
      <c r="F252" s="8"/>
      <c r="G252" s="8"/>
      <c r="H252" s="7" t="s">
        <v>88</v>
      </c>
      <c r="I252" s="7"/>
      <c r="J252" s="6" t="s">
        <v>75</v>
      </c>
      <c r="K252" s="9" t="s">
        <v>89</v>
      </c>
      <c r="L252" s="9" t="s">
        <v>49</v>
      </c>
      <c r="M252" s="8"/>
      <c r="N252" s="10">
        <v>43479</v>
      </c>
      <c r="O252" s="12"/>
      <c r="P252" s="9" t="s">
        <v>49</v>
      </c>
      <c r="Q252" s="9" t="s">
        <v>49</v>
      </c>
      <c r="R252" s="8"/>
      <c r="S252" s="8"/>
      <c r="T252" s="8"/>
      <c r="U252" s="8"/>
      <c r="V252" s="9" t="s">
        <v>49</v>
      </c>
      <c r="W252" s="9" t="s">
        <v>49</v>
      </c>
      <c r="X252" s="8"/>
      <c r="Y252" s="8"/>
      <c r="Z252" s="8"/>
      <c r="AA252" s="6">
        <v>0.5</v>
      </c>
      <c r="AB252" s="6">
        <v>0.5</v>
      </c>
      <c r="AC252" s="8"/>
      <c r="AD252" s="6">
        <v>0.5</v>
      </c>
      <c r="AE252" s="8"/>
      <c r="AF252" s="6">
        <v>0.25</v>
      </c>
      <c r="AG252" s="6">
        <v>0.25</v>
      </c>
      <c r="AH252" s="7" t="s">
        <v>57</v>
      </c>
      <c r="AI252" s="6" t="s">
        <v>49</v>
      </c>
      <c r="AJ252" s="6" t="s">
        <v>49</v>
      </c>
      <c r="AK252" s="6" t="s">
        <v>49</v>
      </c>
      <c r="AL252" s="9" t="s">
        <v>49</v>
      </c>
      <c r="AM252" s="9" t="s">
        <v>213</v>
      </c>
      <c r="AN252" s="6" t="s">
        <v>218</v>
      </c>
      <c r="AO252" s="9" t="s">
        <v>242</v>
      </c>
      <c r="AP252" s="11">
        <v>0</v>
      </c>
      <c r="AQ252" s="11">
        <v>0</v>
      </c>
      <c r="AR252" s="11">
        <v>0</v>
      </c>
      <c r="AS252" s="11">
        <v>0</v>
      </c>
      <c r="AT252" s="11">
        <v>475</v>
      </c>
      <c r="AU252" s="11">
        <v>0</v>
      </c>
      <c r="AV252" s="11" t="s">
        <v>57</v>
      </c>
    </row>
    <row r="253" spans="1:50" customFormat="1" ht="14.5" hidden="1">
      <c r="A253" s="6">
        <v>252</v>
      </c>
      <c r="B253" s="7" t="s">
        <v>590</v>
      </c>
      <c r="C253" s="7" t="s">
        <v>49</v>
      </c>
      <c r="D253" s="6">
        <v>15438</v>
      </c>
      <c r="E253" s="6" t="s">
        <v>49</v>
      </c>
      <c r="F253" s="8"/>
      <c r="G253" s="8"/>
      <c r="H253" s="7" t="s">
        <v>49</v>
      </c>
      <c r="I253" s="7"/>
      <c r="J253" s="6" t="s">
        <v>49</v>
      </c>
      <c r="K253" s="9" t="s">
        <v>49</v>
      </c>
      <c r="L253" s="9" t="s">
        <v>49</v>
      </c>
      <c r="M253" s="12"/>
      <c r="N253" s="10">
        <v>43479</v>
      </c>
      <c r="O253" s="12"/>
      <c r="P253" s="9" t="s">
        <v>49</v>
      </c>
      <c r="Q253" s="9" t="s">
        <v>49</v>
      </c>
      <c r="R253" s="8"/>
      <c r="S253" s="8"/>
      <c r="T253" s="8"/>
      <c r="U253" s="8"/>
      <c r="V253" s="9" t="s">
        <v>49</v>
      </c>
      <c r="W253" s="9" t="s">
        <v>49</v>
      </c>
      <c r="X253" s="8"/>
      <c r="Y253" s="8"/>
      <c r="Z253" s="8"/>
      <c r="AA253" s="8"/>
      <c r="AB253" s="8"/>
      <c r="AC253" s="8"/>
      <c r="AD253" s="8"/>
      <c r="AE253" s="8"/>
      <c r="AF253" s="8"/>
      <c r="AG253" s="8"/>
      <c r="AH253" s="7" t="s">
        <v>57</v>
      </c>
      <c r="AI253" s="6" t="s">
        <v>71</v>
      </c>
      <c r="AJ253" s="6" t="s">
        <v>49</v>
      </c>
      <c r="AK253" s="6" t="s">
        <v>49</v>
      </c>
      <c r="AL253" s="9" t="s">
        <v>213</v>
      </c>
      <c r="AM253" s="9" t="s">
        <v>49</v>
      </c>
      <c r="AN253" s="6" t="s">
        <v>85</v>
      </c>
      <c r="AO253" s="9" t="s">
        <v>49</v>
      </c>
      <c r="AP253" s="11">
        <v>7248.8885899999996</v>
      </c>
      <c r="AQ253" s="11">
        <v>0</v>
      </c>
      <c r="AR253" s="11">
        <v>0</v>
      </c>
      <c r="AS253" s="11">
        <v>41681.266040000002</v>
      </c>
      <c r="AT253" s="11">
        <v>0</v>
      </c>
      <c r="AU253" s="11">
        <v>0</v>
      </c>
      <c r="AV253" s="11">
        <v>0</v>
      </c>
    </row>
    <row r="254" spans="1:50" customFormat="1" ht="14.5" hidden="1">
      <c r="A254" s="6">
        <v>253</v>
      </c>
      <c r="B254" s="7" t="s">
        <v>591</v>
      </c>
      <c r="C254" s="7" t="s">
        <v>49</v>
      </c>
      <c r="D254" s="6">
        <v>15385</v>
      </c>
      <c r="E254" s="6" t="s">
        <v>49</v>
      </c>
      <c r="F254" s="8"/>
      <c r="G254" s="8"/>
      <c r="H254" s="7" t="s">
        <v>49</v>
      </c>
      <c r="I254" s="7"/>
      <c r="J254" s="6" t="s">
        <v>49</v>
      </c>
      <c r="K254" s="9" t="s">
        <v>49</v>
      </c>
      <c r="L254" s="9" t="s">
        <v>49</v>
      </c>
      <c r="M254" s="8"/>
      <c r="N254" s="10">
        <v>43374</v>
      </c>
      <c r="O254" s="10">
        <v>43831</v>
      </c>
      <c r="P254" s="9" t="s">
        <v>49</v>
      </c>
      <c r="Q254" s="9" t="s">
        <v>49</v>
      </c>
      <c r="R254" s="8"/>
      <c r="S254" s="8"/>
      <c r="T254" s="8"/>
      <c r="U254" s="8"/>
      <c r="V254" s="9" t="s">
        <v>49</v>
      </c>
      <c r="W254" s="9" t="s">
        <v>49</v>
      </c>
      <c r="X254" s="8"/>
      <c r="Y254" s="8"/>
      <c r="Z254" s="8"/>
      <c r="AA254" s="8"/>
      <c r="AB254" s="8"/>
      <c r="AC254" s="8"/>
      <c r="AD254" s="8"/>
      <c r="AE254" s="8"/>
      <c r="AF254" s="8"/>
      <c r="AG254" s="8"/>
      <c r="AH254" s="7" t="s">
        <v>51</v>
      </c>
      <c r="AI254" s="6" t="s">
        <v>71</v>
      </c>
      <c r="AJ254" s="6" t="s">
        <v>49</v>
      </c>
      <c r="AK254" s="6" t="s">
        <v>49</v>
      </c>
      <c r="AL254" s="9" t="s">
        <v>592</v>
      </c>
      <c r="AM254" s="9" t="s">
        <v>49</v>
      </c>
      <c r="AN254" s="6" t="s">
        <v>96</v>
      </c>
      <c r="AO254" s="9" t="s">
        <v>49</v>
      </c>
      <c r="AP254" s="11">
        <v>7248.8885899999996</v>
      </c>
      <c r="AQ254" s="11">
        <v>0</v>
      </c>
      <c r="AR254" s="11">
        <v>0</v>
      </c>
      <c r="AS254" s="11">
        <v>41681.266040000002</v>
      </c>
      <c r="AT254" s="11">
        <v>0</v>
      </c>
      <c r="AU254" s="11">
        <v>0</v>
      </c>
      <c r="AV254" s="11">
        <v>0</v>
      </c>
    </row>
    <row r="255" spans="1:50" customFormat="1" ht="14.5" hidden="1">
      <c r="A255" s="6">
        <v>254</v>
      </c>
      <c r="B255" s="7" t="s">
        <v>593</v>
      </c>
      <c r="C255" s="7" t="s">
        <v>49</v>
      </c>
      <c r="D255" s="6">
        <v>15385</v>
      </c>
      <c r="E255" s="6" t="s">
        <v>594</v>
      </c>
      <c r="F255" s="8"/>
      <c r="G255" s="8"/>
      <c r="H255" s="7" t="s">
        <v>49</v>
      </c>
      <c r="I255" s="7"/>
      <c r="J255" s="6" t="s">
        <v>49</v>
      </c>
      <c r="K255" s="9" t="s">
        <v>49</v>
      </c>
      <c r="L255" s="9" t="s">
        <v>49</v>
      </c>
      <c r="M255" s="8"/>
      <c r="N255" s="10">
        <v>43374</v>
      </c>
      <c r="O255" s="10">
        <v>43831</v>
      </c>
      <c r="P255" s="9" t="s">
        <v>49</v>
      </c>
      <c r="Q255" s="9" t="s">
        <v>49</v>
      </c>
      <c r="R255" s="8"/>
      <c r="S255" s="8"/>
      <c r="T255" s="8"/>
      <c r="U255" s="8"/>
      <c r="V255" s="9" t="s">
        <v>49</v>
      </c>
      <c r="W255" s="9" t="s">
        <v>49</v>
      </c>
      <c r="X255" s="8"/>
      <c r="Y255" s="8"/>
      <c r="Z255" s="8"/>
      <c r="AA255" s="12"/>
      <c r="AB255" s="12"/>
      <c r="AC255" s="8"/>
      <c r="AD255" s="12"/>
      <c r="AE255" s="8"/>
      <c r="AF255" s="12"/>
      <c r="AG255" s="12"/>
      <c r="AH255" s="7" t="s">
        <v>51</v>
      </c>
      <c r="AI255" s="6" t="s">
        <v>49</v>
      </c>
      <c r="AJ255" s="6" t="s">
        <v>49</v>
      </c>
      <c r="AK255" s="6" t="s">
        <v>49</v>
      </c>
      <c r="AL255" s="9" t="s">
        <v>49</v>
      </c>
      <c r="AM255" s="9" t="s">
        <v>592</v>
      </c>
      <c r="AN255" s="6" t="s">
        <v>49</v>
      </c>
      <c r="AO255" s="9" t="s">
        <v>592</v>
      </c>
      <c r="AP255" s="11">
        <v>0</v>
      </c>
      <c r="AQ255" s="11">
        <v>0</v>
      </c>
      <c r="AR255" s="11">
        <v>0</v>
      </c>
      <c r="AS255" s="11">
        <v>259.81956000000002</v>
      </c>
      <c r="AT255" s="11">
        <v>0</v>
      </c>
      <c r="AU255" s="11">
        <v>0</v>
      </c>
      <c r="AV255" s="11" t="s">
        <v>51</v>
      </c>
    </row>
    <row r="256" spans="1:50" customFormat="1" ht="14.5" hidden="1">
      <c r="A256" s="6">
        <v>255</v>
      </c>
      <c r="B256" s="7" t="s">
        <v>595</v>
      </c>
      <c r="C256" s="7" t="s">
        <v>49</v>
      </c>
      <c r="D256" s="6">
        <v>12540</v>
      </c>
      <c r="E256" s="6" t="s">
        <v>49</v>
      </c>
      <c r="F256" s="8"/>
      <c r="G256" s="8"/>
      <c r="H256" s="7" t="s">
        <v>49</v>
      </c>
      <c r="I256" s="7"/>
      <c r="J256" s="6" t="s">
        <v>49</v>
      </c>
      <c r="K256" s="9" t="s">
        <v>49</v>
      </c>
      <c r="L256" s="9" t="s">
        <v>49</v>
      </c>
      <c r="M256" s="8"/>
      <c r="N256" s="10">
        <v>42948</v>
      </c>
      <c r="O256" s="10">
        <v>44165</v>
      </c>
      <c r="P256" s="9" t="s">
        <v>49</v>
      </c>
      <c r="Q256" s="9" t="s">
        <v>49</v>
      </c>
      <c r="R256" s="8"/>
      <c r="S256" s="8"/>
      <c r="T256" s="8"/>
      <c r="U256" s="8"/>
      <c r="V256" s="9" t="s">
        <v>49</v>
      </c>
      <c r="W256" s="9" t="s">
        <v>49</v>
      </c>
      <c r="X256" s="8"/>
      <c r="Y256" s="8"/>
      <c r="Z256" s="8"/>
      <c r="AA256" s="8"/>
      <c r="AB256" s="8"/>
      <c r="AC256" s="8"/>
      <c r="AD256" s="8"/>
      <c r="AE256" s="8"/>
      <c r="AF256" s="8"/>
      <c r="AG256" s="8"/>
      <c r="AH256" s="7" t="s">
        <v>51</v>
      </c>
      <c r="AI256" s="6" t="s">
        <v>71</v>
      </c>
      <c r="AJ256" s="6" t="s">
        <v>49</v>
      </c>
      <c r="AK256" s="6" t="s">
        <v>118</v>
      </c>
      <c r="AL256" s="9" t="s">
        <v>596</v>
      </c>
      <c r="AM256" s="9" t="s">
        <v>49</v>
      </c>
      <c r="AN256" s="6" t="s">
        <v>82</v>
      </c>
      <c r="AO256" s="9" t="s">
        <v>49</v>
      </c>
      <c r="AP256" s="11">
        <v>7248.8885899999996</v>
      </c>
      <c r="AQ256" s="11">
        <v>0</v>
      </c>
      <c r="AR256" s="11">
        <v>0</v>
      </c>
      <c r="AS256" s="11">
        <v>41681.266040000002</v>
      </c>
      <c r="AT256" s="11">
        <v>0</v>
      </c>
      <c r="AU256" s="11">
        <v>0</v>
      </c>
      <c r="AV256" s="11">
        <v>0</v>
      </c>
    </row>
    <row r="257" spans="1:50" customFormat="1" ht="14.5" hidden="1">
      <c r="A257" s="6">
        <v>256</v>
      </c>
      <c r="B257" s="7" t="s">
        <v>597</v>
      </c>
      <c r="C257" s="7" t="s">
        <v>49</v>
      </c>
      <c r="D257" s="6">
        <v>12540</v>
      </c>
      <c r="E257" s="6" t="s">
        <v>598</v>
      </c>
      <c r="F257" s="12"/>
      <c r="G257" s="8"/>
      <c r="H257" s="7" t="s">
        <v>49</v>
      </c>
      <c r="I257" s="7"/>
      <c r="J257" s="6" t="s">
        <v>49</v>
      </c>
      <c r="K257" s="9" t="s">
        <v>49</v>
      </c>
      <c r="L257" s="9" t="s">
        <v>49</v>
      </c>
      <c r="M257" s="12"/>
      <c r="N257" s="10">
        <v>42948</v>
      </c>
      <c r="O257" s="10">
        <v>44165</v>
      </c>
      <c r="P257" s="9" t="s">
        <v>49</v>
      </c>
      <c r="Q257" s="9" t="s">
        <v>49</v>
      </c>
      <c r="R257" s="8"/>
      <c r="S257" s="8"/>
      <c r="T257" s="8"/>
      <c r="U257" s="8"/>
      <c r="V257" s="9" t="s">
        <v>49</v>
      </c>
      <c r="W257" s="9" t="s">
        <v>49</v>
      </c>
      <c r="X257" s="8"/>
      <c r="Y257" s="8"/>
      <c r="Z257" s="12"/>
      <c r="AA257" s="8"/>
      <c r="AB257" s="12"/>
      <c r="AC257" s="8"/>
      <c r="AD257" s="12"/>
      <c r="AE257" s="12"/>
      <c r="AF257" s="8"/>
      <c r="AG257" s="8"/>
      <c r="AH257" s="7" t="s">
        <v>51</v>
      </c>
      <c r="AI257" s="6" t="s">
        <v>49</v>
      </c>
      <c r="AJ257" s="6" t="s">
        <v>49</v>
      </c>
      <c r="AK257" s="6" t="s">
        <v>49</v>
      </c>
      <c r="AL257" s="9" t="s">
        <v>49</v>
      </c>
      <c r="AM257" s="9" t="s">
        <v>596</v>
      </c>
      <c r="AN257" s="6" t="s">
        <v>49</v>
      </c>
      <c r="AO257" s="9" t="s">
        <v>596</v>
      </c>
      <c r="AP257" s="11">
        <v>0</v>
      </c>
      <c r="AQ257" s="11">
        <v>0</v>
      </c>
      <c r="AR257" s="11">
        <v>0</v>
      </c>
      <c r="AS257" s="11">
        <v>0</v>
      </c>
      <c r="AT257" s="11">
        <v>0</v>
      </c>
      <c r="AU257" s="11">
        <v>0</v>
      </c>
      <c r="AV257" s="11" t="s">
        <v>51</v>
      </c>
    </row>
    <row r="258" spans="1:50" customFormat="1" ht="14.5" hidden="1">
      <c r="A258" s="6">
        <v>257</v>
      </c>
      <c r="B258" s="7" t="s">
        <v>599</v>
      </c>
      <c r="C258" s="7" t="s">
        <v>49</v>
      </c>
      <c r="D258" s="6">
        <v>16027</v>
      </c>
      <c r="E258" s="6" t="s">
        <v>49</v>
      </c>
      <c r="F258" s="8"/>
      <c r="G258" s="8"/>
      <c r="H258" s="7" t="s">
        <v>49</v>
      </c>
      <c r="I258" s="7"/>
      <c r="J258" s="6" t="s">
        <v>49</v>
      </c>
      <c r="K258" s="9" t="s">
        <v>49</v>
      </c>
      <c r="L258" s="9" t="s">
        <v>49</v>
      </c>
      <c r="M258" s="8"/>
      <c r="N258" s="10">
        <v>43497</v>
      </c>
      <c r="O258" s="10">
        <v>44196</v>
      </c>
      <c r="P258" s="9" t="s">
        <v>49</v>
      </c>
      <c r="Q258" s="9" t="s">
        <v>49</v>
      </c>
      <c r="R258" s="8"/>
      <c r="S258" s="8"/>
      <c r="T258" s="8"/>
      <c r="U258" s="8"/>
      <c r="V258" s="9" t="s">
        <v>49</v>
      </c>
      <c r="W258" s="9" t="s">
        <v>49</v>
      </c>
      <c r="X258" s="8"/>
      <c r="Y258" s="8"/>
      <c r="Z258" s="8"/>
      <c r="AA258" s="8"/>
      <c r="AB258" s="8"/>
      <c r="AC258" s="8"/>
      <c r="AD258" s="8"/>
      <c r="AE258" s="8"/>
      <c r="AF258" s="8"/>
      <c r="AG258" s="8"/>
      <c r="AH258" s="7" t="s">
        <v>57</v>
      </c>
      <c r="AI258" s="6" t="s">
        <v>71</v>
      </c>
      <c r="AJ258" s="6" t="s">
        <v>49</v>
      </c>
      <c r="AK258" s="6" t="s">
        <v>49</v>
      </c>
      <c r="AL258" s="9" t="s">
        <v>67</v>
      </c>
      <c r="AM258" s="9" t="s">
        <v>49</v>
      </c>
      <c r="AN258" s="6" t="s">
        <v>85</v>
      </c>
      <c r="AO258" s="9" t="s">
        <v>49</v>
      </c>
      <c r="AP258" s="11">
        <v>7248.8885899999996</v>
      </c>
      <c r="AQ258" s="11">
        <v>0</v>
      </c>
      <c r="AR258" s="11">
        <v>0</v>
      </c>
      <c r="AS258" s="11">
        <v>41681.266040000002</v>
      </c>
      <c r="AT258" s="11">
        <v>0</v>
      </c>
      <c r="AU258" s="11">
        <v>0</v>
      </c>
      <c r="AV258" s="11">
        <v>0</v>
      </c>
    </row>
    <row r="259" spans="1:50" customFormat="1" ht="14.5" hidden="1">
      <c r="A259" s="6">
        <v>258</v>
      </c>
      <c r="B259" s="7" t="s">
        <v>599</v>
      </c>
      <c r="C259" s="7" t="s">
        <v>49</v>
      </c>
      <c r="D259" s="6">
        <v>16027</v>
      </c>
      <c r="E259" s="6" t="s">
        <v>600</v>
      </c>
      <c r="F259" s="8"/>
      <c r="G259" s="8"/>
      <c r="H259" s="7" t="s">
        <v>49</v>
      </c>
      <c r="I259" s="7"/>
      <c r="J259" s="6" t="s">
        <v>49</v>
      </c>
      <c r="K259" s="9" t="s">
        <v>49</v>
      </c>
      <c r="L259" s="9" t="s">
        <v>49</v>
      </c>
      <c r="M259" s="8"/>
      <c r="N259" s="10">
        <v>43497</v>
      </c>
      <c r="O259" s="10">
        <v>44196</v>
      </c>
      <c r="P259" s="9" t="s">
        <v>49</v>
      </c>
      <c r="Q259" s="9" t="s">
        <v>49</v>
      </c>
      <c r="R259" s="8"/>
      <c r="S259" s="8"/>
      <c r="T259" s="8"/>
      <c r="U259" s="8"/>
      <c r="V259" s="9" t="s">
        <v>49</v>
      </c>
      <c r="W259" s="9" t="s">
        <v>49</v>
      </c>
      <c r="X259" s="8"/>
      <c r="Y259" s="8"/>
      <c r="Z259" s="8"/>
      <c r="AA259" s="8"/>
      <c r="AB259" s="8"/>
      <c r="AC259" s="8"/>
      <c r="AD259" s="8"/>
      <c r="AE259" s="8"/>
      <c r="AF259" s="8"/>
      <c r="AG259" s="8"/>
      <c r="AH259" s="7" t="s">
        <v>57</v>
      </c>
      <c r="AI259" s="6" t="s">
        <v>49</v>
      </c>
      <c r="AJ259" s="6" t="s">
        <v>49</v>
      </c>
      <c r="AK259" s="6" t="s">
        <v>49</v>
      </c>
      <c r="AL259" s="9" t="s">
        <v>49</v>
      </c>
      <c r="AM259" s="9" t="s">
        <v>67</v>
      </c>
      <c r="AN259" s="6" t="s">
        <v>49</v>
      </c>
      <c r="AO259" s="9" t="s">
        <v>67</v>
      </c>
      <c r="AP259" s="11">
        <v>0</v>
      </c>
      <c r="AQ259" s="11">
        <v>0</v>
      </c>
      <c r="AR259" s="11">
        <v>0</v>
      </c>
      <c r="AS259" s="11">
        <v>0</v>
      </c>
      <c r="AT259" s="11">
        <v>1500.0375100000001</v>
      </c>
      <c r="AU259" s="11">
        <v>0</v>
      </c>
      <c r="AV259" s="11" t="s">
        <v>57</v>
      </c>
    </row>
    <row r="260" spans="1:50" customFormat="1" ht="14.5" hidden="1">
      <c r="A260" s="6">
        <v>259</v>
      </c>
      <c r="B260" s="7" t="s">
        <v>601</v>
      </c>
      <c r="C260" s="7" t="s">
        <v>49</v>
      </c>
      <c r="D260" s="6">
        <v>15504</v>
      </c>
      <c r="E260" s="6" t="s">
        <v>602</v>
      </c>
      <c r="F260" s="8"/>
      <c r="G260" s="8"/>
      <c r="H260" s="7" t="s">
        <v>49</v>
      </c>
      <c r="I260" s="7"/>
      <c r="J260" s="6" t="s">
        <v>49</v>
      </c>
      <c r="K260" s="9" t="s">
        <v>49</v>
      </c>
      <c r="L260" s="9" t="s">
        <v>49</v>
      </c>
      <c r="M260" s="8"/>
      <c r="N260" s="8"/>
      <c r="O260" s="10">
        <v>44196</v>
      </c>
      <c r="P260" s="9" t="s">
        <v>49</v>
      </c>
      <c r="Q260" s="9" t="s">
        <v>49</v>
      </c>
      <c r="R260" s="8"/>
      <c r="S260" s="8"/>
      <c r="T260" s="8"/>
      <c r="U260" s="8"/>
      <c r="V260" s="9" t="s">
        <v>49</v>
      </c>
      <c r="W260" s="9" t="s">
        <v>49</v>
      </c>
      <c r="X260" s="8"/>
      <c r="Y260" s="8"/>
      <c r="Z260" s="8"/>
      <c r="AA260" s="8"/>
      <c r="AB260" s="8"/>
      <c r="AC260" s="8"/>
      <c r="AD260" s="8"/>
      <c r="AE260" s="8"/>
      <c r="AF260" s="8"/>
      <c r="AG260" s="8"/>
      <c r="AH260" s="7" t="s">
        <v>57</v>
      </c>
      <c r="AI260" s="6" t="s">
        <v>49</v>
      </c>
      <c r="AJ260" s="6" t="s">
        <v>49</v>
      </c>
      <c r="AK260" s="6" t="s">
        <v>49</v>
      </c>
      <c r="AL260" s="9" t="s">
        <v>49</v>
      </c>
      <c r="AM260" s="9" t="s">
        <v>67</v>
      </c>
      <c r="AN260" s="6" t="s">
        <v>49</v>
      </c>
      <c r="AO260" s="9" t="s">
        <v>603</v>
      </c>
      <c r="AP260" s="11">
        <v>0</v>
      </c>
      <c r="AQ260" s="11">
        <v>0</v>
      </c>
      <c r="AR260" s="11">
        <v>0</v>
      </c>
      <c r="AS260" s="11">
        <v>0</v>
      </c>
      <c r="AT260" s="11">
        <v>0</v>
      </c>
      <c r="AU260" s="11">
        <v>0</v>
      </c>
      <c r="AV260" s="11" t="s">
        <v>57</v>
      </c>
    </row>
    <row r="261" spans="1:50" customFormat="1" ht="14.5" hidden="1">
      <c r="A261" s="6">
        <v>260</v>
      </c>
      <c r="B261" s="7" t="s">
        <v>604</v>
      </c>
      <c r="C261" s="7" t="s">
        <v>49</v>
      </c>
      <c r="D261" s="6">
        <v>15644</v>
      </c>
      <c r="E261" s="6" t="s">
        <v>49</v>
      </c>
      <c r="F261" s="8"/>
      <c r="G261" s="8"/>
      <c r="H261" s="7" t="s">
        <v>49</v>
      </c>
      <c r="I261" s="7"/>
      <c r="J261" s="6" t="s">
        <v>49</v>
      </c>
      <c r="K261" s="9" t="s">
        <v>49</v>
      </c>
      <c r="L261" s="9" t="s">
        <v>49</v>
      </c>
      <c r="M261" s="8"/>
      <c r="N261" s="8"/>
      <c r="O261" s="12"/>
      <c r="P261" s="9" t="s">
        <v>49</v>
      </c>
      <c r="Q261" s="9" t="s">
        <v>49</v>
      </c>
      <c r="R261" s="8"/>
      <c r="S261" s="8"/>
      <c r="T261" s="8"/>
      <c r="U261" s="8"/>
      <c r="V261" s="9" t="s">
        <v>49</v>
      </c>
      <c r="W261" s="9" t="s">
        <v>49</v>
      </c>
      <c r="X261" s="8"/>
      <c r="Y261" s="8"/>
      <c r="Z261" s="8"/>
      <c r="AA261" s="12"/>
      <c r="AB261" s="12"/>
      <c r="AC261" s="12"/>
      <c r="AD261" s="12"/>
      <c r="AE261" s="8"/>
      <c r="AF261" s="12"/>
      <c r="AG261" s="12"/>
      <c r="AH261" s="7" t="s">
        <v>79</v>
      </c>
      <c r="AI261" s="6" t="s">
        <v>110</v>
      </c>
      <c r="AJ261" s="6" t="s">
        <v>49</v>
      </c>
      <c r="AK261" s="6" t="s">
        <v>49</v>
      </c>
      <c r="AL261" s="9" t="s">
        <v>111</v>
      </c>
      <c r="AM261" s="9" t="s">
        <v>49</v>
      </c>
      <c r="AN261" s="6" t="s">
        <v>82</v>
      </c>
      <c r="AO261" s="9" t="s">
        <v>49</v>
      </c>
      <c r="AP261" s="11">
        <v>7248.8885899999996</v>
      </c>
      <c r="AQ261" s="11">
        <v>0</v>
      </c>
      <c r="AR261" s="11">
        <v>0</v>
      </c>
      <c r="AS261" s="11">
        <v>41681.266040000002</v>
      </c>
      <c r="AT261" s="11">
        <v>0</v>
      </c>
      <c r="AU261" s="11">
        <v>0</v>
      </c>
      <c r="AV261" s="11">
        <v>0</v>
      </c>
    </row>
    <row r="262" spans="1:50" customFormat="1" ht="14.5" hidden="1">
      <c r="A262" s="6">
        <v>261</v>
      </c>
      <c r="B262" s="7" t="s">
        <v>605</v>
      </c>
      <c r="C262" s="7" t="s">
        <v>49</v>
      </c>
      <c r="D262" s="6">
        <v>15341</v>
      </c>
      <c r="E262" s="6" t="s">
        <v>606</v>
      </c>
      <c r="F262" s="8"/>
      <c r="G262" s="8"/>
      <c r="H262" s="7" t="s">
        <v>49</v>
      </c>
      <c r="I262" s="7"/>
      <c r="J262" s="6" t="s">
        <v>49</v>
      </c>
      <c r="K262" s="9" t="s">
        <v>49</v>
      </c>
      <c r="L262" s="9" t="s">
        <v>49</v>
      </c>
      <c r="M262" s="8"/>
      <c r="N262" s="10">
        <v>43332</v>
      </c>
      <c r="O262" s="10">
        <v>43860</v>
      </c>
      <c r="P262" s="9" t="s">
        <v>49</v>
      </c>
      <c r="Q262" s="9" t="s">
        <v>49</v>
      </c>
      <c r="R262" s="8"/>
      <c r="S262" s="8"/>
      <c r="T262" s="8"/>
      <c r="U262" s="8"/>
      <c r="V262" s="9" t="s">
        <v>49</v>
      </c>
      <c r="W262" s="9" t="s">
        <v>49</v>
      </c>
      <c r="X262" s="8"/>
      <c r="Y262" s="8"/>
      <c r="Z262" s="8"/>
      <c r="AA262" s="8"/>
      <c r="AB262" s="8"/>
      <c r="AC262" s="8"/>
      <c r="AD262" s="8"/>
      <c r="AE262" s="8"/>
      <c r="AF262" s="8"/>
      <c r="AG262" s="8"/>
      <c r="AH262" s="7" t="s">
        <v>51</v>
      </c>
      <c r="AI262" s="6" t="s">
        <v>49</v>
      </c>
      <c r="AJ262" s="6" t="s">
        <v>49</v>
      </c>
      <c r="AK262" s="6" t="s">
        <v>49</v>
      </c>
      <c r="AL262" s="9" t="s">
        <v>49</v>
      </c>
      <c r="AM262" s="9" t="s">
        <v>607</v>
      </c>
      <c r="AN262" s="6" t="s">
        <v>49</v>
      </c>
      <c r="AO262" s="9" t="s">
        <v>201</v>
      </c>
      <c r="AP262" s="11">
        <v>0</v>
      </c>
      <c r="AQ262" s="11">
        <v>0</v>
      </c>
      <c r="AR262" s="11">
        <v>0</v>
      </c>
      <c r="AS262" s="11">
        <v>0</v>
      </c>
      <c r="AT262" s="11">
        <v>0</v>
      </c>
      <c r="AU262" s="11">
        <v>0</v>
      </c>
      <c r="AV262" s="11" t="s">
        <v>51</v>
      </c>
    </row>
    <row r="263" spans="1:50" customFormat="1" ht="14.5" hidden="1">
      <c r="A263" s="6">
        <v>262</v>
      </c>
      <c r="B263" s="7" t="s">
        <v>608</v>
      </c>
      <c r="C263" s="7" t="s">
        <v>49</v>
      </c>
      <c r="D263" s="6">
        <v>15706</v>
      </c>
      <c r="E263" s="6" t="s">
        <v>49</v>
      </c>
      <c r="F263" s="8"/>
      <c r="G263" s="8"/>
      <c r="H263" s="7" t="s">
        <v>49</v>
      </c>
      <c r="I263" s="7"/>
      <c r="J263" s="6" t="s">
        <v>49</v>
      </c>
      <c r="K263" s="9" t="s">
        <v>49</v>
      </c>
      <c r="L263" s="9" t="s">
        <v>49</v>
      </c>
      <c r="M263" s="8"/>
      <c r="N263" s="8"/>
      <c r="O263" s="10">
        <v>44042</v>
      </c>
      <c r="P263" s="9" t="s">
        <v>49</v>
      </c>
      <c r="Q263" s="9" t="s">
        <v>49</v>
      </c>
      <c r="R263" s="8"/>
      <c r="S263" s="8"/>
      <c r="T263" s="8"/>
      <c r="U263" s="8"/>
      <c r="V263" s="9" t="s">
        <v>49</v>
      </c>
      <c r="W263" s="9" t="s">
        <v>49</v>
      </c>
      <c r="X263" s="8"/>
      <c r="Y263" s="8"/>
      <c r="Z263" s="8"/>
      <c r="AA263" s="8"/>
      <c r="AB263" s="8"/>
      <c r="AC263" s="8"/>
      <c r="AD263" s="8"/>
      <c r="AE263" s="8"/>
      <c r="AF263" s="8"/>
      <c r="AG263" s="8"/>
      <c r="AH263" s="7" t="s">
        <v>51</v>
      </c>
      <c r="AI263" s="6" t="s">
        <v>71</v>
      </c>
      <c r="AJ263" s="6" t="s">
        <v>49</v>
      </c>
      <c r="AK263" s="6" t="s">
        <v>49</v>
      </c>
      <c r="AL263" s="9" t="s">
        <v>52</v>
      </c>
      <c r="AM263" s="9" t="s">
        <v>49</v>
      </c>
      <c r="AN263" s="6" t="s">
        <v>82</v>
      </c>
      <c r="AO263" s="9" t="s">
        <v>49</v>
      </c>
      <c r="AP263" s="11">
        <v>7248.8885899999996</v>
      </c>
      <c r="AQ263" s="11">
        <v>0</v>
      </c>
      <c r="AR263" s="11">
        <v>0</v>
      </c>
      <c r="AS263" s="11">
        <v>41681.266040000002</v>
      </c>
      <c r="AT263" s="11">
        <v>0</v>
      </c>
      <c r="AU263" s="11">
        <v>0</v>
      </c>
      <c r="AV263" s="11">
        <v>0</v>
      </c>
    </row>
    <row r="264" spans="1:50" ht="13.5" customHeight="1">
      <c r="A264" s="46">
        <v>386</v>
      </c>
      <c r="B264" s="47" t="s">
        <v>789</v>
      </c>
      <c r="C264" s="47" t="s">
        <v>569</v>
      </c>
      <c r="D264" s="6">
        <v>15372</v>
      </c>
      <c r="E264" s="6" t="s">
        <v>790</v>
      </c>
      <c r="F264" s="38">
        <v>72263</v>
      </c>
      <c r="G264" s="8"/>
      <c r="H264" s="47" t="s">
        <v>88</v>
      </c>
      <c r="I264" s="47" t="s">
        <v>217</v>
      </c>
      <c r="J264" s="46" t="s">
        <v>75</v>
      </c>
      <c r="K264" s="48" t="s">
        <v>76</v>
      </c>
      <c r="L264" s="9" t="s">
        <v>73</v>
      </c>
      <c r="M264" s="28">
        <v>8701</v>
      </c>
      <c r="N264" s="75">
        <v>42917</v>
      </c>
      <c r="O264" s="75">
        <v>44196</v>
      </c>
      <c r="P264" s="9" t="s">
        <v>791</v>
      </c>
      <c r="Q264" s="9" t="s">
        <v>792</v>
      </c>
      <c r="R264" s="46">
        <v>5.29</v>
      </c>
      <c r="S264" s="46">
        <v>40.5</v>
      </c>
      <c r="T264" s="6">
        <v>264.60000000000002</v>
      </c>
      <c r="U264" s="46">
        <v>22.3</v>
      </c>
      <c r="V264" s="48" t="s">
        <v>793</v>
      </c>
      <c r="W264" s="9" t="s">
        <v>108</v>
      </c>
      <c r="X264" s="6">
        <v>5.4870000000000001</v>
      </c>
      <c r="Y264" s="68"/>
      <c r="Z264" s="38">
        <v>3.214</v>
      </c>
      <c r="AA264" s="8"/>
      <c r="AB264" s="6">
        <v>8.7010000000000005</v>
      </c>
      <c r="AC264" s="38">
        <v>3.121</v>
      </c>
      <c r="AD264" s="6">
        <v>11.821999999999999</v>
      </c>
      <c r="AE264" s="6">
        <v>6.9610000000000003</v>
      </c>
      <c r="AF264" s="68"/>
      <c r="AG264" s="6">
        <v>6.9610000000000003</v>
      </c>
      <c r="AH264" s="7" t="s">
        <v>51</v>
      </c>
      <c r="AI264" s="6" t="s">
        <v>49</v>
      </c>
      <c r="AJ264" s="6" t="s">
        <v>49</v>
      </c>
      <c r="AK264" s="6" t="s">
        <v>49</v>
      </c>
      <c r="AL264" s="9" t="s">
        <v>49</v>
      </c>
      <c r="AM264" s="9" t="s">
        <v>213</v>
      </c>
      <c r="AN264" s="6" t="s">
        <v>49</v>
      </c>
      <c r="AO264" s="9" t="s">
        <v>213</v>
      </c>
      <c r="AP264" s="11">
        <v>779.01295999999991</v>
      </c>
      <c r="AQ264" s="11">
        <v>1057983.1299999999</v>
      </c>
      <c r="AR264" s="11">
        <v>1057983.1216666666</v>
      </c>
      <c r="AS264" s="11">
        <v>7942.51566</v>
      </c>
      <c r="AT264" s="11">
        <v>3898.7190000000001</v>
      </c>
      <c r="AU264" s="11">
        <v>8860</v>
      </c>
      <c r="AV264" s="11" t="s">
        <v>51</v>
      </c>
      <c r="AW264" t="s">
        <v>306</v>
      </c>
      <c r="AX264" s="58" t="s">
        <v>791</v>
      </c>
    </row>
    <row r="265" spans="1:50" customFormat="1" ht="14.5" hidden="1">
      <c r="A265" s="6">
        <v>264</v>
      </c>
      <c r="B265" s="7" t="s">
        <v>612</v>
      </c>
      <c r="C265" s="7" t="s">
        <v>49</v>
      </c>
      <c r="D265" s="6">
        <v>15644</v>
      </c>
      <c r="E265" s="6" t="s">
        <v>49</v>
      </c>
      <c r="F265" s="8"/>
      <c r="G265" s="8"/>
      <c r="H265" s="7" t="s">
        <v>49</v>
      </c>
      <c r="I265" s="7"/>
      <c r="J265" s="6" t="s">
        <v>49</v>
      </c>
      <c r="K265" s="9" t="s">
        <v>49</v>
      </c>
      <c r="L265" s="9" t="s">
        <v>49</v>
      </c>
      <c r="M265" s="8"/>
      <c r="N265" s="12"/>
      <c r="O265" s="12"/>
      <c r="P265" s="9" t="s">
        <v>49</v>
      </c>
      <c r="Q265" s="9" t="s">
        <v>49</v>
      </c>
      <c r="R265" s="8"/>
      <c r="S265" s="8"/>
      <c r="T265" s="8"/>
      <c r="U265" s="8"/>
      <c r="V265" s="9" t="s">
        <v>49</v>
      </c>
      <c r="W265" s="9" t="s">
        <v>49</v>
      </c>
      <c r="X265" s="8"/>
      <c r="Y265" s="8"/>
      <c r="Z265" s="8"/>
      <c r="AA265" s="8"/>
      <c r="AB265" s="8"/>
      <c r="AC265" s="8"/>
      <c r="AD265" s="8"/>
      <c r="AE265" s="8"/>
      <c r="AF265" s="8"/>
      <c r="AG265" s="8"/>
      <c r="AH265" s="7" t="s">
        <v>79</v>
      </c>
      <c r="AI265" s="6" t="s">
        <v>110</v>
      </c>
      <c r="AJ265" s="6" t="s">
        <v>49</v>
      </c>
      <c r="AK265" s="6" t="s">
        <v>49</v>
      </c>
      <c r="AL265" s="9" t="s">
        <v>111</v>
      </c>
      <c r="AM265" s="9" t="s">
        <v>49</v>
      </c>
      <c r="AN265" s="6" t="s">
        <v>82</v>
      </c>
      <c r="AO265" s="9" t="s">
        <v>49</v>
      </c>
      <c r="AP265" s="11">
        <v>7248.8885899999996</v>
      </c>
      <c r="AQ265" s="11">
        <v>0</v>
      </c>
      <c r="AR265" s="11">
        <v>0</v>
      </c>
      <c r="AS265" s="11">
        <v>41681.266040000002</v>
      </c>
      <c r="AT265" s="11">
        <v>0</v>
      </c>
      <c r="AU265" s="11">
        <v>0</v>
      </c>
      <c r="AV265" s="11">
        <v>0</v>
      </c>
    </row>
    <row r="266" spans="1:50" ht="13.5" customHeight="1">
      <c r="A266" s="46">
        <v>415</v>
      </c>
      <c r="B266" s="47" t="s">
        <v>849</v>
      </c>
      <c r="C266" s="47" t="s">
        <v>131</v>
      </c>
      <c r="D266" s="6">
        <v>15070</v>
      </c>
      <c r="E266" s="6" t="s">
        <v>850</v>
      </c>
      <c r="F266" s="6">
        <v>84965</v>
      </c>
      <c r="G266" s="8"/>
      <c r="H266" s="47" t="s">
        <v>88</v>
      </c>
      <c r="I266" s="47" t="s">
        <v>217</v>
      </c>
      <c r="J266" s="46" t="s">
        <v>75</v>
      </c>
      <c r="K266" s="48" t="s">
        <v>851</v>
      </c>
      <c r="L266" s="9" t="s">
        <v>73</v>
      </c>
      <c r="M266" s="20">
        <v>4181</v>
      </c>
      <c r="N266" s="75">
        <v>43467</v>
      </c>
      <c r="O266" s="10">
        <v>44924</v>
      </c>
      <c r="P266" s="9" t="s">
        <v>403</v>
      </c>
      <c r="Q266" s="9" t="s">
        <v>852</v>
      </c>
      <c r="R266" s="46">
        <v>5.24</v>
      </c>
      <c r="S266" s="46">
        <v>19.100000000000001</v>
      </c>
      <c r="T266" s="6">
        <v>48.6</v>
      </c>
      <c r="U266" s="46">
        <v>6.7</v>
      </c>
      <c r="V266" s="48" t="s">
        <v>269</v>
      </c>
      <c r="W266" s="9" t="s">
        <v>132</v>
      </c>
      <c r="X266" s="8"/>
      <c r="Y266" s="8"/>
      <c r="Z266" s="38">
        <v>0.69899999999999995</v>
      </c>
      <c r="AA266" s="8"/>
      <c r="AB266" s="38">
        <v>0.69899999999999995</v>
      </c>
      <c r="AC266" s="8"/>
      <c r="AD266" s="38">
        <v>0.69899999999999995</v>
      </c>
      <c r="AE266" s="38">
        <v>0.106</v>
      </c>
      <c r="AF266" s="8"/>
      <c r="AG266" s="38">
        <v>0.106</v>
      </c>
      <c r="AH266" s="7" t="s">
        <v>57</v>
      </c>
      <c r="AI266" s="6" t="s">
        <v>49</v>
      </c>
      <c r="AJ266" s="6" t="s">
        <v>49</v>
      </c>
      <c r="AK266" s="6" t="s">
        <v>49</v>
      </c>
      <c r="AL266" s="9" t="s">
        <v>49</v>
      </c>
      <c r="AM266" s="9" t="s">
        <v>134</v>
      </c>
      <c r="AN266" s="6" t="s">
        <v>49</v>
      </c>
      <c r="AO266" s="9" t="s">
        <v>134</v>
      </c>
      <c r="AP266" s="11">
        <v>0</v>
      </c>
      <c r="AQ266" s="11">
        <v>0</v>
      </c>
      <c r="AR266" s="11">
        <v>0</v>
      </c>
      <c r="AS266" s="11">
        <v>0</v>
      </c>
      <c r="AT266" s="11">
        <v>0</v>
      </c>
      <c r="AU266" s="11">
        <v>0</v>
      </c>
      <c r="AV266" s="11" t="s">
        <v>57</v>
      </c>
      <c r="AX266" s="59" t="s">
        <v>847</v>
      </c>
    </row>
    <row r="267" spans="1:50" customFormat="1" ht="14.5" hidden="1">
      <c r="A267" s="6">
        <v>266</v>
      </c>
      <c r="B267" s="7" t="s">
        <v>615</v>
      </c>
      <c r="C267" s="7" t="s">
        <v>49</v>
      </c>
      <c r="D267" s="6">
        <v>15481</v>
      </c>
      <c r="E267" s="6" t="s">
        <v>616</v>
      </c>
      <c r="F267" s="8"/>
      <c r="G267" s="8"/>
      <c r="H267" s="7" t="s">
        <v>49</v>
      </c>
      <c r="I267" s="7"/>
      <c r="J267" s="6" t="s">
        <v>49</v>
      </c>
      <c r="K267" s="9" t="s">
        <v>49</v>
      </c>
      <c r="L267" s="9" t="s">
        <v>49</v>
      </c>
      <c r="M267" s="8"/>
      <c r="N267" s="10">
        <v>43465</v>
      </c>
      <c r="O267" s="10">
        <v>44593</v>
      </c>
      <c r="P267" s="9" t="s">
        <v>49</v>
      </c>
      <c r="Q267" s="9" t="s">
        <v>49</v>
      </c>
      <c r="R267" s="8"/>
      <c r="S267" s="8"/>
      <c r="T267" s="8"/>
      <c r="U267" s="8"/>
      <c r="V267" s="9" t="s">
        <v>49</v>
      </c>
      <c r="W267" s="9" t="s">
        <v>49</v>
      </c>
      <c r="X267" s="8"/>
      <c r="Y267" s="8"/>
      <c r="Z267" s="8"/>
      <c r="AA267" s="8"/>
      <c r="AB267" s="8"/>
      <c r="AC267" s="8"/>
      <c r="AD267" s="8"/>
      <c r="AE267" s="8"/>
      <c r="AF267" s="8"/>
      <c r="AG267" s="8"/>
      <c r="AH267" s="7" t="s">
        <v>57</v>
      </c>
      <c r="AI267" s="6" t="s">
        <v>49</v>
      </c>
      <c r="AJ267" s="6" t="s">
        <v>49</v>
      </c>
      <c r="AK267" s="6" t="s">
        <v>49</v>
      </c>
      <c r="AL267" s="9" t="s">
        <v>49</v>
      </c>
      <c r="AM267" s="9" t="s">
        <v>52</v>
      </c>
      <c r="AN267" s="6" t="s">
        <v>49</v>
      </c>
      <c r="AO267" s="9" t="s">
        <v>52</v>
      </c>
      <c r="AP267" s="11">
        <v>0</v>
      </c>
      <c r="AQ267" s="11">
        <v>0</v>
      </c>
      <c r="AR267" s="11">
        <v>0</v>
      </c>
      <c r="AS267" s="11">
        <v>0</v>
      </c>
      <c r="AT267" s="11">
        <v>0</v>
      </c>
      <c r="AU267" s="11">
        <v>0</v>
      </c>
      <c r="AV267" s="11" t="s">
        <v>57</v>
      </c>
    </row>
    <row r="268" spans="1:50" customFormat="1" ht="14.5" hidden="1">
      <c r="A268" s="6">
        <v>267</v>
      </c>
      <c r="B268" s="7" t="s">
        <v>617</v>
      </c>
      <c r="C268" s="7" t="s">
        <v>49</v>
      </c>
      <c r="D268" s="6">
        <v>15644</v>
      </c>
      <c r="E268" s="6" t="s">
        <v>49</v>
      </c>
      <c r="F268" s="12"/>
      <c r="G268" s="8"/>
      <c r="H268" s="7" t="s">
        <v>49</v>
      </c>
      <c r="I268" s="7"/>
      <c r="J268" s="6" t="s">
        <v>49</v>
      </c>
      <c r="K268" s="9" t="s">
        <v>49</v>
      </c>
      <c r="L268" s="9" t="s">
        <v>49</v>
      </c>
      <c r="M268" s="8"/>
      <c r="N268" s="12"/>
      <c r="O268" s="12"/>
      <c r="P268" s="9" t="s">
        <v>49</v>
      </c>
      <c r="Q268" s="9" t="s">
        <v>49</v>
      </c>
      <c r="R268" s="8"/>
      <c r="S268" s="8"/>
      <c r="T268" s="8"/>
      <c r="U268" s="8"/>
      <c r="V268" s="9" t="s">
        <v>49</v>
      </c>
      <c r="W268" s="9" t="s">
        <v>49</v>
      </c>
      <c r="X268" s="8"/>
      <c r="Y268" s="8"/>
      <c r="Z268" s="8"/>
      <c r="AA268" s="12"/>
      <c r="AB268" s="12"/>
      <c r="AC268" s="8"/>
      <c r="AD268" s="12"/>
      <c r="AE268" s="8"/>
      <c r="AF268" s="12"/>
      <c r="AG268" s="12"/>
      <c r="AH268" s="7" t="s">
        <v>79</v>
      </c>
      <c r="AI268" s="6" t="s">
        <v>110</v>
      </c>
      <c r="AJ268" s="6" t="s">
        <v>49</v>
      </c>
      <c r="AK268" s="6" t="s">
        <v>49</v>
      </c>
      <c r="AL268" s="9" t="s">
        <v>111</v>
      </c>
      <c r="AM268" s="9" t="s">
        <v>49</v>
      </c>
      <c r="AN268" s="6" t="s">
        <v>82</v>
      </c>
      <c r="AO268" s="9" t="s">
        <v>49</v>
      </c>
      <c r="AP268" s="11">
        <v>7248.8885899999996</v>
      </c>
      <c r="AQ268" s="11">
        <v>0</v>
      </c>
      <c r="AR268" s="11">
        <v>0</v>
      </c>
      <c r="AS268" s="11">
        <v>41681.266040000002</v>
      </c>
      <c r="AT268" s="11">
        <v>0</v>
      </c>
      <c r="AU268" s="11">
        <v>0</v>
      </c>
      <c r="AV268" s="11">
        <v>0</v>
      </c>
    </row>
    <row r="269" spans="1:50" customFormat="1" ht="14.5" hidden="1">
      <c r="A269" s="6">
        <v>268</v>
      </c>
      <c r="B269" s="7" t="s">
        <v>618</v>
      </c>
      <c r="C269" s="7" t="s">
        <v>49</v>
      </c>
      <c r="D269" s="6">
        <v>15508</v>
      </c>
      <c r="E269" s="6" t="s">
        <v>49</v>
      </c>
      <c r="F269" s="8"/>
      <c r="G269" s="8"/>
      <c r="H269" s="7" t="s">
        <v>49</v>
      </c>
      <c r="I269" s="7"/>
      <c r="J269" s="6" t="s">
        <v>49</v>
      </c>
      <c r="K269" s="9" t="s">
        <v>49</v>
      </c>
      <c r="L269" s="9" t="s">
        <v>49</v>
      </c>
      <c r="M269" s="12"/>
      <c r="N269" s="10">
        <v>43497</v>
      </c>
      <c r="O269" s="10">
        <v>43860</v>
      </c>
      <c r="P269" s="9" t="s">
        <v>49</v>
      </c>
      <c r="Q269" s="9" t="s">
        <v>49</v>
      </c>
      <c r="R269" s="8"/>
      <c r="S269" s="8"/>
      <c r="T269" s="8"/>
      <c r="U269" s="8"/>
      <c r="V269" s="9" t="s">
        <v>49</v>
      </c>
      <c r="W269" s="9" t="s">
        <v>49</v>
      </c>
      <c r="X269" s="8"/>
      <c r="Y269" s="8"/>
      <c r="Z269" s="8"/>
      <c r="AA269" s="8"/>
      <c r="AB269" s="8"/>
      <c r="AC269" s="8"/>
      <c r="AD269" s="8"/>
      <c r="AE269" s="8"/>
      <c r="AF269" s="8"/>
      <c r="AG269" s="8"/>
      <c r="AH269" s="7" t="s">
        <v>57</v>
      </c>
      <c r="AI269" s="6" t="s">
        <v>71</v>
      </c>
      <c r="AJ269" s="6" t="s">
        <v>49</v>
      </c>
      <c r="AK269" s="6" t="s">
        <v>49</v>
      </c>
      <c r="AL269" s="9" t="s">
        <v>256</v>
      </c>
      <c r="AM269" s="9" t="s">
        <v>49</v>
      </c>
      <c r="AN269" s="6" t="s">
        <v>82</v>
      </c>
      <c r="AO269" s="9" t="s">
        <v>49</v>
      </c>
      <c r="AP269" s="11">
        <v>7248.8885899999996</v>
      </c>
      <c r="AQ269" s="11">
        <v>0</v>
      </c>
      <c r="AR269" s="11">
        <v>0</v>
      </c>
      <c r="AS269" s="11">
        <v>41681.266040000002</v>
      </c>
      <c r="AT269" s="11">
        <v>0</v>
      </c>
      <c r="AU269" s="11">
        <v>0</v>
      </c>
      <c r="AV269" s="11">
        <v>0</v>
      </c>
    </row>
    <row r="270" spans="1:50" customFormat="1" ht="14.5" hidden="1">
      <c r="A270" s="6">
        <v>269</v>
      </c>
      <c r="B270" s="7" t="s">
        <v>619</v>
      </c>
      <c r="C270" s="7" t="s">
        <v>49</v>
      </c>
      <c r="D270" s="6">
        <v>15508</v>
      </c>
      <c r="E270" s="6" t="s">
        <v>620</v>
      </c>
      <c r="F270" s="8"/>
      <c r="G270" s="8"/>
      <c r="H270" s="7" t="s">
        <v>49</v>
      </c>
      <c r="I270" s="7"/>
      <c r="J270" s="6" t="s">
        <v>49</v>
      </c>
      <c r="K270" s="9" t="s">
        <v>49</v>
      </c>
      <c r="L270" s="9" t="s">
        <v>49</v>
      </c>
      <c r="M270" s="8"/>
      <c r="N270" s="10">
        <v>43497</v>
      </c>
      <c r="O270" s="10">
        <v>43860</v>
      </c>
      <c r="P270" s="9" t="s">
        <v>49</v>
      </c>
      <c r="Q270" s="9" t="s">
        <v>49</v>
      </c>
      <c r="R270" s="8"/>
      <c r="S270" s="8"/>
      <c r="T270" s="8"/>
      <c r="U270" s="8"/>
      <c r="V270" s="9" t="s">
        <v>49</v>
      </c>
      <c r="W270" s="9" t="s">
        <v>49</v>
      </c>
      <c r="X270" s="8"/>
      <c r="Y270" s="8"/>
      <c r="Z270" s="8"/>
      <c r="AA270" s="8"/>
      <c r="AB270" s="8"/>
      <c r="AC270" s="8"/>
      <c r="AD270" s="8"/>
      <c r="AE270" s="8"/>
      <c r="AF270" s="8"/>
      <c r="AG270" s="8"/>
      <c r="AH270" s="7" t="s">
        <v>57</v>
      </c>
      <c r="AI270" s="6" t="s">
        <v>49</v>
      </c>
      <c r="AJ270" s="6" t="s">
        <v>49</v>
      </c>
      <c r="AK270" s="6" t="s">
        <v>49</v>
      </c>
      <c r="AL270" s="9" t="s">
        <v>49</v>
      </c>
      <c r="AM270" s="9" t="s">
        <v>256</v>
      </c>
      <c r="AN270" s="6" t="s">
        <v>49</v>
      </c>
      <c r="AO270" s="9" t="s">
        <v>256</v>
      </c>
      <c r="AP270" s="11">
        <v>0</v>
      </c>
      <c r="AQ270" s="11">
        <v>0</v>
      </c>
      <c r="AR270" s="11">
        <v>0</v>
      </c>
      <c r="AS270" s="11">
        <v>0</v>
      </c>
      <c r="AT270" s="11">
        <v>0</v>
      </c>
      <c r="AU270" s="11">
        <v>0</v>
      </c>
      <c r="AV270" s="11" t="s">
        <v>57</v>
      </c>
    </row>
    <row r="271" spans="1:50" customFormat="1" ht="14.5" hidden="1">
      <c r="A271" s="6">
        <v>270</v>
      </c>
      <c r="B271" s="7" t="s">
        <v>621</v>
      </c>
      <c r="C271" s="7" t="s">
        <v>81</v>
      </c>
      <c r="D271" s="6">
        <v>15647</v>
      </c>
      <c r="E271" s="6" t="s">
        <v>49</v>
      </c>
      <c r="F271" s="12"/>
      <c r="G271" s="8"/>
      <c r="H271" s="7" t="s">
        <v>49</v>
      </c>
      <c r="I271" s="7"/>
      <c r="J271" s="6" t="s">
        <v>49</v>
      </c>
      <c r="K271" s="9" t="s">
        <v>49</v>
      </c>
      <c r="L271" s="9" t="s">
        <v>49</v>
      </c>
      <c r="M271" s="12"/>
      <c r="N271" s="8"/>
      <c r="O271" s="10">
        <v>44196</v>
      </c>
      <c r="P271" s="9" t="s">
        <v>49</v>
      </c>
      <c r="Q271" s="9" t="s">
        <v>49</v>
      </c>
      <c r="R271" s="12"/>
      <c r="S271" s="12"/>
      <c r="T271" s="12"/>
      <c r="U271" s="12"/>
      <c r="V271" s="9" t="s">
        <v>49</v>
      </c>
      <c r="W271" s="9" t="s">
        <v>49</v>
      </c>
      <c r="X271" s="8"/>
      <c r="Y271" s="8"/>
      <c r="Z271" s="8"/>
      <c r="AA271" s="12"/>
      <c r="AB271" s="12"/>
      <c r="AC271" s="8"/>
      <c r="AD271" s="12"/>
      <c r="AE271" s="8"/>
      <c r="AF271" s="12"/>
      <c r="AG271" s="12"/>
      <c r="AH271" s="7" t="s">
        <v>57</v>
      </c>
      <c r="AI271" s="6" t="s">
        <v>71</v>
      </c>
      <c r="AJ271" s="6" t="s">
        <v>49</v>
      </c>
      <c r="AK271" s="6" t="s">
        <v>49</v>
      </c>
      <c r="AL271" s="9" t="s">
        <v>52</v>
      </c>
      <c r="AM271" s="9" t="s">
        <v>49</v>
      </c>
      <c r="AN271" s="6" t="s">
        <v>85</v>
      </c>
      <c r="AO271" s="9" t="s">
        <v>49</v>
      </c>
      <c r="AP271" s="11">
        <v>7248.8885899999996</v>
      </c>
      <c r="AQ271" s="11">
        <v>0</v>
      </c>
      <c r="AR271" s="11">
        <v>0</v>
      </c>
      <c r="AS271" s="11">
        <v>41681.266040000002</v>
      </c>
      <c r="AT271" s="11">
        <v>0</v>
      </c>
      <c r="AU271" s="11">
        <v>0</v>
      </c>
      <c r="AV271" s="11">
        <v>0</v>
      </c>
    </row>
    <row r="272" spans="1:50" customFormat="1" ht="14.5" hidden="1">
      <c r="A272" s="6">
        <v>271</v>
      </c>
      <c r="B272" s="7" t="s">
        <v>622</v>
      </c>
      <c r="C272" s="7" t="s">
        <v>81</v>
      </c>
      <c r="D272" s="6">
        <v>15647</v>
      </c>
      <c r="E272" s="6" t="s">
        <v>623</v>
      </c>
      <c r="F272" s="8"/>
      <c r="G272" s="8"/>
      <c r="H272" s="7" t="s">
        <v>49</v>
      </c>
      <c r="I272" s="7"/>
      <c r="J272" s="6" t="s">
        <v>75</v>
      </c>
      <c r="K272" s="9" t="s">
        <v>76</v>
      </c>
      <c r="L272" s="9" t="s">
        <v>49</v>
      </c>
      <c r="M272" s="8"/>
      <c r="N272" s="8"/>
      <c r="O272" s="10">
        <v>44196</v>
      </c>
      <c r="P272" s="9" t="s">
        <v>49</v>
      </c>
      <c r="Q272" s="9" t="s">
        <v>49</v>
      </c>
      <c r="R272" s="8"/>
      <c r="S272" s="8"/>
      <c r="T272" s="8"/>
      <c r="U272" s="8"/>
      <c r="V272" s="9" t="s">
        <v>49</v>
      </c>
      <c r="W272" s="9" t="s">
        <v>49</v>
      </c>
      <c r="X272" s="8"/>
      <c r="Y272" s="8"/>
      <c r="Z272" s="8"/>
      <c r="AA272" s="6">
        <v>1</v>
      </c>
      <c r="AB272" s="6">
        <v>1</v>
      </c>
      <c r="AC272" s="8"/>
      <c r="AD272" s="6">
        <v>1</v>
      </c>
      <c r="AE272" s="8"/>
      <c r="AF272" s="6">
        <v>0.5</v>
      </c>
      <c r="AG272" s="6">
        <v>0.5</v>
      </c>
      <c r="AH272" s="7" t="s">
        <v>57</v>
      </c>
      <c r="AI272" s="6" t="s">
        <v>49</v>
      </c>
      <c r="AJ272" s="6" t="s">
        <v>49</v>
      </c>
      <c r="AK272" s="6" t="s">
        <v>49</v>
      </c>
      <c r="AL272" s="9" t="s">
        <v>49</v>
      </c>
      <c r="AM272" s="9" t="s">
        <v>52</v>
      </c>
      <c r="AN272" s="6" t="s">
        <v>49</v>
      </c>
      <c r="AO272" s="9" t="s">
        <v>201</v>
      </c>
      <c r="AP272" s="11">
        <v>0</v>
      </c>
      <c r="AQ272" s="11">
        <v>0</v>
      </c>
      <c r="AR272" s="11">
        <v>0</v>
      </c>
      <c r="AS272" s="11">
        <v>0</v>
      </c>
      <c r="AT272" s="11">
        <v>365.8</v>
      </c>
      <c r="AU272" s="11">
        <v>0</v>
      </c>
      <c r="AV272" s="11" t="s">
        <v>57</v>
      </c>
    </row>
    <row r="273" spans="1:48" customFormat="1" ht="14.5" hidden="1">
      <c r="A273" s="6">
        <v>272</v>
      </c>
      <c r="B273" s="7" t="s">
        <v>624</v>
      </c>
      <c r="C273" s="7" t="s">
        <v>49</v>
      </c>
      <c r="D273" s="6">
        <v>15063</v>
      </c>
      <c r="E273" s="6" t="s">
        <v>625</v>
      </c>
      <c r="F273" s="8"/>
      <c r="G273" s="8"/>
      <c r="H273" s="7" t="s">
        <v>49</v>
      </c>
      <c r="I273" s="7"/>
      <c r="J273" s="6" t="s">
        <v>49</v>
      </c>
      <c r="K273" s="9" t="s">
        <v>49</v>
      </c>
      <c r="L273" s="9" t="s">
        <v>49</v>
      </c>
      <c r="M273" s="8"/>
      <c r="N273" s="10">
        <v>43041</v>
      </c>
      <c r="O273" s="10">
        <v>44012</v>
      </c>
      <c r="P273" s="9" t="s">
        <v>49</v>
      </c>
      <c r="Q273" s="9" t="s">
        <v>49</v>
      </c>
      <c r="R273" s="8"/>
      <c r="S273" s="8"/>
      <c r="T273" s="8"/>
      <c r="U273" s="8"/>
      <c r="V273" s="9" t="s">
        <v>49</v>
      </c>
      <c r="W273" s="9" t="s">
        <v>49</v>
      </c>
      <c r="X273" s="8"/>
      <c r="Y273" s="8"/>
      <c r="Z273" s="8"/>
      <c r="AA273" s="8"/>
      <c r="AB273" s="8"/>
      <c r="AC273" s="8"/>
      <c r="AD273" s="8"/>
      <c r="AE273" s="8"/>
      <c r="AF273" s="8"/>
      <c r="AG273" s="8"/>
      <c r="AH273" s="7" t="s">
        <v>51</v>
      </c>
      <c r="AI273" s="6" t="s">
        <v>49</v>
      </c>
      <c r="AJ273" s="6" t="s">
        <v>49</v>
      </c>
      <c r="AK273" s="6" t="s">
        <v>49</v>
      </c>
      <c r="AL273" s="9" t="s">
        <v>49</v>
      </c>
      <c r="AM273" s="9" t="s">
        <v>626</v>
      </c>
      <c r="AN273" s="6" t="s">
        <v>49</v>
      </c>
      <c r="AO273" s="9" t="s">
        <v>159</v>
      </c>
      <c r="AP273" s="11">
        <v>0</v>
      </c>
      <c r="AQ273" s="11">
        <v>0</v>
      </c>
      <c r="AR273" s="11">
        <v>0</v>
      </c>
      <c r="AS273" s="11">
        <v>0</v>
      </c>
      <c r="AT273" s="11">
        <v>0</v>
      </c>
      <c r="AU273" s="11">
        <v>0</v>
      </c>
      <c r="AV273" s="11" t="s">
        <v>51</v>
      </c>
    </row>
    <row r="274" spans="1:48" customFormat="1" ht="14.5" hidden="1">
      <c r="A274" s="6">
        <v>273</v>
      </c>
      <c r="B274" s="7" t="s">
        <v>627</v>
      </c>
      <c r="C274" s="7" t="s">
        <v>49</v>
      </c>
      <c r="D274" s="6">
        <v>15644</v>
      </c>
      <c r="E274" s="6" t="s">
        <v>49</v>
      </c>
      <c r="F274" s="8"/>
      <c r="G274" s="8"/>
      <c r="H274" s="7" t="s">
        <v>49</v>
      </c>
      <c r="I274" s="7"/>
      <c r="J274" s="6" t="s">
        <v>49</v>
      </c>
      <c r="K274" s="9" t="s">
        <v>49</v>
      </c>
      <c r="L274" s="9" t="s">
        <v>49</v>
      </c>
      <c r="M274" s="8"/>
      <c r="N274" s="8"/>
      <c r="O274" s="12"/>
      <c r="P274" s="9" t="s">
        <v>49</v>
      </c>
      <c r="Q274" s="9" t="s">
        <v>49</v>
      </c>
      <c r="R274" s="8"/>
      <c r="S274" s="8"/>
      <c r="T274" s="8"/>
      <c r="U274" s="8"/>
      <c r="V274" s="9" t="s">
        <v>49</v>
      </c>
      <c r="W274" s="9" t="s">
        <v>49</v>
      </c>
      <c r="X274" s="8"/>
      <c r="Y274" s="8"/>
      <c r="Z274" s="8"/>
      <c r="AA274" s="8"/>
      <c r="AB274" s="8"/>
      <c r="AC274" s="8"/>
      <c r="AD274" s="8"/>
      <c r="AE274" s="8"/>
      <c r="AF274" s="8"/>
      <c r="AG274" s="8"/>
      <c r="AH274" s="7" t="s">
        <v>79</v>
      </c>
      <c r="AI274" s="6" t="s">
        <v>110</v>
      </c>
      <c r="AJ274" s="6" t="s">
        <v>49</v>
      </c>
      <c r="AK274" s="6" t="s">
        <v>49</v>
      </c>
      <c r="AL274" s="9" t="s">
        <v>111</v>
      </c>
      <c r="AM274" s="9" t="s">
        <v>49</v>
      </c>
      <c r="AN274" s="6" t="s">
        <v>82</v>
      </c>
      <c r="AO274" s="9" t="s">
        <v>49</v>
      </c>
      <c r="AP274" s="11">
        <v>7248.8885899999996</v>
      </c>
      <c r="AQ274" s="11">
        <v>0</v>
      </c>
      <c r="AR274" s="11">
        <v>0</v>
      </c>
      <c r="AS274" s="11">
        <v>41681.266040000002</v>
      </c>
      <c r="AT274" s="11">
        <v>0</v>
      </c>
      <c r="AU274" s="11">
        <v>0</v>
      </c>
      <c r="AV274" s="11">
        <v>0</v>
      </c>
    </row>
    <row r="275" spans="1:48" customFormat="1" ht="14.5" hidden="1">
      <c r="A275" s="6">
        <v>274</v>
      </c>
      <c r="B275" s="7" t="s">
        <v>628</v>
      </c>
      <c r="C275" s="7" t="s">
        <v>49</v>
      </c>
      <c r="D275" s="6">
        <v>15524</v>
      </c>
      <c r="E275" s="6" t="s">
        <v>629</v>
      </c>
      <c r="F275" s="8"/>
      <c r="G275" s="8"/>
      <c r="H275" s="7" t="s">
        <v>49</v>
      </c>
      <c r="I275" s="7"/>
      <c r="J275" s="6" t="s">
        <v>49</v>
      </c>
      <c r="K275" s="9" t="s">
        <v>49</v>
      </c>
      <c r="L275" s="9" t="s">
        <v>49</v>
      </c>
      <c r="M275" s="8"/>
      <c r="N275" s="10">
        <v>43514</v>
      </c>
      <c r="O275" s="10">
        <v>43831</v>
      </c>
      <c r="P275" s="9" t="s">
        <v>49</v>
      </c>
      <c r="Q275" s="9" t="s">
        <v>49</v>
      </c>
      <c r="R275" s="8"/>
      <c r="S275" s="8"/>
      <c r="T275" s="8"/>
      <c r="U275" s="8"/>
      <c r="V275" s="9" t="s">
        <v>49</v>
      </c>
      <c r="W275" s="9" t="s">
        <v>49</v>
      </c>
      <c r="X275" s="8"/>
      <c r="Y275" s="8"/>
      <c r="Z275" s="8"/>
      <c r="AA275" s="8"/>
      <c r="AB275" s="8"/>
      <c r="AC275" s="8"/>
      <c r="AD275" s="8"/>
      <c r="AE275" s="8"/>
      <c r="AF275" s="8"/>
      <c r="AG275" s="8"/>
      <c r="AH275" s="7" t="s">
        <v>57</v>
      </c>
      <c r="AI275" s="6" t="s">
        <v>49</v>
      </c>
      <c r="AJ275" s="6" t="s">
        <v>49</v>
      </c>
      <c r="AK275" s="6" t="s">
        <v>49</v>
      </c>
      <c r="AL275" s="9" t="s">
        <v>49</v>
      </c>
      <c r="AM275" s="9" t="s">
        <v>386</v>
      </c>
      <c r="AN275" s="6" t="s">
        <v>49</v>
      </c>
      <c r="AO275" s="9" t="s">
        <v>386</v>
      </c>
      <c r="AP275" s="11">
        <v>0</v>
      </c>
      <c r="AQ275" s="11">
        <v>0</v>
      </c>
      <c r="AR275" s="11">
        <v>0</v>
      </c>
      <c r="AS275" s="11">
        <v>0</v>
      </c>
      <c r="AT275" s="11">
        <v>0</v>
      </c>
      <c r="AU275" s="11">
        <v>0</v>
      </c>
      <c r="AV275" s="11" t="s">
        <v>57</v>
      </c>
    </row>
    <row r="276" spans="1:48" customFormat="1" ht="14.5" hidden="1">
      <c r="A276" s="6">
        <v>275</v>
      </c>
      <c r="B276" s="7" t="s">
        <v>630</v>
      </c>
      <c r="C276" s="7" t="s">
        <v>49</v>
      </c>
      <c r="D276" s="6">
        <v>16031</v>
      </c>
      <c r="E276" s="6" t="s">
        <v>631</v>
      </c>
      <c r="F276" s="8"/>
      <c r="G276" s="8"/>
      <c r="H276" s="7" t="s">
        <v>49</v>
      </c>
      <c r="I276" s="7"/>
      <c r="J276" s="6" t="s">
        <v>49</v>
      </c>
      <c r="K276" s="9" t="s">
        <v>49</v>
      </c>
      <c r="L276" s="9" t="s">
        <v>49</v>
      </c>
      <c r="M276" s="8"/>
      <c r="N276" s="12"/>
      <c r="O276" s="10">
        <v>43889</v>
      </c>
      <c r="P276" s="9" t="s">
        <v>49</v>
      </c>
      <c r="Q276" s="9" t="s">
        <v>49</v>
      </c>
      <c r="R276" s="8"/>
      <c r="S276" s="8"/>
      <c r="T276" s="8"/>
      <c r="U276" s="8"/>
      <c r="V276" s="9" t="s">
        <v>49</v>
      </c>
      <c r="W276" s="9" t="s">
        <v>49</v>
      </c>
      <c r="X276" s="8"/>
      <c r="Y276" s="8"/>
      <c r="Z276" s="8"/>
      <c r="AA276" s="8"/>
      <c r="AB276" s="8"/>
      <c r="AC276" s="8"/>
      <c r="AD276" s="8"/>
      <c r="AE276" s="8"/>
      <c r="AF276" s="8"/>
      <c r="AG276" s="8"/>
      <c r="AH276" s="7" t="s">
        <v>51</v>
      </c>
      <c r="AI276" s="6" t="s">
        <v>49</v>
      </c>
      <c r="AJ276" s="6" t="s">
        <v>49</v>
      </c>
      <c r="AK276" s="6" t="s">
        <v>49</v>
      </c>
      <c r="AL276" s="9" t="s">
        <v>49</v>
      </c>
      <c r="AM276" s="9" t="s">
        <v>92</v>
      </c>
      <c r="AN276" s="6" t="s">
        <v>49</v>
      </c>
      <c r="AO276" s="9" t="s">
        <v>92</v>
      </c>
      <c r="AP276" s="11">
        <v>0</v>
      </c>
      <c r="AQ276" s="11">
        <v>0</v>
      </c>
      <c r="AR276" s="11">
        <v>0</v>
      </c>
      <c r="AS276" s="11">
        <v>75.15204</v>
      </c>
      <c r="AT276" s="11">
        <v>0</v>
      </c>
      <c r="AU276" s="11">
        <v>0</v>
      </c>
      <c r="AV276" s="11" t="s">
        <v>51</v>
      </c>
    </row>
    <row r="277" spans="1:48" customFormat="1" ht="14.5" hidden="1">
      <c r="A277" s="6">
        <v>276</v>
      </c>
      <c r="B277" s="7" t="s">
        <v>632</v>
      </c>
      <c r="C277" s="7" t="s">
        <v>86</v>
      </c>
      <c r="D277" s="6">
        <v>16031</v>
      </c>
      <c r="E277" s="6" t="s">
        <v>49</v>
      </c>
      <c r="F277" s="8"/>
      <c r="G277" s="8"/>
      <c r="H277" s="7" t="s">
        <v>49</v>
      </c>
      <c r="I277" s="7"/>
      <c r="J277" s="6" t="s">
        <v>49</v>
      </c>
      <c r="K277" s="9" t="s">
        <v>49</v>
      </c>
      <c r="L277" s="9" t="s">
        <v>49</v>
      </c>
      <c r="M277" s="6"/>
      <c r="N277" s="12"/>
      <c r="O277" s="10">
        <v>43889</v>
      </c>
      <c r="P277" s="9" t="s">
        <v>49</v>
      </c>
      <c r="Q277" s="9" t="s">
        <v>49</v>
      </c>
      <c r="R277" s="8"/>
      <c r="S277" s="8"/>
      <c r="T277" s="8"/>
      <c r="U277" s="8"/>
      <c r="V277" s="9" t="s">
        <v>49</v>
      </c>
      <c r="W277" s="9" t="s">
        <v>49</v>
      </c>
      <c r="X277" s="8"/>
      <c r="Y277" s="8"/>
      <c r="Z277" s="8"/>
      <c r="AA277" s="8"/>
      <c r="AB277" s="8"/>
      <c r="AC277" s="8"/>
      <c r="AD277" s="8"/>
      <c r="AE277" s="8"/>
      <c r="AF277" s="8"/>
      <c r="AG277" s="8"/>
      <c r="AH277" s="7" t="s">
        <v>57</v>
      </c>
      <c r="AI277" s="6" t="s">
        <v>71</v>
      </c>
      <c r="AJ277" s="6" t="s">
        <v>49</v>
      </c>
      <c r="AK277" s="6" t="s">
        <v>49</v>
      </c>
      <c r="AL277" s="9" t="s">
        <v>52</v>
      </c>
      <c r="AM277" s="9" t="s">
        <v>49</v>
      </c>
      <c r="AN277" s="6" t="s">
        <v>85</v>
      </c>
      <c r="AO277" s="9" t="s">
        <v>49</v>
      </c>
      <c r="AP277" s="11">
        <v>7248.8885899999996</v>
      </c>
      <c r="AQ277" s="11">
        <v>0</v>
      </c>
      <c r="AR277" s="11">
        <v>0</v>
      </c>
      <c r="AS277" s="11">
        <v>41681.266040000002</v>
      </c>
      <c r="AT277" s="11">
        <v>0</v>
      </c>
      <c r="AU277" s="11">
        <v>0</v>
      </c>
      <c r="AV277" s="11">
        <v>0</v>
      </c>
    </row>
    <row r="278" spans="1:48" customFormat="1" ht="14.5" hidden="1">
      <c r="A278" s="6">
        <v>277</v>
      </c>
      <c r="B278" s="7" t="s">
        <v>633</v>
      </c>
      <c r="C278" s="7" t="s">
        <v>49</v>
      </c>
      <c r="D278" s="6">
        <v>16030</v>
      </c>
      <c r="E278" s="6" t="s">
        <v>49</v>
      </c>
      <c r="F278" s="8"/>
      <c r="G278" s="8"/>
      <c r="H278" s="7" t="s">
        <v>49</v>
      </c>
      <c r="I278" s="7"/>
      <c r="J278" s="6" t="s">
        <v>49</v>
      </c>
      <c r="K278" s="9" t="s">
        <v>49</v>
      </c>
      <c r="L278" s="9" t="s">
        <v>49</v>
      </c>
      <c r="M278" s="8"/>
      <c r="N278" s="12"/>
      <c r="O278" s="10">
        <v>44196</v>
      </c>
      <c r="P278" s="9" t="s">
        <v>49</v>
      </c>
      <c r="Q278" s="9" t="s">
        <v>49</v>
      </c>
      <c r="R278" s="8"/>
      <c r="S278" s="8"/>
      <c r="T278" s="8"/>
      <c r="U278" s="8"/>
      <c r="V278" s="9" t="s">
        <v>49</v>
      </c>
      <c r="W278" s="9" t="s">
        <v>49</v>
      </c>
      <c r="X278" s="8"/>
      <c r="Y278" s="8"/>
      <c r="Z278" s="8"/>
      <c r="AA278" s="8"/>
      <c r="AB278" s="8"/>
      <c r="AC278" s="8"/>
      <c r="AD278" s="8"/>
      <c r="AE278" s="8"/>
      <c r="AF278" s="8"/>
      <c r="AG278" s="8"/>
      <c r="AH278" s="7" t="s">
        <v>57</v>
      </c>
      <c r="AI278" s="6" t="s">
        <v>71</v>
      </c>
      <c r="AJ278" s="6" t="s">
        <v>49</v>
      </c>
      <c r="AK278" s="6" t="s">
        <v>49</v>
      </c>
      <c r="AL278" s="9" t="s">
        <v>52</v>
      </c>
      <c r="AM278" s="9" t="s">
        <v>49</v>
      </c>
      <c r="AN278" s="6" t="s">
        <v>85</v>
      </c>
      <c r="AO278" s="9" t="s">
        <v>49</v>
      </c>
      <c r="AP278" s="11">
        <v>7248.8885899999996</v>
      </c>
      <c r="AQ278" s="11">
        <v>0</v>
      </c>
      <c r="AR278" s="11">
        <v>0</v>
      </c>
      <c r="AS278" s="11">
        <v>41681.266040000002</v>
      </c>
      <c r="AT278" s="11">
        <v>0</v>
      </c>
      <c r="AU278" s="11">
        <v>0</v>
      </c>
      <c r="AV278" s="11">
        <v>0</v>
      </c>
    </row>
    <row r="279" spans="1:48" customFormat="1" ht="14.5" hidden="1">
      <c r="A279" s="6">
        <v>278</v>
      </c>
      <c r="B279" s="7" t="s">
        <v>633</v>
      </c>
      <c r="C279" s="7" t="s">
        <v>49</v>
      </c>
      <c r="D279" s="6">
        <v>16030</v>
      </c>
      <c r="E279" s="6" t="s">
        <v>634</v>
      </c>
      <c r="F279" s="8"/>
      <c r="G279" s="8"/>
      <c r="H279" s="7" t="s">
        <v>88</v>
      </c>
      <c r="I279" s="7"/>
      <c r="J279" s="6" t="s">
        <v>75</v>
      </c>
      <c r="K279" s="9" t="s">
        <v>89</v>
      </c>
      <c r="L279" s="9" t="s">
        <v>49</v>
      </c>
      <c r="M279" s="8"/>
      <c r="N279" s="12"/>
      <c r="O279" s="10">
        <v>44196</v>
      </c>
      <c r="P279" s="9" t="s">
        <v>49</v>
      </c>
      <c r="Q279" s="9" t="s">
        <v>49</v>
      </c>
      <c r="R279" s="8"/>
      <c r="S279" s="8"/>
      <c r="T279" s="8"/>
      <c r="U279" s="8"/>
      <c r="V279" s="9" t="s">
        <v>49</v>
      </c>
      <c r="W279" s="9" t="s">
        <v>49</v>
      </c>
      <c r="X279" s="8"/>
      <c r="Y279" s="8"/>
      <c r="Z279" s="8"/>
      <c r="AA279" s="6">
        <v>0.24399999999999999</v>
      </c>
      <c r="AB279" s="6">
        <v>0.24399999999999999</v>
      </c>
      <c r="AC279" s="8"/>
      <c r="AD279" s="6">
        <v>0.24399999999999999</v>
      </c>
      <c r="AE279" s="8"/>
      <c r="AF279" s="6">
        <v>0.122</v>
      </c>
      <c r="AG279" s="6">
        <v>0.122</v>
      </c>
      <c r="AH279" s="7" t="s">
        <v>57</v>
      </c>
      <c r="AI279" s="6" t="s">
        <v>49</v>
      </c>
      <c r="AJ279" s="6" t="s">
        <v>49</v>
      </c>
      <c r="AK279" s="6" t="s">
        <v>49</v>
      </c>
      <c r="AL279" s="9" t="s">
        <v>49</v>
      </c>
      <c r="AM279" s="9" t="s">
        <v>92</v>
      </c>
      <c r="AN279" s="6" t="s">
        <v>49</v>
      </c>
      <c r="AO279" s="9" t="s">
        <v>92</v>
      </c>
      <c r="AP279" s="11">
        <v>0</v>
      </c>
      <c r="AQ279" s="11">
        <v>0</v>
      </c>
      <c r="AR279" s="11">
        <v>0</v>
      </c>
      <c r="AS279" s="11">
        <v>0</v>
      </c>
      <c r="AT279" s="11">
        <v>0</v>
      </c>
      <c r="AU279" s="11">
        <v>0</v>
      </c>
      <c r="AV279" s="11" t="s">
        <v>57</v>
      </c>
    </row>
    <row r="280" spans="1:48" customFormat="1" ht="14.5" hidden="1">
      <c r="A280" s="6">
        <v>279</v>
      </c>
      <c r="B280" s="7" t="s">
        <v>635</v>
      </c>
      <c r="C280" s="7" t="s">
        <v>86</v>
      </c>
      <c r="D280" s="6">
        <v>16022</v>
      </c>
      <c r="E280" s="6" t="s">
        <v>49</v>
      </c>
      <c r="F280" s="8"/>
      <c r="G280" s="8"/>
      <c r="H280" s="7" t="s">
        <v>70</v>
      </c>
      <c r="I280" s="7"/>
      <c r="J280" s="6" t="s">
        <v>49</v>
      </c>
      <c r="K280" s="9" t="s">
        <v>49</v>
      </c>
      <c r="L280" s="9" t="s">
        <v>49</v>
      </c>
      <c r="M280" s="8"/>
      <c r="N280" s="12"/>
      <c r="O280" s="10">
        <v>44012</v>
      </c>
      <c r="P280" s="9" t="s">
        <v>49</v>
      </c>
      <c r="Q280" s="9" t="s">
        <v>49</v>
      </c>
      <c r="R280" s="8"/>
      <c r="S280" s="8"/>
      <c r="T280" s="8"/>
      <c r="U280" s="8"/>
      <c r="V280" s="9" t="s">
        <v>49</v>
      </c>
      <c r="W280" s="9" t="s">
        <v>108</v>
      </c>
      <c r="X280" s="8"/>
      <c r="Y280" s="8"/>
      <c r="Z280" s="8"/>
      <c r="AA280" s="8"/>
      <c r="AB280" s="8"/>
      <c r="AC280" s="8"/>
      <c r="AD280" s="8"/>
      <c r="AE280" s="8"/>
      <c r="AF280" s="8"/>
      <c r="AG280" s="8"/>
      <c r="AH280" s="7" t="s">
        <v>57</v>
      </c>
      <c r="AI280" s="6" t="s">
        <v>71</v>
      </c>
      <c r="AJ280" s="6" t="s">
        <v>49</v>
      </c>
      <c r="AK280" s="6" t="s">
        <v>49</v>
      </c>
      <c r="AL280" s="9" t="s">
        <v>52</v>
      </c>
      <c r="AM280" s="9" t="s">
        <v>49</v>
      </c>
      <c r="AN280" s="6" t="s">
        <v>73</v>
      </c>
      <c r="AO280" s="9" t="s">
        <v>49</v>
      </c>
      <c r="AP280" s="11">
        <v>7248.8885899999996</v>
      </c>
      <c r="AQ280" s="11">
        <v>0</v>
      </c>
      <c r="AR280" s="11">
        <v>0</v>
      </c>
      <c r="AS280" s="11">
        <v>41681.266040000002</v>
      </c>
      <c r="AT280" s="11">
        <v>0</v>
      </c>
      <c r="AU280" s="11"/>
      <c r="AV280" s="11">
        <v>0</v>
      </c>
    </row>
    <row r="281" spans="1:48" customFormat="1" ht="14.5" hidden="1">
      <c r="A281" s="6">
        <v>280</v>
      </c>
      <c r="B281" s="7" t="s">
        <v>636</v>
      </c>
      <c r="C281" s="7" t="s">
        <v>86</v>
      </c>
      <c r="D281" s="6">
        <v>16022</v>
      </c>
      <c r="E281" s="6" t="s">
        <v>637</v>
      </c>
      <c r="F281" s="6">
        <v>79071</v>
      </c>
      <c r="G281" s="8"/>
      <c r="H281" s="7" t="s">
        <v>70</v>
      </c>
      <c r="I281" s="7"/>
      <c r="J281" s="6" t="s">
        <v>75</v>
      </c>
      <c r="K281" s="9" t="s">
        <v>76</v>
      </c>
      <c r="L281" s="9" t="s">
        <v>73</v>
      </c>
      <c r="M281" s="14">
        <v>581</v>
      </c>
      <c r="N281" s="8"/>
      <c r="O281" s="10">
        <v>44012</v>
      </c>
      <c r="P281" s="9" t="s">
        <v>635</v>
      </c>
      <c r="Q281" s="9" t="s">
        <v>638</v>
      </c>
      <c r="R281" s="8"/>
      <c r="S281" s="8"/>
      <c r="T281" s="8"/>
      <c r="U281" s="8"/>
      <c r="V281" s="9" t="s">
        <v>49</v>
      </c>
      <c r="W281" s="9" t="s">
        <v>108</v>
      </c>
      <c r="X281" s="8"/>
      <c r="Y281" s="8"/>
      <c r="Z281" s="6">
        <v>0.58099999999999996</v>
      </c>
      <c r="AA281" s="8"/>
      <c r="AB281" s="6">
        <v>0.58099999999999996</v>
      </c>
      <c r="AC281" s="8"/>
      <c r="AD281" s="6">
        <v>0.58099999999999996</v>
      </c>
      <c r="AE281" s="6">
        <v>0.46500000000000002</v>
      </c>
      <c r="AF281" s="8"/>
      <c r="AG281" s="8"/>
      <c r="AH281" s="7" t="s">
        <v>51</v>
      </c>
      <c r="AI281" s="6" t="s">
        <v>49</v>
      </c>
      <c r="AJ281" s="6" t="s">
        <v>49</v>
      </c>
      <c r="AK281" s="6" t="s">
        <v>49</v>
      </c>
      <c r="AL281" s="9" t="s">
        <v>49</v>
      </c>
      <c r="AM281" s="9" t="s">
        <v>92</v>
      </c>
      <c r="AN281" s="6" t="s">
        <v>73</v>
      </c>
      <c r="AO281" s="9" t="s">
        <v>92</v>
      </c>
      <c r="AP281" s="11">
        <v>77.54010000000001</v>
      </c>
      <c r="AQ281" s="11">
        <v>114315.1</v>
      </c>
      <c r="AR281" s="11">
        <v>114315.10250000002</v>
      </c>
      <c r="AS281" s="11">
        <v>300.39010999999999</v>
      </c>
      <c r="AT281" s="11">
        <v>432.52509999999995</v>
      </c>
      <c r="AU281" s="11">
        <v>0</v>
      </c>
      <c r="AV281" s="11" t="s">
        <v>51</v>
      </c>
    </row>
    <row r="282" spans="1:48" customFormat="1" ht="14.5" hidden="1">
      <c r="A282" s="6">
        <v>281</v>
      </c>
      <c r="B282" s="7" t="s">
        <v>639</v>
      </c>
      <c r="C282" s="7" t="s">
        <v>49</v>
      </c>
      <c r="D282" s="6">
        <v>15497</v>
      </c>
      <c r="E282" s="6" t="s">
        <v>49</v>
      </c>
      <c r="F282" s="8"/>
      <c r="G282" s="8"/>
      <c r="H282" s="7" t="s">
        <v>49</v>
      </c>
      <c r="I282" s="7"/>
      <c r="J282" s="6" t="s">
        <v>49</v>
      </c>
      <c r="K282" s="9" t="s">
        <v>49</v>
      </c>
      <c r="L282" s="9" t="s">
        <v>49</v>
      </c>
      <c r="M282" s="8"/>
      <c r="N282" s="10">
        <v>43768</v>
      </c>
      <c r="O282" s="10">
        <v>43808</v>
      </c>
      <c r="P282" s="9" t="s">
        <v>49</v>
      </c>
      <c r="Q282" s="9" t="s">
        <v>49</v>
      </c>
      <c r="R282" s="8"/>
      <c r="S282" s="8"/>
      <c r="T282" s="8"/>
      <c r="U282" s="8"/>
      <c r="V282" s="9" t="s">
        <v>49</v>
      </c>
      <c r="W282" s="9" t="s">
        <v>49</v>
      </c>
      <c r="X282" s="8"/>
      <c r="Y282" s="8"/>
      <c r="Z282" s="8"/>
      <c r="AA282" s="8"/>
      <c r="AB282" s="8"/>
      <c r="AC282" s="8"/>
      <c r="AD282" s="8"/>
      <c r="AE282" s="8"/>
      <c r="AF282" s="8"/>
      <c r="AG282" s="8"/>
      <c r="AH282" s="7" t="s">
        <v>57</v>
      </c>
      <c r="AI282" s="6" t="s">
        <v>71</v>
      </c>
      <c r="AJ282" s="6" t="s">
        <v>49</v>
      </c>
      <c r="AK282" s="6" t="s">
        <v>49</v>
      </c>
      <c r="AL282" s="9" t="s">
        <v>52</v>
      </c>
      <c r="AM282" s="9" t="s">
        <v>49</v>
      </c>
      <c r="AN282" s="6" t="s">
        <v>85</v>
      </c>
      <c r="AO282" s="9" t="s">
        <v>49</v>
      </c>
      <c r="AP282" s="11">
        <v>7248.8885899999996</v>
      </c>
      <c r="AQ282" s="11">
        <v>0</v>
      </c>
      <c r="AR282" s="11">
        <v>0</v>
      </c>
      <c r="AS282" s="11">
        <v>41681.266040000002</v>
      </c>
      <c r="AT282" s="11">
        <v>0</v>
      </c>
      <c r="AU282" s="11">
        <v>0</v>
      </c>
      <c r="AV282" s="11">
        <v>0</v>
      </c>
    </row>
    <row r="283" spans="1:48" customFormat="1" ht="14.5" hidden="1">
      <c r="A283" s="6">
        <v>282</v>
      </c>
      <c r="B283" s="7" t="s">
        <v>640</v>
      </c>
      <c r="C283" s="7" t="s">
        <v>49</v>
      </c>
      <c r="D283" s="6">
        <v>15497</v>
      </c>
      <c r="E283" s="6" t="s">
        <v>641</v>
      </c>
      <c r="F283" s="8"/>
      <c r="G283" s="8"/>
      <c r="H283" s="7" t="s">
        <v>49</v>
      </c>
      <c r="I283" s="7"/>
      <c r="J283" s="6" t="s">
        <v>49</v>
      </c>
      <c r="K283" s="9" t="s">
        <v>49</v>
      </c>
      <c r="L283" s="9" t="s">
        <v>49</v>
      </c>
      <c r="M283" s="8"/>
      <c r="N283" s="10">
        <v>43768</v>
      </c>
      <c r="O283" s="10">
        <v>43808</v>
      </c>
      <c r="P283" s="9" t="s">
        <v>49</v>
      </c>
      <c r="Q283" s="9" t="s">
        <v>49</v>
      </c>
      <c r="R283" s="8"/>
      <c r="S283" s="8"/>
      <c r="T283" s="8"/>
      <c r="U283" s="8"/>
      <c r="V283" s="9" t="s">
        <v>49</v>
      </c>
      <c r="W283" s="9" t="s">
        <v>49</v>
      </c>
      <c r="X283" s="8"/>
      <c r="Y283" s="8"/>
      <c r="Z283" s="8"/>
      <c r="AA283" s="8"/>
      <c r="AB283" s="8"/>
      <c r="AC283" s="8"/>
      <c r="AD283" s="8"/>
      <c r="AE283" s="8"/>
      <c r="AF283" s="8"/>
      <c r="AG283" s="8"/>
      <c r="AH283" s="7" t="s">
        <v>57</v>
      </c>
      <c r="AI283" s="6" t="s">
        <v>49</v>
      </c>
      <c r="AJ283" s="6" t="s">
        <v>49</v>
      </c>
      <c r="AK283" s="6" t="s">
        <v>49</v>
      </c>
      <c r="AL283" s="9" t="s">
        <v>49</v>
      </c>
      <c r="AM283" s="9" t="s">
        <v>92</v>
      </c>
      <c r="AN283" s="6" t="s">
        <v>49</v>
      </c>
      <c r="AO283" s="9" t="s">
        <v>92</v>
      </c>
      <c r="AP283" s="11">
        <v>0</v>
      </c>
      <c r="AQ283" s="11">
        <v>0</v>
      </c>
      <c r="AR283" s="11">
        <v>0</v>
      </c>
      <c r="AS283" s="11">
        <v>0</v>
      </c>
      <c r="AT283" s="11">
        <v>0</v>
      </c>
      <c r="AU283" s="11">
        <v>0</v>
      </c>
      <c r="AV283" s="11">
        <v>0</v>
      </c>
    </row>
    <row r="284" spans="1:48" customFormat="1" ht="14.5" hidden="1">
      <c r="A284" s="6">
        <v>283</v>
      </c>
      <c r="B284" s="7" t="s">
        <v>642</v>
      </c>
      <c r="C284" s="7" t="s">
        <v>86</v>
      </c>
      <c r="D284" s="6">
        <v>16024</v>
      </c>
      <c r="E284" s="6" t="s">
        <v>49</v>
      </c>
      <c r="F284" s="8"/>
      <c r="G284" s="8"/>
      <c r="H284" s="7" t="s">
        <v>49</v>
      </c>
      <c r="I284" s="7"/>
      <c r="J284" s="6" t="s">
        <v>49</v>
      </c>
      <c r="K284" s="9" t="s">
        <v>49</v>
      </c>
      <c r="L284" s="9" t="s">
        <v>49</v>
      </c>
      <c r="M284" s="8"/>
      <c r="N284" s="8"/>
      <c r="O284" s="10">
        <v>45292</v>
      </c>
      <c r="P284" s="9" t="s">
        <v>49</v>
      </c>
      <c r="Q284" s="9" t="s">
        <v>49</v>
      </c>
      <c r="R284" s="8"/>
      <c r="S284" s="8"/>
      <c r="T284" s="8"/>
      <c r="U284" s="8"/>
      <c r="V284" s="9" t="s">
        <v>49</v>
      </c>
      <c r="W284" s="9" t="s">
        <v>49</v>
      </c>
      <c r="X284" s="8"/>
      <c r="Y284" s="8"/>
      <c r="Z284" s="8"/>
      <c r="AA284" s="8"/>
      <c r="AB284" s="8"/>
      <c r="AC284" s="8"/>
      <c r="AD284" s="8"/>
      <c r="AE284" s="8"/>
      <c r="AF284" s="8"/>
      <c r="AG284" s="8"/>
      <c r="AH284" s="7" t="s">
        <v>57</v>
      </c>
      <c r="AI284" s="6" t="s">
        <v>71</v>
      </c>
      <c r="AJ284" s="6" t="s">
        <v>49</v>
      </c>
      <c r="AK284" s="6" t="s">
        <v>49</v>
      </c>
      <c r="AL284" s="9" t="s">
        <v>52</v>
      </c>
      <c r="AM284" s="9" t="s">
        <v>49</v>
      </c>
      <c r="AN284" s="6" t="s">
        <v>85</v>
      </c>
      <c r="AO284" s="9" t="s">
        <v>49</v>
      </c>
      <c r="AP284" s="11">
        <v>7248.8885899999996</v>
      </c>
      <c r="AQ284" s="11">
        <v>0</v>
      </c>
      <c r="AR284" s="11">
        <v>0</v>
      </c>
      <c r="AS284" s="11">
        <v>41681.266040000002</v>
      </c>
      <c r="AT284" s="11">
        <v>0</v>
      </c>
      <c r="AU284" s="11">
        <v>0</v>
      </c>
      <c r="AV284" s="11">
        <v>0</v>
      </c>
    </row>
    <row r="285" spans="1:48" customFormat="1" ht="14.5" hidden="1">
      <c r="A285" s="6">
        <v>284</v>
      </c>
      <c r="B285" s="7" t="s">
        <v>642</v>
      </c>
      <c r="C285" s="7" t="s">
        <v>86</v>
      </c>
      <c r="D285" s="6">
        <v>16024</v>
      </c>
      <c r="E285" s="6" t="s">
        <v>643</v>
      </c>
      <c r="F285" s="8"/>
      <c r="G285" s="8"/>
      <c r="H285" s="7" t="s">
        <v>88</v>
      </c>
      <c r="I285" s="7" t="s">
        <v>217</v>
      </c>
      <c r="J285" s="6" t="s">
        <v>75</v>
      </c>
      <c r="K285" s="9" t="s">
        <v>76</v>
      </c>
      <c r="L285" s="9" t="s">
        <v>49</v>
      </c>
      <c r="M285" s="8"/>
      <c r="N285" s="8"/>
      <c r="O285" s="10">
        <v>45292</v>
      </c>
      <c r="P285" s="9" t="s">
        <v>49</v>
      </c>
      <c r="Q285" s="9" t="s">
        <v>49</v>
      </c>
      <c r="R285" s="8"/>
      <c r="S285" s="8"/>
      <c r="T285" s="8"/>
      <c r="U285" s="8"/>
      <c r="V285" s="9" t="s">
        <v>49</v>
      </c>
      <c r="W285" s="9" t="s">
        <v>49</v>
      </c>
      <c r="X285" s="8"/>
      <c r="Y285" s="8"/>
      <c r="Z285" s="8"/>
      <c r="AA285" s="6">
        <v>1.1000000000000001</v>
      </c>
      <c r="AB285" s="6">
        <v>1.1000000000000001</v>
      </c>
      <c r="AC285" s="6">
        <v>1.5</v>
      </c>
      <c r="AD285" s="6">
        <v>2.6</v>
      </c>
      <c r="AE285" s="8"/>
      <c r="AF285" s="6">
        <v>0.55000000000000004</v>
      </c>
      <c r="AG285" s="6">
        <v>0.55000000000000004</v>
      </c>
      <c r="AH285" s="7" t="s">
        <v>57</v>
      </c>
      <c r="AI285" s="6" t="s">
        <v>49</v>
      </c>
      <c r="AJ285" s="6" t="s">
        <v>49</v>
      </c>
      <c r="AK285" s="6" t="s">
        <v>49</v>
      </c>
      <c r="AL285" s="9" t="s">
        <v>49</v>
      </c>
      <c r="AM285" s="9" t="s">
        <v>92</v>
      </c>
      <c r="AN285" s="6" t="s">
        <v>49</v>
      </c>
      <c r="AO285" s="9" t="s">
        <v>92</v>
      </c>
      <c r="AP285" s="11">
        <v>0</v>
      </c>
      <c r="AQ285" s="11">
        <v>0</v>
      </c>
      <c r="AR285" s="11">
        <v>0</v>
      </c>
      <c r="AS285" s="11">
        <v>0</v>
      </c>
      <c r="AT285" s="11">
        <v>0</v>
      </c>
      <c r="AU285" s="11">
        <v>0</v>
      </c>
      <c r="AV285" s="11" t="s">
        <v>57</v>
      </c>
    </row>
    <row r="286" spans="1:48" customFormat="1" ht="14.5" hidden="1">
      <c r="A286" s="6">
        <v>285</v>
      </c>
      <c r="B286" s="7" t="s">
        <v>644</v>
      </c>
      <c r="C286" s="7" t="s">
        <v>49</v>
      </c>
      <c r="D286" s="6">
        <v>16032</v>
      </c>
      <c r="E286" s="6" t="s">
        <v>49</v>
      </c>
      <c r="F286" s="8"/>
      <c r="G286" s="8"/>
      <c r="H286" s="7" t="s">
        <v>49</v>
      </c>
      <c r="I286" s="7"/>
      <c r="J286" s="6" t="s">
        <v>49</v>
      </c>
      <c r="K286" s="9" t="s">
        <v>49</v>
      </c>
      <c r="L286" s="9" t="s">
        <v>49</v>
      </c>
      <c r="M286" s="8"/>
      <c r="N286" s="8"/>
      <c r="O286" s="10">
        <v>44224</v>
      </c>
      <c r="P286" s="9" t="s">
        <v>49</v>
      </c>
      <c r="Q286" s="9" t="s">
        <v>49</v>
      </c>
      <c r="R286" s="8"/>
      <c r="S286" s="8"/>
      <c r="T286" s="8"/>
      <c r="U286" s="8"/>
      <c r="V286" s="9" t="s">
        <v>49</v>
      </c>
      <c r="W286" s="9" t="s">
        <v>49</v>
      </c>
      <c r="X286" s="8"/>
      <c r="Y286" s="8"/>
      <c r="Z286" s="8"/>
      <c r="AA286" s="8"/>
      <c r="AB286" s="8"/>
      <c r="AC286" s="8"/>
      <c r="AD286" s="8"/>
      <c r="AE286" s="8"/>
      <c r="AF286" s="8"/>
      <c r="AG286" s="8"/>
      <c r="AH286" s="7" t="s">
        <v>57</v>
      </c>
      <c r="AI286" s="6" t="s">
        <v>71</v>
      </c>
      <c r="AJ286" s="6" t="s">
        <v>49</v>
      </c>
      <c r="AK286" s="6" t="s">
        <v>49</v>
      </c>
      <c r="AL286" s="9" t="s">
        <v>52</v>
      </c>
      <c r="AM286" s="9" t="s">
        <v>49</v>
      </c>
      <c r="AN286" s="6" t="s">
        <v>85</v>
      </c>
      <c r="AO286" s="9" t="s">
        <v>49</v>
      </c>
      <c r="AP286" s="11">
        <v>7248.8885899999996</v>
      </c>
      <c r="AQ286" s="11">
        <v>0</v>
      </c>
      <c r="AR286" s="11">
        <v>0</v>
      </c>
      <c r="AS286" s="11">
        <v>41681.266040000002</v>
      </c>
      <c r="AT286" s="11">
        <v>0</v>
      </c>
      <c r="AU286" s="11">
        <v>0</v>
      </c>
      <c r="AV286" s="11">
        <v>0</v>
      </c>
    </row>
    <row r="287" spans="1:48" customFormat="1" ht="14.5" hidden="1">
      <c r="A287" s="6">
        <v>286</v>
      </c>
      <c r="B287" s="7" t="s">
        <v>644</v>
      </c>
      <c r="C287" s="7" t="s">
        <v>49</v>
      </c>
      <c r="D287" s="6">
        <v>16032</v>
      </c>
      <c r="E287" s="6" t="s">
        <v>645</v>
      </c>
      <c r="F287" s="12"/>
      <c r="G287" s="8"/>
      <c r="H287" s="7" t="s">
        <v>49</v>
      </c>
      <c r="I287" s="7"/>
      <c r="J287" s="6" t="s">
        <v>49</v>
      </c>
      <c r="K287" s="9" t="s">
        <v>49</v>
      </c>
      <c r="L287" s="9" t="s">
        <v>49</v>
      </c>
      <c r="M287" s="12"/>
      <c r="N287" s="8"/>
      <c r="O287" s="10">
        <v>44224</v>
      </c>
      <c r="P287" s="9" t="s">
        <v>49</v>
      </c>
      <c r="Q287" s="9" t="s">
        <v>49</v>
      </c>
      <c r="R287" s="8"/>
      <c r="S287" s="8"/>
      <c r="T287" s="8"/>
      <c r="U287" s="8"/>
      <c r="V287" s="9" t="s">
        <v>49</v>
      </c>
      <c r="W287" s="9" t="s">
        <v>49</v>
      </c>
      <c r="X287" s="8"/>
      <c r="Y287" s="8"/>
      <c r="Z287" s="12"/>
      <c r="AA287" s="8"/>
      <c r="AB287" s="12"/>
      <c r="AC287" s="8"/>
      <c r="AD287" s="12"/>
      <c r="AE287" s="12"/>
      <c r="AF287" s="8"/>
      <c r="AG287" s="12"/>
      <c r="AH287" s="7" t="s">
        <v>57</v>
      </c>
      <c r="AI287" s="6" t="s">
        <v>49</v>
      </c>
      <c r="AJ287" s="6" t="s">
        <v>49</v>
      </c>
      <c r="AK287" s="6" t="s">
        <v>49</v>
      </c>
      <c r="AL287" s="9" t="s">
        <v>49</v>
      </c>
      <c r="AM287" s="9" t="s">
        <v>92</v>
      </c>
      <c r="AN287" s="6" t="s">
        <v>49</v>
      </c>
      <c r="AO287" s="9" t="s">
        <v>92</v>
      </c>
      <c r="AP287" s="11">
        <v>0</v>
      </c>
      <c r="AQ287" s="11">
        <v>0</v>
      </c>
      <c r="AR287" s="11">
        <v>0</v>
      </c>
      <c r="AS287" s="11">
        <v>0</v>
      </c>
      <c r="AT287" s="11">
        <v>0</v>
      </c>
      <c r="AU287" s="11">
        <v>0</v>
      </c>
      <c r="AV287" s="11" t="s">
        <v>57</v>
      </c>
    </row>
    <row r="288" spans="1:48" customFormat="1" ht="14.5" hidden="1">
      <c r="A288" s="6">
        <v>287</v>
      </c>
      <c r="B288" s="7" t="s">
        <v>646</v>
      </c>
      <c r="C288" s="7" t="s">
        <v>49</v>
      </c>
      <c r="D288" s="6">
        <v>15486</v>
      </c>
      <c r="E288" s="6" t="s">
        <v>49</v>
      </c>
      <c r="F288" s="8"/>
      <c r="G288" s="8"/>
      <c r="H288" s="7" t="s">
        <v>49</v>
      </c>
      <c r="I288" s="7"/>
      <c r="J288" s="6" t="s">
        <v>49</v>
      </c>
      <c r="K288" s="9" t="s">
        <v>49</v>
      </c>
      <c r="L288" s="9" t="s">
        <v>49</v>
      </c>
      <c r="M288" s="8"/>
      <c r="N288" s="10">
        <v>43768</v>
      </c>
      <c r="O288" s="10">
        <v>43830</v>
      </c>
      <c r="P288" s="9" t="s">
        <v>49</v>
      </c>
      <c r="Q288" s="9" t="s">
        <v>49</v>
      </c>
      <c r="R288" s="8"/>
      <c r="S288" s="8"/>
      <c r="T288" s="8"/>
      <c r="U288" s="8"/>
      <c r="V288" s="9" t="s">
        <v>49</v>
      </c>
      <c r="W288" s="9" t="s">
        <v>49</v>
      </c>
      <c r="X288" s="8"/>
      <c r="Y288" s="8"/>
      <c r="Z288" s="8"/>
      <c r="AA288" s="8"/>
      <c r="AB288" s="8"/>
      <c r="AC288" s="8"/>
      <c r="AD288" s="8"/>
      <c r="AE288" s="8"/>
      <c r="AF288" s="8"/>
      <c r="AG288" s="8"/>
      <c r="AH288" s="7" t="s">
        <v>57</v>
      </c>
      <c r="AI288" s="6" t="s">
        <v>71</v>
      </c>
      <c r="AJ288" s="6" t="s">
        <v>49</v>
      </c>
      <c r="AK288" s="6" t="s">
        <v>49</v>
      </c>
      <c r="AL288" s="9" t="s">
        <v>52</v>
      </c>
      <c r="AM288" s="9" t="s">
        <v>49</v>
      </c>
      <c r="AN288" s="6" t="s">
        <v>85</v>
      </c>
      <c r="AO288" s="9" t="s">
        <v>49</v>
      </c>
      <c r="AP288" s="11">
        <v>7248.8885899999996</v>
      </c>
      <c r="AQ288" s="11">
        <v>0</v>
      </c>
      <c r="AR288" s="11">
        <v>0</v>
      </c>
      <c r="AS288" s="11">
        <v>41681.266040000002</v>
      </c>
      <c r="AT288" s="11">
        <v>0</v>
      </c>
      <c r="AU288" s="11">
        <v>0</v>
      </c>
      <c r="AV288" s="11">
        <v>0</v>
      </c>
    </row>
    <row r="289" spans="1:50" customFormat="1" ht="14.5" hidden="1">
      <c r="A289" s="6">
        <v>288</v>
      </c>
      <c r="B289" s="7" t="s">
        <v>646</v>
      </c>
      <c r="C289" s="7" t="s">
        <v>49</v>
      </c>
      <c r="D289" s="6">
        <v>15486</v>
      </c>
      <c r="E289" s="6" t="s">
        <v>647</v>
      </c>
      <c r="F289" s="12"/>
      <c r="G289" s="8"/>
      <c r="H289" s="7" t="s">
        <v>49</v>
      </c>
      <c r="I289" s="7"/>
      <c r="J289" s="6" t="s">
        <v>49</v>
      </c>
      <c r="K289" s="9" t="s">
        <v>49</v>
      </c>
      <c r="L289" s="9" t="s">
        <v>49</v>
      </c>
      <c r="M289" s="8"/>
      <c r="N289" s="10">
        <v>43768</v>
      </c>
      <c r="O289" s="10">
        <v>43830</v>
      </c>
      <c r="P289" s="9" t="s">
        <v>49</v>
      </c>
      <c r="Q289" s="9" t="s">
        <v>49</v>
      </c>
      <c r="R289" s="8"/>
      <c r="S289" s="8"/>
      <c r="T289" s="8"/>
      <c r="U289" s="8"/>
      <c r="V289" s="9" t="s">
        <v>49</v>
      </c>
      <c r="W289" s="9" t="s">
        <v>49</v>
      </c>
      <c r="X289" s="8"/>
      <c r="Y289" s="8"/>
      <c r="Z289" s="8"/>
      <c r="AA289" s="8"/>
      <c r="AB289" s="8"/>
      <c r="AC289" s="8"/>
      <c r="AD289" s="8"/>
      <c r="AE289" s="8"/>
      <c r="AF289" s="8"/>
      <c r="AG289" s="8"/>
      <c r="AH289" s="7" t="s">
        <v>51</v>
      </c>
      <c r="AI289" s="6" t="s">
        <v>49</v>
      </c>
      <c r="AJ289" s="6" t="s">
        <v>49</v>
      </c>
      <c r="AK289" s="6" t="s">
        <v>49</v>
      </c>
      <c r="AL289" s="9" t="s">
        <v>49</v>
      </c>
      <c r="AM289" s="9" t="s">
        <v>92</v>
      </c>
      <c r="AN289" s="6" t="s">
        <v>49</v>
      </c>
      <c r="AO289" s="9" t="s">
        <v>49</v>
      </c>
      <c r="AP289" s="11">
        <v>0</v>
      </c>
      <c r="AQ289" s="11">
        <v>0</v>
      </c>
      <c r="AR289" s="11">
        <v>0</v>
      </c>
      <c r="AS289" s="11">
        <v>0</v>
      </c>
      <c r="AT289" s="11">
        <v>0</v>
      </c>
      <c r="AU289" s="11">
        <v>0</v>
      </c>
      <c r="AV289" s="11">
        <v>0</v>
      </c>
    </row>
    <row r="290" spans="1:50" customFormat="1" ht="14.5" hidden="1">
      <c r="A290" s="6">
        <v>289</v>
      </c>
      <c r="B290" s="7" t="s">
        <v>648</v>
      </c>
      <c r="C290" s="7" t="s">
        <v>49</v>
      </c>
      <c r="D290" s="6">
        <v>16010</v>
      </c>
      <c r="E290" s="6" t="s">
        <v>49</v>
      </c>
      <c r="F290" s="8"/>
      <c r="G290" s="8"/>
      <c r="H290" s="7" t="s">
        <v>49</v>
      </c>
      <c r="I290" s="7"/>
      <c r="J290" s="6" t="s">
        <v>49</v>
      </c>
      <c r="K290" s="9" t="s">
        <v>49</v>
      </c>
      <c r="L290" s="9" t="s">
        <v>49</v>
      </c>
      <c r="M290" s="8"/>
      <c r="N290" s="10">
        <v>43766</v>
      </c>
      <c r="O290" s="10">
        <v>43830</v>
      </c>
      <c r="P290" s="9" t="s">
        <v>49</v>
      </c>
      <c r="Q290" s="9" t="s">
        <v>49</v>
      </c>
      <c r="R290" s="8"/>
      <c r="S290" s="8"/>
      <c r="T290" s="8"/>
      <c r="U290" s="8"/>
      <c r="V290" s="9" t="s">
        <v>49</v>
      </c>
      <c r="W290" s="9" t="s">
        <v>49</v>
      </c>
      <c r="X290" s="8"/>
      <c r="Y290" s="8"/>
      <c r="Z290" s="8"/>
      <c r="AA290" s="8"/>
      <c r="AB290" s="8"/>
      <c r="AC290" s="8"/>
      <c r="AD290" s="8"/>
      <c r="AE290" s="8"/>
      <c r="AF290" s="8"/>
      <c r="AG290" s="8"/>
      <c r="AH290" s="7" t="s">
        <v>57</v>
      </c>
      <c r="AI290" s="6" t="s">
        <v>71</v>
      </c>
      <c r="AJ290" s="6" t="s">
        <v>49</v>
      </c>
      <c r="AK290" s="6" t="s">
        <v>49</v>
      </c>
      <c r="AL290" s="9" t="s">
        <v>52</v>
      </c>
      <c r="AM290" s="9" t="s">
        <v>49</v>
      </c>
      <c r="AN290" s="6" t="s">
        <v>85</v>
      </c>
      <c r="AO290" s="9" t="s">
        <v>49</v>
      </c>
      <c r="AP290" s="11">
        <v>7248.8885899999996</v>
      </c>
      <c r="AQ290" s="11">
        <v>0</v>
      </c>
      <c r="AR290" s="11">
        <v>0</v>
      </c>
      <c r="AS290" s="11">
        <v>41681.266040000002</v>
      </c>
      <c r="AT290" s="11">
        <v>0</v>
      </c>
      <c r="AU290" s="11">
        <v>0</v>
      </c>
      <c r="AV290" s="11">
        <v>0</v>
      </c>
    </row>
    <row r="291" spans="1:50" customFormat="1" ht="14.5" hidden="1">
      <c r="A291" s="6">
        <v>290</v>
      </c>
      <c r="B291" s="7" t="s">
        <v>649</v>
      </c>
      <c r="C291" s="7" t="s">
        <v>86</v>
      </c>
      <c r="D291" s="6">
        <v>16010</v>
      </c>
      <c r="E291" s="6" t="s">
        <v>650</v>
      </c>
      <c r="F291" s="6">
        <v>83263</v>
      </c>
      <c r="G291" s="8"/>
      <c r="H291" s="7" t="s">
        <v>88</v>
      </c>
      <c r="I291" s="7" t="s">
        <v>217</v>
      </c>
      <c r="J291" s="6" t="s">
        <v>75</v>
      </c>
      <c r="K291" s="9" t="s">
        <v>76</v>
      </c>
      <c r="L291" s="9" t="s">
        <v>218</v>
      </c>
      <c r="M291" s="8"/>
      <c r="N291" s="10">
        <v>43766</v>
      </c>
      <c r="O291" s="10">
        <v>43830</v>
      </c>
      <c r="P291" s="9" t="s">
        <v>651</v>
      </c>
      <c r="Q291" s="9" t="s">
        <v>652</v>
      </c>
      <c r="R291" s="8"/>
      <c r="S291" s="8"/>
      <c r="T291" s="8"/>
      <c r="U291" s="8"/>
      <c r="V291" s="9" t="s">
        <v>49</v>
      </c>
      <c r="W291" s="9" t="s">
        <v>108</v>
      </c>
      <c r="X291" s="8"/>
      <c r="Y291" s="8"/>
      <c r="Z291" s="8"/>
      <c r="AA291" s="6">
        <v>1.1000000000000001</v>
      </c>
      <c r="AB291" s="6">
        <v>1.1000000000000001</v>
      </c>
      <c r="AC291" s="8"/>
      <c r="AD291" s="6">
        <v>1.1000000000000001</v>
      </c>
      <c r="AE291" s="8"/>
      <c r="AF291" s="6">
        <v>0.55000000000000004</v>
      </c>
      <c r="AG291" s="6">
        <v>0.55000000000000004</v>
      </c>
      <c r="AH291" s="7" t="s">
        <v>51</v>
      </c>
      <c r="AI291" s="6" t="s">
        <v>49</v>
      </c>
      <c r="AJ291" s="6" t="s">
        <v>49</v>
      </c>
      <c r="AK291" s="6" t="s">
        <v>49</v>
      </c>
      <c r="AL291" s="9" t="s">
        <v>49</v>
      </c>
      <c r="AM291" s="9" t="s">
        <v>92</v>
      </c>
      <c r="AN291" s="6" t="s">
        <v>49</v>
      </c>
      <c r="AO291" s="9" t="s">
        <v>92</v>
      </c>
      <c r="AP291" s="11">
        <v>23.35088</v>
      </c>
      <c r="AQ291" s="11">
        <v>25179.42</v>
      </c>
      <c r="AR291" s="11">
        <v>25179.42666666667</v>
      </c>
      <c r="AS291" s="11">
        <v>350.25767999999999</v>
      </c>
      <c r="AT291" s="11">
        <v>33.251419999999996</v>
      </c>
      <c r="AU291" s="11">
        <v>0</v>
      </c>
      <c r="AV291" s="11" t="s">
        <v>51</v>
      </c>
    </row>
    <row r="292" spans="1:50" customFormat="1" ht="14.5" hidden="1">
      <c r="A292" s="6">
        <v>291</v>
      </c>
      <c r="B292" s="7" t="s">
        <v>653</v>
      </c>
      <c r="C292" s="7" t="s">
        <v>86</v>
      </c>
      <c r="D292" s="12"/>
      <c r="E292" s="6" t="s">
        <v>104</v>
      </c>
      <c r="F292" s="12"/>
      <c r="G292" s="8"/>
      <c r="H292" s="7" t="s">
        <v>49</v>
      </c>
      <c r="I292" s="7"/>
      <c r="J292" s="6" t="s">
        <v>49</v>
      </c>
      <c r="K292" s="9" t="s">
        <v>49</v>
      </c>
      <c r="L292" s="9" t="s">
        <v>49</v>
      </c>
      <c r="M292" s="14">
        <v>52</v>
      </c>
      <c r="N292" s="8"/>
      <c r="O292" s="12"/>
      <c r="P292" s="9" t="s">
        <v>49</v>
      </c>
      <c r="Q292" s="9" t="s">
        <v>49</v>
      </c>
      <c r="R292" s="8"/>
      <c r="S292" s="8"/>
      <c r="T292" s="8"/>
      <c r="U292" s="8"/>
      <c r="V292" s="9" t="s">
        <v>49</v>
      </c>
      <c r="W292" s="9" t="s">
        <v>49</v>
      </c>
      <c r="X292" s="8"/>
      <c r="Y292" s="8"/>
      <c r="Z292" s="8"/>
      <c r="AA292" s="12"/>
      <c r="AB292" s="12"/>
      <c r="AC292" s="8"/>
      <c r="AD292" s="12"/>
      <c r="AE292" s="8"/>
      <c r="AF292" s="12"/>
      <c r="AG292" s="12"/>
      <c r="AH292" s="7" t="s">
        <v>49</v>
      </c>
      <c r="AI292" s="6" t="s">
        <v>49</v>
      </c>
      <c r="AJ292" s="6" t="s">
        <v>49</v>
      </c>
      <c r="AK292" s="6" t="s">
        <v>49</v>
      </c>
      <c r="AL292" s="9" t="s">
        <v>49</v>
      </c>
      <c r="AM292" s="9" t="s">
        <v>49</v>
      </c>
      <c r="AN292" s="6" t="s">
        <v>49</v>
      </c>
      <c r="AO292" s="9" t="s">
        <v>49</v>
      </c>
      <c r="AP292" s="11">
        <v>0</v>
      </c>
      <c r="AQ292" s="11">
        <v>0</v>
      </c>
      <c r="AR292" s="11">
        <v>0</v>
      </c>
      <c r="AS292" s="11">
        <v>0</v>
      </c>
      <c r="AT292" s="11">
        <v>0</v>
      </c>
      <c r="AU292" s="11">
        <v>0</v>
      </c>
      <c r="AV292" s="11">
        <v>0</v>
      </c>
    </row>
    <row r="293" spans="1:50" customFormat="1" ht="14.5" hidden="1">
      <c r="A293" s="6">
        <v>292</v>
      </c>
      <c r="B293" s="7" t="s">
        <v>654</v>
      </c>
      <c r="C293" s="7" t="s">
        <v>86</v>
      </c>
      <c r="D293" s="6">
        <v>15702</v>
      </c>
      <c r="E293" s="6" t="s">
        <v>49</v>
      </c>
      <c r="F293" s="8"/>
      <c r="G293" s="8"/>
      <c r="H293" s="7" t="s">
        <v>49</v>
      </c>
      <c r="I293" s="7"/>
      <c r="J293" s="6" t="s">
        <v>49</v>
      </c>
      <c r="K293" s="9" t="s">
        <v>49</v>
      </c>
      <c r="L293" s="9" t="s">
        <v>49</v>
      </c>
      <c r="M293" s="8"/>
      <c r="N293" s="8"/>
      <c r="O293" s="12"/>
      <c r="P293" s="9" t="s">
        <v>49</v>
      </c>
      <c r="Q293" s="9" t="s">
        <v>49</v>
      </c>
      <c r="R293" s="8"/>
      <c r="S293" s="8"/>
      <c r="T293" s="8"/>
      <c r="U293" s="8"/>
      <c r="V293" s="9" t="s">
        <v>49</v>
      </c>
      <c r="W293" s="9" t="s">
        <v>49</v>
      </c>
      <c r="X293" s="8"/>
      <c r="Y293" s="8"/>
      <c r="Z293" s="8"/>
      <c r="AA293" s="8"/>
      <c r="AB293" s="8"/>
      <c r="AC293" s="8"/>
      <c r="AD293" s="8"/>
      <c r="AE293" s="8"/>
      <c r="AF293" s="8"/>
      <c r="AG293" s="8"/>
      <c r="AH293" s="7" t="s">
        <v>57</v>
      </c>
      <c r="AI293" s="6" t="s">
        <v>71</v>
      </c>
      <c r="AJ293" s="6" t="s">
        <v>49</v>
      </c>
      <c r="AK293" s="6" t="s">
        <v>49</v>
      </c>
      <c r="AL293" s="9" t="s">
        <v>52</v>
      </c>
      <c r="AM293" s="9" t="s">
        <v>49</v>
      </c>
      <c r="AN293" s="6" t="s">
        <v>85</v>
      </c>
      <c r="AO293" s="9" t="s">
        <v>49</v>
      </c>
      <c r="AP293" s="11">
        <v>7248.8885899999996</v>
      </c>
      <c r="AQ293" s="11">
        <v>0</v>
      </c>
      <c r="AR293" s="11">
        <v>0</v>
      </c>
      <c r="AS293" s="11">
        <v>41681.266040000002</v>
      </c>
      <c r="AT293" s="11">
        <v>0</v>
      </c>
      <c r="AU293" s="11">
        <v>0</v>
      </c>
      <c r="AV293" s="11">
        <v>0</v>
      </c>
    </row>
    <row r="294" spans="1:50" ht="13.5" customHeight="1">
      <c r="A294" s="46">
        <v>170</v>
      </c>
      <c r="B294" s="47" t="s">
        <v>421</v>
      </c>
      <c r="C294" s="47" t="s">
        <v>86</v>
      </c>
      <c r="D294" s="6">
        <v>12497</v>
      </c>
      <c r="E294" s="6" t="s">
        <v>422</v>
      </c>
      <c r="F294" s="6">
        <v>77393</v>
      </c>
      <c r="G294" s="8"/>
      <c r="H294" s="47" t="s">
        <v>88</v>
      </c>
      <c r="I294" s="47" t="s">
        <v>217</v>
      </c>
      <c r="J294" s="46" t="s">
        <v>49</v>
      </c>
      <c r="K294" s="48" t="s">
        <v>49</v>
      </c>
      <c r="L294" s="9" t="s">
        <v>73</v>
      </c>
      <c r="M294" s="23">
        <v>312</v>
      </c>
      <c r="N294" s="75">
        <v>42968</v>
      </c>
      <c r="O294" s="75">
        <v>43833</v>
      </c>
      <c r="P294" s="9" t="s">
        <v>423</v>
      </c>
      <c r="Q294" s="9" t="s">
        <v>424</v>
      </c>
      <c r="R294" s="76">
        <v>5.0999999999999996</v>
      </c>
      <c r="S294" s="76">
        <v>24.5</v>
      </c>
      <c r="T294" s="68">
        <v>28.3</v>
      </c>
      <c r="U294" s="46">
        <v>4.8</v>
      </c>
      <c r="V294" s="50">
        <v>0.73</v>
      </c>
      <c r="W294" s="9" t="s">
        <v>108</v>
      </c>
      <c r="X294" s="8"/>
      <c r="Y294" s="8"/>
      <c r="Z294" s="8"/>
      <c r="AA294" s="68"/>
      <c r="AB294" s="68"/>
      <c r="AC294" s="8"/>
      <c r="AD294" s="68"/>
      <c r="AE294" s="8"/>
      <c r="AF294" s="68"/>
      <c r="AG294" s="68"/>
      <c r="AH294" s="7" t="s">
        <v>51</v>
      </c>
      <c r="AI294" s="6" t="s">
        <v>49</v>
      </c>
      <c r="AJ294" s="6" t="s">
        <v>49</v>
      </c>
      <c r="AK294" s="6" t="s">
        <v>49</v>
      </c>
      <c r="AL294" s="9" t="s">
        <v>49</v>
      </c>
      <c r="AM294" s="9" t="s">
        <v>95</v>
      </c>
      <c r="AN294" s="6" t="s">
        <v>49</v>
      </c>
      <c r="AO294" s="9" t="s">
        <v>95</v>
      </c>
      <c r="AP294" s="11">
        <v>12.60473</v>
      </c>
      <c r="AQ294" s="11">
        <v>171574.97</v>
      </c>
      <c r="AR294" s="11">
        <v>158970.2358333334</v>
      </c>
      <c r="AS294" s="11">
        <v>3664.9374400000002</v>
      </c>
      <c r="AT294" s="11">
        <v>171.57497000000001</v>
      </c>
      <c r="AU294" s="11">
        <v>0</v>
      </c>
      <c r="AV294" s="11" t="s">
        <v>51</v>
      </c>
      <c r="AX294" s="58" t="s">
        <v>421</v>
      </c>
    </row>
    <row r="295" spans="1:50" customFormat="1" ht="14.5" hidden="1">
      <c r="A295" s="6">
        <v>294</v>
      </c>
      <c r="B295" s="7" t="s">
        <v>656</v>
      </c>
      <c r="C295" s="7" t="s">
        <v>49</v>
      </c>
      <c r="D295" s="6">
        <v>15504</v>
      </c>
      <c r="E295" s="6" t="s">
        <v>49</v>
      </c>
      <c r="F295" s="12"/>
      <c r="G295" s="8"/>
      <c r="H295" s="7" t="s">
        <v>49</v>
      </c>
      <c r="I295" s="7"/>
      <c r="J295" s="6" t="s">
        <v>49</v>
      </c>
      <c r="K295" s="9" t="s">
        <v>49</v>
      </c>
      <c r="L295" s="9" t="s">
        <v>49</v>
      </c>
      <c r="M295" s="12"/>
      <c r="N295" s="12"/>
      <c r="O295" s="10">
        <v>44196</v>
      </c>
      <c r="P295" s="9" t="s">
        <v>49</v>
      </c>
      <c r="Q295" s="9" t="s">
        <v>49</v>
      </c>
      <c r="R295" s="8"/>
      <c r="S295" s="8"/>
      <c r="T295" s="8"/>
      <c r="U295" s="8"/>
      <c r="V295" s="9" t="s">
        <v>49</v>
      </c>
      <c r="W295" s="9" t="s">
        <v>49</v>
      </c>
      <c r="X295" s="12"/>
      <c r="Y295" s="8"/>
      <c r="Z295" s="12"/>
      <c r="AA295" s="8"/>
      <c r="AB295" s="12"/>
      <c r="AC295" s="8"/>
      <c r="AD295" s="12"/>
      <c r="AE295" s="12"/>
      <c r="AF295" s="8"/>
      <c r="AG295" s="12"/>
      <c r="AH295" s="7" t="s">
        <v>57</v>
      </c>
      <c r="AI295" s="6" t="s">
        <v>71</v>
      </c>
      <c r="AJ295" s="6" t="s">
        <v>49</v>
      </c>
      <c r="AK295" s="6" t="s">
        <v>49</v>
      </c>
      <c r="AL295" s="9" t="s">
        <v>67</v>
      </c>
      <c r="AM295" s="9" t="s">
        <v>49</v>
      </c>
      <c r="AN295" s="6" t="s">
        <v>85</v>
      </c>
      <c r="AO295" s="9" t="s">
        <v>49</v>
      </c>
      <c r="AP295" s="11">
        <v>7248.8885899999996</v>
      </c>
      <c r="AQ295" s="11">
        <v>0</v>
      </c>
      <c r="AR295" s="11">
        <v>0</v>
      </c>
      <c r="AS295" s="11">
        <v>41681.266040000002</v>
      </c>
      <c r="AT295" s="11">
        <v>0</v>
      </c>
      <c r="AU295" s="11">
        <v>0</v>
      </c>
      <c r="AV295" s="11">
        <v>0</v>
      </c>
    </row>
    <row r="296" spans="1:50" customFormat="1" ht="14.5" hidden="1">
      <c r="A296" s="6">
        <v>295</v>
      </c>
      <c r="B296" s="7" t="s">
        <v>657</v>
      </c>
      <c r="C296" s="7" t="s">
        <v>49</v>
      </c>
      <c r="D296" s="6">
        <v>15341</v>
      </c>
      <c r="E296" s="6" t="s">
        <v>49</v>
      </c>
      <c r="F296" s="8"/>
      <c r="G296" s="8"/>
      <c r="H296" s="7" t="s">
        <v>49</v>
      </c>
      <c r="I296" s="7"/>
      <c r="J296" s="6" t="s">
        <v>49</v>
      </c>
      <c r="K296" s="9" t="s">
        <v>49</v>
      </c>
      <c r="L296" s="9" t="s">
        <v>49</v>
      </c>
      <c r="M296" s="8"/>
      <c r="N296" s="10">
        <v>43332</v>
      </c>
      <c r="O296" s="10">
        <v>43860</v>
      </c>
      <c r="P296" s="9" t="s">
        <v>49</v>
      </c>
      <c r="Q296" s="9" t="s">
        <v>49</v>
      </c>
      <c r="R296" s="8"/>
      <c r="S296" s="8"/>
      <c r="T296" s="8"/>
      <c r="U296" s="8"/>
      <c r="V296" s="9" t="s">
        <v>49</v>
      </c>
      <c r="W296" s="9" t="s">
        <v>49</v>
      </c>
      <c r="X296" s="8"/>
      <c r="Y296" s="8"/>
      <c r="Z296" s="8"/>
      <c r="AA296" s="8"/>
      <c r="AB296" s="8"/>
      <c r="AC296" s="8"/>
      <c r="AD296" s="8"/>
      <c r="AE296" s="8"/>
      <c r="AF296" s="8"/>
      <c r="AG296" s="8"/>
      <c r="AH296" s="7" t="s">
        <v>57</v>
      </c>
      <c r="AI296" s="6" t="s">
        <v>71</v>
      </c>
      <c r="AJ296" s="6" t="s">
        <v>49</v>
      </c>
      <c r="AK296" s="6" t="s">
        <v>49</v>
      </c>
      <c r="AL296" s="9" t="s">
        <v>607</v>
      </c>
      <c r="AM296" s="9" t="s">
        <v>49</v>
      </c>
      <c r="AN296" s="6" t="s">
        <v>82</v>
      </c>
      <c r="AO296" s="9" t="s">
        <v>49</v>
      </c>
      <c r="AP296" s="11">
        <v>7248.8885899999996</v>
      </c>
      <c r="AQ296" s="11">
        <v>0</v>
      </c>
      <c r="AR296" s="11">
        <v>0</v>
      </c>
      <c r="AS296" s="11">
        <v>41681.266040000002</v>
      </c>
      <c r="AT296" s="11">
        <v>0</v>
      </c>
      <c r="AU296" s="11">
        <v>0</v>
      </c>
      <c r="AV296" s="11">
        <v>0</v>
      </c>
    </row>
    <row r="297" spans="1:50" customFormat="1" ht="14.5" hidden="1">
      <c r="A297" s="6">
        <v>296</v>
      </c>
      <c r="B297" s="7" t="s">
        <v>658</v>
      </c>
      <c r="C297" s="7" t="s">
        <v>49</v>
      </c>
      <c r="D297" s="6">
        <v>15496</v>
      </c>
      <c r="E297" s="6" t="s">
        <v>49</v>
      </c>
      <c r="F297" s="8"/>
      <c r="G297" s="8"/>
      <c r="H297" s="7" t="s">
        <v>49</v>
      </c>
      <c r="I297" s="7"/>
      <c r="J297" s="6" t="s">
        <v>49</v>
      </c>
      <c r="K297" s="9" t="s">
        <v>49</v>
      </c>
      <c r="L297" s="9" t="s">
        <v>49</v>
      </c>
      <c r="M297" s="8"/>
      <c r="N297" s="12"/>
      <c r="O297" s="10">
        <v>43525</v>
      </c>
      <c r="P297" s="9" t="s">
        <v>49</v>
      </c>
      <c r="Q297" s="9" t="s">
        <v>49</v>
      </c>
      <c r="R297" s="8"/>
      <c r="S297" s="8"/>
      <c r="T297" s="8"/>
      <c r="U297" s="8"/>
      <c r="V297" s="9" t="s">
        <v>49</v>
      </c>
      <c r="W297" s="9" t="s">
        <v>49</v>
      </c>
      <c r="X297" s="8"/>
      <c r="Y297" s="8"/>
      <c r="Z297" s="8"/>
      <c r="AA297" s="8"/>
      <c r="AB297" s="8"/>
      <c r="AC297" s="8"/>
      <c r="AD297" s="8"/>
      <c r="AE297" s="8"/>
      <c r="AF297" s="8"/>
      <c r="AG297" s="8"/>
      <c r="AH297" s="7" t="s">
        <v>57</v>
      </c>
      <c r="AI297" s="6" t="s">
        <v>71</v>
      </c>
      <c r="AJ297" s="6" t="s">
        <v>49</v>
      </c>
      <c r="AK297" s="6" t="s">
        <v>49</v>
      </c>
      <c r="AL297" s="9" t="s">
        <v>67</v>
      </c>
      <c r="AM297" s="9" t="s">
        <v>49</v>
      </c>
      <c r="AN297" s="6" t="s">
        <v>85</v>
      </c>
      <c r="AO297" s="9" t="s">
        <v>49</v>
      </c>
      <c r="AP297" s="11">
        <v>7248.8885899999996</v>
      </c>
      <c r="AQ297" s="11">
        <v>0</v>
      </c>
      <c r="AR297" s="11">
        <v>0</v>
      </c>
      <c r="AS297" s="11">
        <v>41681.266040000002</v>
      </c>
      <c r="AT297" s="11">
        <v>0</v>
      </c>
      <c r="AU297" s="11">
        <v>0</v>
      </c>
      <c r="AV297" s="11">
        <v>0</v>
      </c>
    </row>
    <row r="298" spans="1:50" customFormat="1" ht="14.5" hidden="1">
      <c r="A298" s="6">
        <v>297</v>
      </c>
      <c r="B298" s="7" t="s">
        <v>658</v>
      </c>
      <c r="C298" s="7" t="s">
        <v>49</v>
      </c>
      <c r="D298" s="6">
        <v>15496</v>
      </c>
      <c r="E298" s="6" t="s">
        <v>659</v>
      </c>
      <c r="F298" s="8"/>
      <c r="G298" s="8"/>
      <c r="H298" s="7" t="s">
        <v>49</v>
      </c>
      <c r="I298" s="7"/>
      <c r="J298" s="6" t="s">
        <v>49</v>
      </c>
      <c r="K298" s="9" t="s">
        <v>49</v>
      </c>
      <c r="L298" s="9" t="s">
        <v>49</v>
      </c>
      <c r="M298" s="12"/>
      <c r="N298" s="12"/>
      <c r="O298" s="10">
        <v>43525</v>
      </c>
      <c r="P298" s="9" t="s">
        <v>49</v>
      </c>
      <c r="Q298" s="9" t="s">
        <v>49</v>
      </c>
      <c r="R298" s="8"/>
      <c r="S298" s="8"/>
      <c r="T298" s="8"/>
      <c r="U298" s="8"/>
      <c r="V298" s="9" t="s">
        <v>49</v>
      </c>
      <c r="W298" s="9" t="s">
        <v>49</v>
      </c>
      <c r="X298" s="8"/>
      <c r="Y298" s="8"/>
      <c r="Z298" s="12"/>
      <c r="AA298" s="8"/>
      <c r="AB298" s="12"/>
      <c r="AC298" s="8"/>
      <c r="AD298" s="12"/>
      <c r="AE298" s="12"/>
      <c r="AF298" s="8"/>
      <c r="AG298" s="12"/>
      <c r="AH298" s="7" t="s">
        <v>57</v>
      </c>
      <c r="AI298" s="6" t="s">
        <v>49</v>
      </c>
      <c r="AJ298" s="6" t="s">
        <v>49</v>
      </c>
      <c r="AK298" s="6" t="s">
        <v>49</v>
      </c>
      <c r="AL298" s="9" t="s">
        <v>49</v>
      </c>
      <c r="AM298" s="9" t="s">
        <v>67</v>
      </c>
      <c r="AN298" s="6" t="s">
        <v>49</v>
      </c>
      <c r="AO298" s="9" t="s">
        <v>67</v>
      </c>
      <c r="AP298" s="11">
        <v>0</v>
      </c>
      <c r="AQ298" s="11">
        <v>0</v>
      </c>
      <c r="AR298" s="11">
        <v>0</v>
      </c>
      <c r="AS298" s="11">
        <v>0</v>
      </c>
      <c r="AT298" s="11">
        <v>0</v>
      </c>
      <c r="AU298" s="11">
        <v>0</v>
      </c>
      <c r="AV298" s="11" t="s">
        <v>57</v>
      </c>
    </row>
    <row r="299" spans="1:50" customFormat="1" ht="14.5" hidden="1">
      <c r="A299" s="6">
        <v>298</v>
      </c>
      <c r="B299" s="7" t="s">
        <v>660</v>
      </c>
      <c r="C299" s="7" t="s">
        <v>49</v>
      </c>
      <c r="D299" s="6">
        <v>15451</v>
      </c>
      <c r="E299" s="6" t="s">
        <v>49</v>
      </c>
      <c r="F299" s="8"/>
      <c r="G299" s="8"/>
      <c r="H299" s="7" t="s">
        <v>49</v>
      </c>
      <c r="I299" s="7"/>
      <c r="J299" s="6" t="s">
        <v>49</v>
      </c>
      <c r="K299" s="9" t="s">
        <v>49</v>
      </c>
      <c r="L299" s="9" t="s">
        <v>49</v>
      </c>
      <c r="M299" s="8"/>
      <c r="N299" s="10">
        <v>43371</v>
      </c>
      <c r="O299" s="10">
        <v>44225</v>
      </c>
      <c r="P299" s="9" t="s">
        <v>49</v>
      </c>
      <c r="Q299" s="9" t="s">
        <v>49</v>
      </c>
      <c r="R299" s="8"/>
      <c r="S299" s="8"/>
      <c r="T299" s="8"/>
      <c r="U299" s="8"/>
      <c r="V299" s="9" t="s">
        <v>49</v>
      </c>
      <c r="W299" s="9" t="s">
        <v>49</v>
      </c>
      <c r="X299" s="8"/>
      <c r="Y299" s="8"/>
      <c r="Z299" s="8"/>
      <c r="AA299" s="8"/>
      <c r="AB299" s="8"/>
      <c r="AC299" s="8"/>
      <c r="AD299" s="8"/>
      <c r="AE299" s="8"/>
      <c r="AF299" s="8"/>
      <c r="AG299" s="8"/>
      <c r="AH299" s="7" t="s">
        <v>51</v>
      </c>
      <c r="AI299" s="6" t="s">
        <v>71</v>
      </c>
      <c r="AJ299" s="6" t="s">
        <v>49</v>
      </c>
      <c r="AK299" s="6" t="s">
        <v>49</v>
      </c>
      <c r="AL299" s="9" t="s">
        <v>102</v>
      </c>
      <c r="AM299" s="9" t="s">
        <v>49</v>
      </c>
      <c r="AN299" s="6" t="s">
        <v>96</v>
      </c>
      <c r="AO299" s="9" t="s">
        <v>49</v>
      </c>
      <c r="AP299" s="11">
        <v>7248.8885899999996</v>
      </c>
      <c r="AQ299" s="11">
        <v>0</v>
      </c>
      <c r="AR299" s="11">
        <v>0</v>
      </c>
      <c r="AS299" s="11">
        <v>41681.266040000002</v>
      </c>
      <c r="AT299" s="11">
        <v>0</v>
      </c>
      <c r="AU299" s="11">
        <v>0</v>
      </c>
      <c r="AV299" s="11">
        <v>0</v>
      </c>
    </row>
    <row r="300" spans="1:50" customFormat="1" ht="14.5" hidden="1">
      <c r="A300" s="6">
        <v>299</v>
      </c>
      <c r="B300" s="7" t="s">
        <v>661</v>
      </c>
      <c r="C300" s="7" t="s">
        <v>49</v>
      </c>
      <c r="D300" s="6">
        <v>15451</v>
      </c>
      <c r="E300" s="6" t="s">
        <v>662</v>
      </c>
      <c r="F300" s="8"/>
      <c r="G300" s="8"/>
      <c r="H300" s="7" t="s">
        <v>49</v>
      </c>
      <c r="I300" s="7"/>
      <c r="J300" s="6" t="s">
        <v>49</v>
      </c>
      <c r="K300" s="9" t="s">
        <v>49</v>
      </c>
      <c r="L300" s="9" t="s">
        <v>49</v>
      </c>
      <c r="M300" s="8"/>
      <c r="N300" s="10">
        <v>43371</v>
      </c>
      <c r="O300" s="10">
        <v>44225</v>
      </c>
      <c r="P300" s="9" t="s">
        <v>49</v>
      </c>
      <c r="Q300" s="9" t="s">
        <v>49</v>
      </c>
      <c r="R300" s="8"/>
      <c r="S300" s="8"/>
      <c r="T300" s="8"/>
      <c r="U300" s="8"/>
      <c r="V300" s="9" t="s">
        <v>49</v>
      </c>
      <c r="W300" s="9" t="s">
        <v>49</v>
      </c>
      <c r="X300" s="8"/>
      <c r="Y300" s="8"/>
      <c r="Z300" s="8"/>
      <c r="AA300" s="8"/>
      <c r="AB300" s="8"/>
      <c r="AC300" s="8"/>
      <c r="AD300" s="8"/>
      <c r="AE300" s="8"/>
      <c r="AF300" s="8"/>
      <c r="AG300" s="8"/>
      <c r="AH300" s="7" t="s">
        <v>57</v>
      </c>
      <c r="AI300" s="6" t="s">
        <v>49</v>
      </c>
      <c r="AJ300" s="6" t="s">
        <v>49</v>
      </c>
      <c r="AK300" s="6" t="s">
        <v>49</v>
      </c>
      <c r="AL300" s="9" t="s">
        <v>49</v>
      </c>
      <c r="AM300" s="9" t="s">
        <v>663</v>
      </c>
      <c r="AN300" s="6" t="s">
        <v>49</v>
      </c>
      <c r="AO300" s="9" t="s">
        <v>663</v>
      </c>
      <c r="AP300" s="11">
        <v>0</v>
      </c>
      <c r="AQ300" s="11">
        <v>0</v>
      </c>
      <c r="AR300" s="11">
        <v>0</v>
      </c>
      <c r="AS300" s="11">
        <v>0</v>
      </c>
      <c r="AT300" s="11">
        <v>0</v>
      </c>
      <c r="AU300" s="11">
        <v>0</v>
      </c>
      <c r="AV300" s="11" t="s">
        <v>57</v>
      </c>
    </row>
    <row r="301" spans="1:50" customFormat="1" ht="14.5" hidden="1">
      <c r="A301" s="6">
        <v>300</v>
      </c>
      <c r="B301" s="7" t="s">
        <v>664</v>
      </c>
      <c r="C301" s="7" t="s">
        <v>49</v>
      </c>
      <c r="D301" s="6">
        <v>15451</v>
      </c>
      <c r="E301" s="6" t="s">
        <v>665</v>
      </c>
      <c r="F301" s="8"/>
      <c r="G301" s="8"/>
      <c r="H301" s="7" t="s">
        <v>49</v>
      </c>
      <c r="I301" s="7"/>
      <c r="J301" s="6" t="s">
        <v>49</v>
      </c>
      <c r="K301" s="9" t="s">
        <v>49</v>
      </c>
      <c r="L301" s="9" t="s">
        <v>49</v>
      </c>
      <c r="M301" s="8"/>
      <c r="N301" s="10">
        <v>43371</v>
      </c>
      <c r="O301" s="10">
        <v>44225</v>
      </c>
      <c r="P301" s="9" t="s">
        <v>49</v>
      </c>
      <c r="Q301" s="9" t="s">
        <v>49</v>
      </c>
      <c r="R301" s="8"/>
      <c r="S301" s="8"/>
      <c r="T301" s="8"/>
      <c r="U301" s="8"/>
      <c r="V301" s="9" t="s">
        <v>49</v>
      </c>
      <c r="W301" s="9" t="s">
        <v>49</v>
      </c>
      <c r="X301" s="8"/>
      <c r="Y301" s="8"/>
      <c r="Z301" s="8"/>
      <c r="AA301" s="8"/>
      <c r="AB301" s="8"/>
      <c r="AC301" s="8"/>
      <c r="AD301" s="8"/>
      <c r="AE301" s="8"/>
      <c r="AF301" s="8"/>
      <c r="AG301" s="8"/>
      <c r="AH301" s="7" t="s">
        <v>57</v>
      </c>
      <c r="AI301" s="6" t="s">
        <v>49</v>
      </c>
      <c r="AJ301" s="6" t="s">
        <v>49</v>
      </c>
      <c r="AK301" s="6" t="s">
        <v>49</v>
      </c>
      <c r="AL301" s="9" t="s">
        <v>49</v>
      </c>
      <c r="AM301" s="9" t="s">
        <v>663</v>
      </c>
      <c r="AN301" s="6" t="s">
        <v>49</v>
      </c>
      <c r="AO301" s="9" t="s">
        <v>663</v>
      </c>
      <c r="AP301" s="11">
        <v>0</v>
      </c>
      <c r="AQ301" s="11">
        <v>0</v>
      </c>
      <c r="AR301" s="11">
        <v>0</v>
      </c>
      <c r="AS301" s="11">
        <v>0</v>
      </c>
      <c r="AT301" s="11">
        <v>0</v>
      </c>
      <c r="AU301" s="11">
        <v>0</v>
      </c>
      <c r="AV301" s="11" t="s">
        <v>57</v>
      </c>
    </row>
    <row r="302" spans="1:50" customFormat="1" ht="14.5" hidden="1">
      <c r="A302" s="6">
        <v>301</v>
      </c>
      <c r="B302" s="7" t="s">
        <v>666</v>
      </c>
      <c r="C302" s="7" t="s">
        <v>49</v>
      </c>
      <c r="D302" s="6">
        <v>15068</v>
      </c>
      <c r="E302" s="6" t="s">
        <v>49</v>
      </c>
      <c r="F302" s="8"/>
      <c r="G302" s="8"/>
      <c r="H302" s="7" t="s">
        <v>49</v>
      </c>
      <c r="I302" s="7"/>
      <c r="J302" s="6" t="s">
        <v>49</v>
      </c>
      <c r="K302" s="9" t="s">
        <v>49</v>
      </c>
      <c r="L302" s="9" t="s">
        <v>49</v>
      </c>
      <c r="M302" s="8"/>
      <c r="N302" s="10">
        <v>43346</v>
      </c>
      <c r="O302" s="10">
        <v>43831</v>
      </c>
      <c r="P302" s="9" t="s">
        <v>49</v>
      </c>
      <c r="Q302" s="9" t="s">
        <v>49</v>
      </c>
      <c r="R302" s="8"/>
      <c r="S302" s="8"/>
      <c r="T302" s="8"/>
      <c r="U302" s="8"/>
      <c r="V302" s="9" t="s">
        <v>49</v>
      </c>
      <c r="W302" s="9" t="s">
        <v>49</v>
      </c>
      <c r="X302" s="8"/>
      <c r="Y302" s="8"/>
      <c r="Z302" s="8"/>
      <c r="AA302" s="8"/>
      <c r="AB302" s="8"/>
      <c r="AC302" s="8"/>
      <c r="AD302" s="8"/>
      <c r="AE302" s="8"/>
      <c r="AF302" s="8"/>
      <c r="AG302" s="8"/>
      <c r="AH302" s="7" t="s">
        <v>57</v>
      </c>
      <c r="AI302" s="6" t="s">
        <v>71</v>
      </c>
      <c r="AJ302" s="6" t="s">
        <v>49</v>
      </c>
      <c r="AK302" s="6" t="s">
        <v>49</v>
      </c>
      <c r="AL302" s="9" t="s">
        <v>154</v>
      </c>
      <c r="AM302" s="9" t="s">
        <v>49</v>
      </c>
      <c r="AN302" s="6" t="s">
        <v>82</v>
      </c>
      <c r="AO302" s="9" t="s">
        <v>49</v>
      </c>
      <c r="AP302" s="11">
        <v>7248.8885899999996</v>
      </c>
      <c r="AQ302" s="11">
        <v>0</v>
      </c>
      <c r="AR302" s="11">
        <v>0</v>
      </c>
      <c r="AS302" s="11">
        <v>41681.266040000002</v>
      </c>
      <c r="AT302" s="11">
        <v>0</v>
      </c>
      <c r="AU302" s="11">
        <v>0</v>
      </c>
      <c r="AV302" s="11">
        <v>0</v>
      </c>
    </row>
    <row r="303" spans="1:50" customFormat="1" ht="14.5" hidden="1">
      <c r="A303" s="6">
        <v>302</v>
      </c>
      <c r="B303" s="7" t="s">
        <v>666</v>
      </c>
      <c r="C303" s="7" t="s">
        <v>49</v>
      </c>
      <c r="D303" s="6">
        <v>15068</v>
      </c>
      <c r="E303" s="6" t="s">
        <v>667</v>
      </c>
      <c r="F303" s="12"/>
      <c r="G303" s="8"/>
      <c r="H303" s="7" t="s">
        <v>49</v>
      </c>
      <c r="I303" s="7"/>
      <c r="J303" s="6" t="s">
        <v>49</v>
      </c>
      <c r="K303" s="9" t="s">
        <v>49</v>
      </c>
      <c r="L303" s="9" t="s">
        <v>49</v>
      </c>
      <c r="M303" s="8"/>
      <c r="N303" s="10">
        <v>43346</v>
      </c>
      <c r="O303" s="10">
        <v>43831</v>
      </c>
      <c r="P303" s="9" t="s">
        <v>49</v>
      </c>
      <c r="Q303" s="9" t="s">
        <v>49</v>
      </c>
      <c r="R303" s="8"/>
      <c r="S303" s="8"/>
      <c r="T303" s="8"/>
      <c r="U303" s="8"/>
      <c r="V303" s="9" t="s">
        <v>49</v>
      </c>
      <c r="W303" s="9" t="s">
        <v>49</v>
      </c>
      <c r="X303" s="8"/>
      <c r="Y303" s="8"/>
      <c r="Z303" s="8"/>
      <c r="AA303" s="12"/>
      <c r="AB303" s="12"/>
      <c r="AC303" s="12"/>
      <c r="AD303" s="12"/>
      <c r="AE303" s="8"/>
      <c r="AF303" s="12"/>
      <c r="AG303" s="12"/>
      <c r="AH303" s="7" t="s">
        <v>51</v>
      </c>
      <c r="AI303" s="6" t="s">
        <v>49</v>
      </c>
      <c r="AJ303" s="6" t="s">
        <v>49</v>
      </c>
      <c r="AK303" s="6" t="s">
        <v>49</v>
      </c>
      <c r="AL303" s="9" t="s">
        <v>49</v>
      </c>
      <c r="AM303" s="9" t="s">
        <v>154</v>
      </c>
      <c r="AN303" s="6" t="s">
        <v>49</v>
      </c>
      <c r="AO303" s="9" t="s">
        <v>154</v>
      </c>
      <c r="AP303" s="11">
        <v>0</v>
      </c>
      <c r="AQ303" s="11">
        <v>0</v>
      </c>
      <c r="AR303" s="11">
        <v>0</v>
      </c>
      <c r="AS303" s="11">
        <v>0</v>
      </c>
      <c r="AT303" s="11">
        <v>0</v>
      </c>
      <c r="AU303" s="11">
        <v>0</v>
      </c>
      <c r="AV303" s="11" t="s">
        <v>51</v>
      </c>
    </row>
    <row r="304" spans="1:50" customFormat="1" ht="14.5" hidden="1">
      <c r="A304" s="6">
        <v>303</v>
      </c>
      <c r="B304" s="7" t="s">
        <v>668</v>
      </c>
      <c r="C304" s="7" t="s">
        <v>49</v>
      </c>
      <c r="D304" s="6">
        <v>15644</v>
      </c>
      <c r="E304" s="6" t="s">
        <v>49</v>
      </c>
      <c r="F304" s="8"/>
      <c r="G304" s="8"/>
      <c r="H304" s="7" t="s">
        <v>49</v>
      </c>
      <c r="I304" s="7"/>
      <c r="J304" s="6" t="s">
        <v>49</v>
      </c>
      <c r="K304" s="9" t="s">
        <v>49</v>
      </c>
      <c r="L304" s="9" t="s">
        <v>49</v>
      </c>
      <c r="M304" s="8"/>
      <c r="N304" s="12"/>
      <c r="O304" s="12"/>
      <c r="P304" s="9" t="s">
        <v>49</v>
      </c>
      <c r="Q304" s="9" t="s">
        <v>49</v>
      </c>
      <c r="R304" s="8"/>
      <c r="S304" s="8"/>
      <c r="T304" s="8"/>
      <c r="U304" s="8"/>
      <c r="V304" s="9" t="s">
        <v>49</v>
      </c>
      <c r="W304" s="9" t="s">
        <v>49</v>
      </c>
      <c r="X304" s="8"/>
      <c r="Y304" s="8"/>
      <c r="Z304" s="8"/>
      <c r="AA304" s="8"/>
      <c r="AB304" s="8"/>
      <c r="AC304" s="8"/>
      <c r="AD304" s="8"/>
      <c r="AE304" s="8"/>
      <c r="AF304" s="8"/>
      <c r="AG304" s="8"/>
      <c r="AH304" s="7" t="s">
        <v>79</v>
      </c>
      <c r="AI304" s="6" t="s">
        <v>110</v>
      </c>
      <c r="AJ304" s="6" t="s">
        <v>49</v>
      </c>
      <c r="AK304" s="6" t="s">
        <v>49</v>
      </c>
      <c r="AL304" s="9" t="s">
        <v>111</v>
      </c>
      <c r="AM304" s="9" t="s">
        <v>49</v>
      </c>
      <c r="AN304" s="6" t="s">
        <v>82</v>
      </c>
      <c r="AO304" s="9" t="s">
        <v>49</v>
      </c>
      <c r="AP304" s="11">
        <v>7248.8885899999996</v>
      </c>
      <c r="AQ304" s="11">
        <v>0</v>
      </c>
      <c r="AR304" s="11">
        <v>0</v>
      </c>
      <c r="AS304" s="11">
        <v>41681.266040000002</v>
      </c>
      <c r="AT304" s="11">
        <v>0</v>
      </c>
      <c r="AU304" s="11">
        <v>0</v>
      </c>
      <c r="AV304" s="11">
        <v>0</v>
      </c>
    </row>
    <row r="305" spans="1:49" customFormat="1" ht="14.5" hidden="1">
      <c r="A305" s="6">
        <v>304</v>
      </c>
      <c r="B305" s="7" t="s">
        <v>669</v>
      </c>
      <c r="C305" s="7" t="s">
        <v>49</v>
      </c>
      <c r="D305" s="6">
        <v>15287</v>
      </c>
      <c r="E305" s="6" t="s">
        <v>49</v>
      </c>
      <c r="F305" s="8"/>
      <c r="G305" s="8"/>
      <c r="H305" s="7" t="s">
        <v>49</v>
      </c>
      <c r="I305" s="7"/>
      <c r="J305" s="6" t="s">
        <v>49</v>
      </c>
      <c r="K305" s="9" t="s">
        <v>49</v>
      </c>
      <c r="L305" s="9" t="s">
        <v>49</v>
      </c>
      <c r="M305" s="8"/>
      <c r="N305" s="10">
        <v>43312</v>
      </c>
      <c r="O305" s="10">
        <v>43831</v>
      </c>
      <c r="P305" s="9" t="s">
        <v>49</v>
      </c>
      <c r="Q305" s="9" t="s">
        <v>49</v>
      </c>
      <c r="R305" s="8"/>
      <c r="S305" s="8"/>
      <c r="T305" s="8"/>
      <c r="U305" s="8"/>
      <c r="V305" s="9" t="s">
        <v>49</v>
      </c>
      <c r="W305" s="9" t="s">
        <v>49</v>
      </c>
      <c r="X305" s="8"/>
      <c r="Y305" s="8"/>
      <c r="Z305" s="8"/>
      <c r="AA305" s="8"/>
      <c r="AB305" s="8"/>
      <c r="AC305" s="8"/>
      <c r="AD305" s="8"/>
      <c r="AE305" s="8"/>
      <c r="AF305" s="8"/>
      <c r="AG305" s="8"/>
      <c r="AH305" s="7" t="s">
        <v>57</v>
      </c>
      <c r="AI305" s="6" t="s">
        <v>71</v>
      </c>
      <c r="AJ305" s="6" t="s">
        <v>49</v>
      </c>
      <c r="AK305" s="6" t="s">
        <v>49</v>
      </c>
      <c r="AL305" s="9" t="s">
        <v>119</v>
      </c>
      <c r="AM305" s="9" t="s">
        <v>49</v>
      </c>
      <c r="AN305" s="6" t="s">
        <v>96</v>
      </c>
      <c r="AO305" s="9" t="s">
        <v>49</v>
      </c>
      <c r="AP305" s="11">
        <v>7248.8885899999996</v>
      </c>
      <c r="AQ305" s="11">
        <v>0</v>
      </c>
      <c r="AR305" s="11">
        <v>0</v>
      </c>
      <c r="AS305" s="11">
        <v>41681.266040000002</v>
      </c>
      <c r="AT305" s="11">
        <v>0</v>
      </c>
      <c r="AU305" s="11">
        <v>0</v>
      </c>
      <c r="AV305" s="11">
        <v>0</v>
      </c>
    </row>
    <row r="306" spans="1:49" customFormat="1" ht="14.5" hidden="1">
      <c r="A306" s="6">
        <v>305</v>
      </c>
      <c r="B306" s="7" t="s">
        <v>670</v>
      </c>
      <c r="C306" s="7" t="s">
        <v>49</v>
      </c>
      <c r="D306" s="6">
        <v>15457</v>
      </c>
      <c r="E306" s="6" t="s">
        <v>49</v>
      </c>
      <c r="F306" s="8"/>
      <c r="G306" s="8"/>
      <c r="H306" s="7" t="s">
        <v>49</v>
      </c>
      <c r="I306" s="7"/>
      <c r="J306" s="6" t="s">
        <v>49</v>
      </c>
      <c r="K306" s="9" t="s">
        <v>49</v>
      </c>
      <c r="L306" s="9" t="s">
        <v>49</v>
      </c>
      <c r="M306" s="8"/>
      <c r="N306" s="12"/>
      <c r="O306" s="10">
        <v>43769</v>
      </c>
      <c r="P306" s="9" t="s">
        <v>49</v>
      </c>
      <c r="Q306" s="9" t="s">
        <v>49</v>
      </c>
      <c r="R306" s="8"/>
      <c r="S306" s="8"/>
      <c r="T306" s="8"/>
      <c r="U306" s="8"/>
      <c r="V306" s="9" t="s">
        <v>49</v>
      </c>
      <c r="W306" s="9" t="s">
        <v>49</v>
      </c>
      <c r="X306" s="8"/>
      <c r="Y306" s="8"/>
      <c r="Z306" s="8"/>
      <c r="AA306" s="8"/>
      <c r="AB306" s="8"/>
      <c r="AC306" s="8"/>
      <c r="AD306" s="8"/>
      <c r="AE306" s="8"/>
      <c r="AF306" s="8"/>
      <c r="AG306" s="8"/>
      <c r="AH306" s="7" t="s">
        <v>57</v>
      </c>
      <c r="AI306" s="6" t="s">
        <v>71</v>
      </c>
      <c r="AJ306" s="6" t="s">
        <v>49</v>
      </c>
      <c r="AK306" s="6" t="s">
        <v>49</v>
      </c>
      <c r="AL306" s="9" t="s">
        <v>119</v>
      </c>
      <c r="AM306" s="9" t="s">
        <v>49</v>
      </c>
      <c r="AN306" s="6" t="s">
        <v>85</v>
      </c>
      <c r="AO306" s="9" t="s">
        <v>49</v>
      </c>
      <c r="AP306" s="11">
        <v>7248.8885899999996</v>
      </c>
      <c r="AQ306" s="11">
        <v>0</v>
      </c>
      <c r="AR306" s="11">
        <v>0</v>
      </c>
      <c r="AS306" s="11">
        <v>41681.266040000002</v>
      </c>
      <c r="AT306" s="11">
        <v>0</v>
      </c>
      <c r="AU306" s="11">
        <v>0</v>
      </c>
      <c r="AV306" s="11">
        <v>0</v>
      </c>
    </row>
    <row r="307" spans="1:49" customFormat="1" ht="14.5" hidden="1">
      <c r="A307" s="6">
        <v>306</v>
      </c>
      <c r="B307" s="7" t="s">
        <v>670</v>
      </c>
      <c r="C307" s="7" t="s">
        <v>49</v>
      </c>
      <c r="D307" s="6">
        <v>15457</v>
      </c>
      <c r="E307" s="6" t="s">
        <v>671</v>
      </c>
      <c r="F307" s="12"/>
      <c r="G307" s="8"/>
      <c r="H307" s="7" t="s">
        <v>49</v>
      </c>
      <c r="I307" s="7"/>
      <c r="J307" s="6" t="s">
        <v>49</v>
      </c>
      <c r="K307" s="9" t="s">
        <v>49</v>
      </c>
      <c r="L307" s="9" t="s">
        <v>49</v>
      </c>
      <c r="M307" s="8"/>
      <c r="N307" s="12"/>
      <c r="O307" s="10">
        <v>43769</v>
      </c>
      <c r="P307" s="9" t="s">
        <v>49</v>
      </c>
      <c r="Q307" s="9" t="s">
        <v>49</v>
      </c>
      <c r="R307" s="8"/>
      <c r="S307" s="8"/>
      <c r="T307" s="8"/>
      <c r="U307" s="8"/>
      <c r="V307" s="9" t="s">
        <v>49</v>
      </c>
      <c r="W307" s="9" t="s">
        <v>108</v>
      </c>
      <c r="X307" s="8"/>
      <c r="Y307" s="8"/>
      <c r="Z307" s="8"/>
      <c r="AA307" s="8"/>
      <c r="AB307" s="8"/>
      <c r="AC307" s="8"/>
      <c r="AD307" s="8"/>
      <c r="AE307" s="8"/>
      <c r="AF307" s="8"/>
      <c r="AG307" s="8"/>
      <c r="AH307" s="7" t="s">
        <v>57</v>
      </c>
      <c r="AI307" s="6" t="s">
        <v>49</v>
      </c>
      <c r="AJ307" s="6" t="s">
        <v>49</v>
      </c>
      <c r="AK307" s="6" t="s">
        <v>49</v>
      </c>
      <c r="AL307" s="9" t="s">
        <v>49</v>
      </c>
      <c r="AM307" s="9" t="s">
        <v>122</v>
      </c>
      <c r="AN307" s="6" t="s">
        <v>49</v>
      </c>
      <c r="AO307" s="9" t="s">
        <v>122</v>
      </c>
      <c r="AP307" s="11">
        <v>99.119259999999997</v>
      </c>
      <c r="AQ307" s="11">
        <v>99119.26</v>
      </c>
      <c r="AR307" s="11">
        <v>99119.25916666667</v>
      </c>
      <c r="AS307" s="11">
        <v>148.13746</v>
      </c>
      <c r="AT307" s="11">
        <v>99.119259999999997</v>
      </c>
      <c r="AU307" s="11">
        <v>0</v>
      </c>
      <c r="AV307" s="11" t="s">
        <v>57</v>
      </c>
    </row>
    <row r="308" spans="1:49" customFormat="1" ht="14.5" hidden="1">
      <c r="A308" s="6">
        <v>307</v>
      </c>
      <c r="B308" s="7" t="s">
        <v>672</v>
      </c>
      <c r="C308" s="7" t="s">
        <v>569</v>
      </c>
      <c r="D308" s="6">
        <v>16019</v>
      </c>
      <c r="E308" s="6" t="s">
        <v>49</v>
      </c>
      <c r="F308" s="8"/>
      <c r="G308" s="8"/>
      <c r="H308" s="7" t="s">
        <v>49</v>
      </c>
      <c r="I308" s="7"/>
      <c r="J308" s="6" t="s">
        <v>49</v>
      </c>
      <c r="K308" s="9" t="s">
        <v>49</v>
      </c>
      <c r="L308" s="9" t="s">
        <v>49</v>
      </c>
      <c r="M308" s="8"/>
      <c r="N308" s="12"/>
      <c r="O308" s="10">
        <v>43616</v>
      </c>
      <c r="P308" s="9" t="s">
        <v>49</v>
      </c>
      <c r="Q308" s="9" t="s">
        <v>49</v>
      </c>
      <c r="R308" s="8"/>
      <c r="S308" s="8"/>
      <c r="T308" s="8"/>
      <c r="U308" s="8"/>
      <c r="V308" s="9" t="s">
        <v>49</v>
      </c>
      <c r="W308" s="9" t="s">
        <v>49</v>
      </c>
      <c r="X308" s="8"/>
      <c r="Y308" s="8"/>
      <c r="Z308" s="8"/>
      <c r="AA308" s="8"/>
      <c r="AB308" s="8"/>
      <c r="AC308" s="8"/>
      <c r="AD308" s="8"/>
      <c r="AE308" s="8"/>
      <c r="AF308" s="8"/>
      <c r="AG308" s="8"/>
      <c r="AH308" s="7" t="s">
        <v>57</v>
      </c>
      <c r="AI308" s="6" t="s">
        <v>71</v>
      </c>
      <c r="AJ308" s="6" t="s">
        <v>49</v>
      </c>
      <c r="AK308" s="6" t="s">
        <v>49</v>
      </c>
      <c r="AL308" s="9" t="s">
        <v>119</v>
      </c>
      <c r="AM308" s="9" t="s">
        <v>49</v>
      </c>
      <c r="AN308" s="6" t="s">
        <v>85</v>
      </c>
      <c r="AO308" s="9" t="s">
        <v>49</v>
      </c>
      <c r="AP308" s="11">
        <v>7248.8885899999996</v>
      </c>
      <c r="AQ308" s="11">
        <v>0</v>
      </c>
      <c r="AR308" s="11">
        <v>0</v>
      </c>
      <c r="AS308" s="11">
        <v>41681.266040000002</v>
      </c>
      <c r="AT308" s="11">
        <v>0</v>
      </c>
      <c r="AU308" s="11">
        <v>0</v>
      </c>
      <c r="AV308" s="11">
        <v>0</v>
      </c>
    </row>
    <row r="309" spans="1:49" customFormat="1" ht="14.5" hidden="1">
      <c r="A309" s="6">
        <v>308</v>
      </c>
      <c r="B309" s="7" t="s">
        <v>672</v>
      </c>
      <c r="C309" s="7" t="s">
        <v>569</v>
      </c>
      <c r="D309" s="6">
        <v>16019</v>
      </c>
      <c r="E309" s="6" t="s">
        <v>673</v>
      </c>
      <c r="F309" s="6">
        <v>82736</v>
      </c>
      <c r="G309" s="8"/>
      <c r="H309" s="7" t="s">
        <v>70</v>
      </c>
      <c r="I309" s="7"/>
      <c r="J309" s="6" t="s">
        <v>49</v>
      </c>
      <c r="K309" s="9" t="s">
        <v>49</v>
      </c>
      <c r="L309" s="9" t="s">
        <v>73</v>
      </c>
      <c r="M309" s="28">
        <v>124</v>
      </c>
      <c r="N309" s="8"/>
      <c r="O309" s="10">
        <v>43616</v>
      </c>
      <c r="P309" s="9" t="s">
        <v>674</v>
      </c>
      <c r="Q309" s="9" t="s">
        <v>674</v>
      </c>
      <c r="R309" s="8"/>
      <c r="S309" s="8"/>
      <c r="T309" s="8"/>
      <c r="U309" s="8"/>
      <c r="V309" s="9" t="s">
        <v>49</v>
      </c>
      <c r="W309" s="9" t="s">
        <v>108</v>
      </c>
      <c r="X309" s="12"/>
      <c r="Y309" s="8"/>
      <c r="Z309" s="6">
        <v>0.124</v>
      </c>
      <c r="AA309" s="8"/>
      <c r="AB309" s="6">
        <v>0.124</v>
      </c>
      <c r="AC309" s="8"/>
      <c r="AD309" s="6">
        <v>0.124</v>
      </c>
      <c r="AE309" s="6">
        <v>9.9000000000000005E-2</v>
      </c>
      <c r="AF309" s="8"/>
      <c r="AG309" s="6">
        <v>9.9000000000000005E-2</v>
      </c>
      <c r="AH309" s="7" t="s">
        <v>57</v>
      </c>
      <c r="AI309" s="6" t="s">
        <v>49</v>
      </c>
      <c r="AJ309" s="6" t="s">
        <v>49</v>
      </c>
      <c r="AK309" s="6" t="s">
        <v>49</v>
      </c>
      <c r="AL309" s="9" t="s">
        <v>49</v>
      </c>
      <c r="AM309" s="9" t="s">
        <v>122</v>
      </c>
      <c r="AN309" s="6" t="s">
        <v>49</v>
      </c>
      <c r="AO309" s="9" t="s">
        <v>122</v>
      </c>
      <c r="AP309" s="11">
        <v>129.08544000000001</v>
      </c>
      <c r="AQ309" s="11">
        <v>169217.62</v>
      </c>
      <c r="AR309" s="11">
        <v>169217.61249999999</v>
      </c>
      <c r="AS309" s="11">
        <v>208.76257999999999</v>
      </c>
      <c r="AT309" s="11">
        <v>169.21761999999998</v>
      </c>
      <c r="AU309" s="11">
        <v>625</v>
      </c>
      <c r="AV309" s="11" t="s">
        <v>57</v>
      </c>
      <c r="AW309" t="s">
        <v>93</v>
      </c>
    </row>
    <row r="310" spans="1:49" customFormat="1" ht="14.5" hidden="1">
      <c r="A310" s="6">
        <v>309</v>
      </c>
      <c r="B310" s="7" t="s">
        <v>675</v>
      </c>
      <c r="C310" s="7" t="s">
        <v>49</v>
      </c>
      <c r="D310" s="6">
        <v>16018</v>
      </c>
      <c r="E310" s="6" t="s">
        <v>49</v>
      </c>
      <c r="F310" s="8"/>
      <c r="G310" s="8"/>
      <c r="H310" s="7" t="s">
        <v>49</v>
      </c>
      <c r="I310" s="7"/>
      <c r="J310" s="6" t="s">
        <v>49</v>
      </c>
      <c r="K310" s="9" t="s">
        <v>49</v>
      </c>
      <c r="L310" s="9" t="s">
        <v>49</v>
      </c>
      <c r="M310" s="8"/>
      <c r="N310" s="12"/>
      <c r="O310" s="10">
        <v>43724</v>
      </c>
      <c r="P310" s="9" t="s">
        <v>49</v>
      </c>
      <c r="Q310" s="9" t="s">
        <v>49</v>
      </c>
      <c r="R310" s="8"/>
      <c r="S310" s="8"/>
      <c r="T310" s="8"/>
      <c r="U310" s="8"/>
      <c r="V310" s="9" t="s">
        <v>49</v>
      </c>
      <c r="W310" s="9" t="s">
        <v>49</v>
      </c>
      <c r="X310" s="8"/>
      <c r="Y310" s="8"/>
      <c r="Z310" s="8"/>
      <c r="AA310" s="8"/>
      <c r="AB310" s="8"/>
      <c r="AC310" s="8"/>
      <c r="AD310" s="8"/>
      <c r="AE310" s="8"/>
      <c r="AF310" s="8"/>
      <c r="AG310" s="8"/>
      <c r="AH310" s="7" t="s">
        <v>57</v>
      </c>
      <c r="AI310" s="6" t="s">
        <v>71</v>
      </c>
      <c r="AJ310" s="6" t="s">
        <v>49</v>
      </c>
      <c r="AK310" s="6" t="s">
        <v>49</v>
      </c>
      <c r="AL310" s="9" t="s">
        <v>119</v>
      </c>
      <c r="AM310" s="9" t="s">
        <v>49</v>
      </c>
      <c r="AN310" s="6" t="s">
        <v>85</v>
      </c>
      <c r="AO310" s="9" t="s">
        <v>49</v>
      </c>
      <c r="AP310" s="11">
        <v>7248.8885899999996</v>
      </c>
      <c r="AQ310" s="11">
        <v>0</v>
      </c>
      <c r="AR310" s="11">
        <v>0</v>
      </c>
      <c r="AS310" s="11">
        <v>41681.266040000002</v>
      </c>
      <c r="AT310" s="11">
        <v>0</v>
      </c>
      <c r="AU310" s="11">
        <v>0</v>
      </c>
      <c r="AV310" s="11">
        <v>0</v>
      </c>
    </row>
    <row r="311" spans="1:49" customFormat="1" ht="14.5" hidden="1">
      <c r="A311" s="6">
        <v>310</v>
      </c>
      <c r="B311" s="7" t="s">
        <v>675</v>
      </c>
      <c r="C311" s="7" t="s">
        <v>49</v>
      </c>
      <c r="D311" s="6">
        <v>16018</v>
      </c>
      <c r="E311" s="6"/>
      <c r="F311" s="6">
        <v>82740</v>
      </c>
      <c r="G311" s="8"/>
      <c r="H311" s="7" t="s">
        <v>49</v>
      </c>
      <c r="I311" s="7"/>
      <c r="J311" s="6" t="s">
        <v>49</v>
      </c>
      <c r="K311" s="9" t="s">
        <v>49</v>
      </c>
      <c r="L311" s="9" t="s">
        <v>73</v>
      </c>
      <c r="M311" s="8"/>
      <c r="N311" s="8"/>
      <c r="O311" s="10">
        <v>43724</v>
      </c>
      <c r="P311" s="9" t="s">
        <v>676</v>
      </c>
      <c r="Q311" s="9" t="s">
        <v>677</v>
      </c>
      <c r="R311" s="8"/>
      <c r="S311" s="8"/>
      <c r="T311" s="8"/>
      <c r="U311" s="8"/>
      <c r="V311" s="9" t="s">
        <v>49</v>
      </c>
      <c r="W311" s="9" t="s">
        <v>49</v>
      </c>
      <c r="X311" s="8"/>
      <c r="Y311" s="8"/>
      <c r="Z311" s="8"/>
      <c r="AA311" s="8"/>
      <c r="AB311" s="8"/>
      <c r="AC311" s="8"/>
      <c r="AD311" s="8"/>
      <c r="AE311" s="8"/>
      <c r="AF311" s="8"/>
      <c r="AG311" s="8"/>
      <c r="AH311" s="7" t="s">
        <v>57</v>
      </c>
      <c r="AI311" s="6" t="s">
        <v>49</v>
      </c>
      <c r="AJ311" s="6" t="s">
        <v>49</v>
      </c>
      <c r="AK311" s="6" t="s">
        <v>49</v>
      </c>
      <c r="AL311" s="9" t="s">
        <v>49</v>
      </c>
      <c r="AM311" s="9" t="s">
        <v>122</v>
      </c>
      <c r="AN311" s="6" t="s">
        <v>49</v>
      </c>
      <c r="AO311" s="9" t="s">
        <v>122</v>
      </c>
      <c r="AP311" s="11">
        <v>0</v>
      </c>
      <c r="AQ311" s="11">
        <v>0</v>
      </c>
      <c r="AR311" s="11">
        <v>0</v>
      </c>
      <c r="AS311" s="11">
        <v>0</v>
      </c>
      <c r="AT311" s="11">
        <v>0</v>
      </c>
      <c r="AU311" s="11">
        <v>0</v>
      </c>
      <c r="AV311" s="11">
        <v>0</v>
      </c>
    </row>
    <row r="312" spans="1:49" customFormat="1" ht="14.5" hidden="1">
      <c r="A312" s="6">
        <v>311</v>
      </c>
      <c r="B312" s="7" t="s">
        <v>678</v>
      </c>
      <c r="C312" s="7" t="s">
        <v>569</v>
      </c>
      <c r="D312" s="6">
        <v>16005</v>
      </c>
      <c r="E312" s="6" t="s">
        <v>49</v>
      </c>
      <c r="F312" s="8"/>
      <c r="G312" s="8"/>
      <c r="H312" s="7" t="s">
        <v>49</v>
      </c>
      <c r="I312" s="7"/>
      <c r="J312" s="6" t="s">
        <v>49</v>
      </c>
      <c r="K312" s="9" t="s">
        <v>49</v>
      </c>
      <c r="L312" s="9" t="s">
        <v>49</v>
      </c>
      <c r="M312" s="8"/>
      <c r="N312" s="12"/>
      <c r="O312" s="10">
        <v>43735</v>
      </c>
      <c r="P312" s="9" t="s">
        <v>49</v>
      </c>
      <c r="Q312" s="9" t="s">
        <v>49</v>
      </c>
      <c r="R312" s="8"/>
      <c r="S312" s="8"/>
      <c r="T312" s="8"/>
      <c r="U312" s="8"/>
      <c r="V312" s="9" t="s">
        <v>49</v>
      </c>
      <c r="W312" s="9" t="s">
        <v>49</v>
      </c>
      <c r="X312" s="8"/>
      <c r="Y312" s="8"/>
      <c r="Z312" s="8"/>
      <c r="AA312" s="8"/>
      <c r="AB312" s="8"/>
      <c r="AC312" s="8"/>
      <c r="AD312" s="8"/>
      <c r="AE312" s="8"/>
      <c r="AF312" s="8"/>
      <c r="AG312" s="8"/>
      <c r="AH312" s="7" t="s">
        <v>57</v>
      </c>
      <c r="AI312" s="6" t="s">
        <v>71</v>
      </c>
      <c r="AJ312" s="6" t="s">
        <v>49</v>
      </c>
      <c r="AK312" s="6" t="s">
        <v>49</v>
      </c>
      <c r="AL312" s="9" t="s">
        <v>119</v>
      </c>
      <c r="AM312" s="9" t="s">
        <v>49</v>
      </c>
      <c r="AN312" s="6" t="s">
        <v>85</v>
      </c>
      <c r="AO312" s="9" t="s">
        <v>49</v>
      </c>
      <c r="AP312" s="11">
        <v>7248.8885899999996</v>
      </c>
      <c r="AQ312" s="11">
        <v>0</v>
      </c>
      <c r="AR312" s="11">
        <v>0</v>
      </c>
      <c r="AS312" s="11">
        <v>41681.266040000002</v>
      </c>
      <c r="AT312" s="11">
        <v>0</v>
      </c>
      <c r="AU312" s="11">
        <v>0</v>
      </c>
      <c r="AV312" s="11">
        <v>0</v>
      </c>
    </row>
    <row r="313" spans="1:49" customFormat="1" ht="14.5" hidden="1">
      <c r="A313" s="6">
        <v>312</v>
      </c>
      <c r="B313" s="7" t="s">
        <v>678</v>
      </c>
      <c r="C313" s="7" t="s">
        <v>569</v>
      </c>
      <c r="D313" s="6">
        <v>16005</v>
      </c>
      <c r="E313" s="6" t="s">
        <v>679</v>
      </c>
      <c r="F313" s="6">
        <v>82869</v>
      </c>
      <c r="G313" s="8"/>
      <c r="H313" s="7" t="s">
        <v>88</v>
      </c>
      <c r="I313" s="7"/>
      <c r="J313" s="6" t="s">
        <v>49</v>
      </c>
      <c r="K313" s="9" t="s">
        <v>49</v>
      </c>
      <c r="L313" s="9" t="s">
        <v>49</v>
      </c>
      <c r="M313" s="8"/>
      <c r="N313" s="12"/>
      <c r="O313" s="10">
        <v>43735</v>
      </c>
      <c r="P313" s="9" t="s">
        <v>49</v>
      </c>
      <c r="Q313" s="9" t="s">
        <v>49</v>
      </c>
      <c r="R313" s="8"/>
      <c r="S313" s="8"/>
      <c r="T313" s="8"/>
      <c r="U313" s="8"/>
      <c r="V313" s="9" t="s">
        <v>49</v>
      </c>
      <c r="W313" s="9" t="s">
        <v>49</v>
      </c>
      <c r="X313" s="8"/>
      <c r="Y313" s="8"/>
      <c r="Z313" s="8"/>
      <c r="AA313" s="6">
        <v>0.216</v>
      </c>
      <c r="AB313" s="6">
        <v>0.216</v>
      </c>
      <c r="AC313" s="8"/>
      <c r="AD313" s="6">
        <v>0.216</v>
      </c>
      <c r="AE313" s="8"/>
      <c r="AF313" s="6">
        <v>0.108</v>
      </c>
      <c r="AG313" s="6">
        <v>0.108</v>
      </c>
      <c r="AH313" s="7" t="s">
        <v>57</v>
      </c>
      <c r="AI313" s="6" t="s">
        <v>49</v>
      </c>
      <c r="AJ313" s="6" t="s">
        <v>49</v>
      </c>
      <c r="AK313" s="6" t="s">
        <v>49</v>
      </c>
      <c r="AL313" s="9" t="s">
        <v>49</v>
      </c>
      <c r="AM313" s="9" t="s">
        <v>122</v>
      </c>
      <c r="AN313" s="6" t="s">
        <v>49</v>
      </c>
      <c r="AO313" s="9" t="s">
        <v>122</v>
      </c>
      <c r="AP313" s="11">
        <v>0</v>
      </c>
      <c r="AQ313" s="11">
        <v>5000</v>
      </c>
      <c r="AR313" s="11">
        <v>5000</v>
      </c>
      <c r="AS313" s="11">
        <v>0</v>
      </c>
      <c r="AT313" s="11">
        <v>5</v>
      </c>
      <c r="AU313" s="11">
        <v>347</v>
      </c>
      <c r="AV313" s="11" t="s">
        <v>51</v>
      </c>
      <c r="AW313" t="s">
        <v>93</v>
      </c>
    </row>
    <row r="314" spans="1:49" customFormat="1" ht="14.5" hidden="1">
      <c r="A314" s="6">
        <v>313</v>
      </c>
      <c r="B314" s="7" t="s">
        <v>680</v>
      </c>
      <c r="C314" s="7" t="s">
        <v>49</v>
      </c>
      <c r="D314" s="6">
        <v>16008</v>
      </c>
      <c r="E314" s="6" t="s">
        <v>49</v>
      </c>
      <c r="F314" s="12"/>
      <c r="G314" s="8"/>
      <c r="H314" s="7" t="s">
        <v>49</v>
      </c>
      <c r="I314" s="7"/>
      <c r="J314" s="6" t="s">
        <v>49</v>
      </c>
      <c r="K314" s="9" t="s">
        <v>49</v>
      </c>
      <c r="L314" s="9" t="s">
        <v>49</v>
      </c>
      <c r="M314" s="12"/>
      <c r="N314" s="12"/>
      <c r="O314" s="10">
        <v>44165</v>
      </c>
      <c r="P314" s="9" t="s">
        <v>49</v>
      </c>
      <c r="Q314" s="9" t="s">
        <v>49</v>
      </c>
      <c r="R314" s="8"/>
      <c r="S314" s="8"/>
      <c r="T314" s="8"/>
      <c r="U314" s="8"/>
      <c r="V314" s="9" t="s">
        <v>49</v>
      </c>
      <c r="W314" s="9" t="s">
        <v>49</v>
      </c>
      <c r="X314" s="8"/>
      <c r="Y314" s="8"/>
      <c r="Z314" s="8"/>
      <c r="AA314" s="12"/>
      <c r="AB314" s="12"/>
      <c r="AC314" s="12"/>
      <c r="AD314" s="12"/>
      <c r="AE314" s="8"/>
      <c r="AF314" s="12"/>
      <c r="AG314" s="12"/>
      <c r="AH314" s="7" t="s">
        <v>57</v>
      </c>
      <c r="AI314" s="6" t="s">
        <v>71</v>
      </c>
      <c r="AJ314" s="6" t="s">
        <v>49</v>
      </c>
      <c r="AK314" s="6" t="s">
        <v>49</v>
      </c>
      <c r="AL314" s="9" t="s">
        <v>119</v>
      </c>
      <c r="AM314" s="9" t="s">
        <v>49</v>
      </c>
      <c r="AN314" s="6" t="s">
        <v>85</v>
      </c>
      <c r="AO314" s="9" t="s">
        <v>49</v>
      </c>
      <c r="AP314" s="11">
        <v>7248.8885899999996</v>
      </c>
      <c r="AQ314" s="11">
        <v>0</v>
      </c>
      <c r="AR314" s="11">
        <v>0</v>
      </c>
      <c r="AS314" s="11">
        <v>41681.266040000002</v>
      </c>
      <c r="AT314" s="11">
        <v>0</v>
      </c>
      <c r="AU314" s="11">
        <v>0</v>
      </c>
      <c r="AV314" s="11">
        <v>0</v>
      </c>
    </row>
    <row r="315" spans="1:49" customFormat="1" ht="14.5" hidden="1">
      <c r="A315" s="6">
        <v>314</v>
      </c>
      <c r="B315" s="7" t="s">
        <v>680</v>
      </c>
      <c r="C315" s="7" t="s">
        <v>49</v>
      </c>
      <c r="D315" s="6">
        <v>16008</v>
      </c>
      <c r="E315" s="6" t="s">
        <v>681</v>
      </c>
      <c r="F315" s="8"/>
      <c r="G315" s="8"/>
      <c r="H315" s="7" t="s">
        <v>49</v>
      </c>
      <c r="I315" s="7"/>
      <c r="J315" s="6" t="s">
        <v>49</v>
      </c>
      <c r="K315" s="9" t="s">
        <v>49</v>
      </c>
      <c r="L315" s="9" t="s">
        <v>49</v>
      </c>
      <c r="M315" s="8"/>
      <c r="N315" s="8"/>
      <c r="O315" s="10">
        <v>44165</v>
      </c>
      <c r="P315" s="9" t="s">
        <v>49</v>
      </c>
      <c r="Q315" s="9" t="s">
        <v>49</v>
      </c>
      <c r="R315" s="8"/>
      <c r="S315" s="8"/>
      <c r="T315" s="8"/>
      <c r="U315" s="8"/>
      <c r="V315" s="9" t="s">
        <v>49</v>
      </c>
      <c r="W315" s="9" t="s">
        <v>49</v>
      </c>
      <c r="X315" s="8"/>
      <c r="Y315" s="8"/>
      <c r="Z315" s="8"/>
      <c r="AA315" s="8"/>
      <c r="AB315" s="8"/>
      <c r="AC315" s="8"/>
      <c r="AD315" s="8"/>
      <c r="AE315" s="8"/>
      <c r="AF315" s="8"/>
      <c r="AG315" s="8"/>
      <c r="AH315" s="7" t="s">
        <v>57</v>
      </c>
      <c r="AI315" s="6" t="s">
        <v>49</v>
      </c>
      <c r="AJ315" s="6" t="s">
        <v>49</v>
      </c>
      <c r="AK315" s="6" t="s">
        <v>49</v>
      </c>
      <c r="AL315" s="9" t="s">
        <v>49</v>
      </c>
      <c r="AM315" s="9" t="s">
        <v>122</v>
      </c>
      <c r="AN315" s="6" t="s">
        <v>49</v>
      </c>
      <c r="AO315" s="9" t="s">
        <v>122</v>
      </c>
      <c r="AP315" s="11">
        <v>0</v>
      </c>
      <c r="AQ315" s="11">
        <v>0</v>
      </c>
      <c r="AR315" s="11">
        <v>0</v>
      </c>
      <c r="AS315" s="11">
        <v>0</v>
      </c>
      <c r="AT315" s="11">
        <v>0</v>
      </c>
      <c r="AU315" s="11">
        <v>0</v>
      </c>
      <c r="AV315" s="11" t="s">
        <v>57</v>
      </c>
    </row>
    <row r="316" spans="1:49" customFormat="1" ht="14.5" hidden="1">
      <c r="A316" s="6">
        <v>315</v>
      </c>
      <c r="B316" s="7" t="s">
        <v>682</v>
      </c>
      <c r="C316" s="7" t="s">
        <v>569</v>
      </c>
      <c r="D316" s="6">
        <v>16006</v>
      </c>
      <c r="E316" s="6" t="s">
        <v>683</v>
      </c>
      <c r="F316" s="6">
        <v>82779</v>
      </c>
      <c r="G316" s="8"/>
      <c r="H316" s="7" t="s">
        <v>70</v>
      </c>
      <c r="I316" s="7"/>
      <c r="J316" s="6" t="s">
        <v>75</v>
      </c>
      <c r="K316" s="9" t="s">
        <v>89</v>
      </c>
      <c r="L316" s="9" t="s">
        <v>73</v>
      </c>
      <c r="M316" s="28">
        <v>416</v>
      </c>
      <c r="N316" s="10">
        <v>43613</v>
      </c>
      <c r="O316" s="10">
        <v>43860</v>
      </c>
      <c r="P316" s="9" t="s">
        <v>676</v>
      </c>
      <c r="Q316" s="9" t="s">
        <v>676</v>
      </c>
      <c r="R316" s="8"/>
      <c r="S316" s="8"/>
      <c r="T316" s="8"/>
      <c r="U316" s="8"/>
      <c r="V316" s="9" t="s">
        <v>49</v>
      </c>
      <c r="W316" s="9" t="s">
        <v>49</v>
      </c>
      <c r="X316" s="6">
        <v>0.54500000000000004</v>
      </c>
      <c r="Y316" s="8"/>
      <c r="Z316" s="6">
        <v>0.61299999999999999</v>
      </c>
      <c r="AA316" s="8"/>
      <c r="AB316" s="6">
        <v>1.1579999999999999</v>
      </c>
      <c r="AC316" s="8"/>
      <c r="AD316" s="6">
        <v>1.1579999999999999</v>
      </c>
      <c r="AE316" s="6">
        <v>0.92700000000000005</v>
      </c>
      <c r="AF316" s="8"/>
      <c r="AG316" s="6">
        <v>0.92700000000000005</v>
      </c>
      <c r="AH316" s="7" t="s">
        <v>57</v>
      </c>
      <c r="AI316" s="6" t="s">
        <v>49</v>
      </c>
      <c r="AJ316" s="6" t="s">
        <v>49</v>
      </c>
      <c r="AK316" s="6" t="s">
        <v>49</v>
      </c>
      <c r="AL316" s="9" t="s">
        <v>49</v>
      </c>
      <c r="AM316" s="9" t="s">
        <v>122</v>
      </c>
      <c r="AN316" s="6" t="s">
        <v>49</v>
      </c>
      <c r="AO316" s="9" t="s">
        <v>122</v>
      </c>
      <c r="AP316" s="11">
        <v>79.315070000000006</v>
      </c>
      <c r="AQ316" s="11">
        <v>133497.59</v>
      </c>
      <c r="AR316" s="11">
        <v>133497.59166666667</v>
      </c>
      <c r="AS316" s="11">
        <v>237.52692000000002</v>
      </c>
      <c r="AT316" s="11">
        <v>641.49758999999995</v>
      </c>
      <c r="AU316" s="11">
        <v>1030</v>
      </c>
      <c r="AV316" s="11" t="s">
        <v>57</v>
      </c>
      <c r="AW316" t="s">
        <v>306</v>
      </c>
    </row>
    <row r="317" spans="1:49" customFormat="1" ht="14.5" hidden="1">
      <c r="A317" s="6">
        <v>316</v>
      </c>
      <c r="B317" s="7" t="s">
        <v>684</v>
      </c>
      <c r="C317" s="7" t="s">
        <v>569</v>
      </c>
      <c r="D317" s="6">
        <v>16006</v>
      </c>
      <c r="E317" s="6" t="s">
        <v>49</v>
      </c>
      <c r="F317" s="12"/>
      <c r="G317" s="8"/>
      <c r="H317" s="7" t="s">
        <v>49</v>
      </c>
      <c r="I317" s="7"/>
      <c r="J317" s="6" t="s">
        <v>49</v>
      </c>
      <c r="K317" s="9" t="s">
        <v>49</v>
      </c>
      <c r="L317" s="9" t="s">
        <v>49</v>
      </c>
      <c r="M317" s="8"/>
      <c r="N317" s="10">
        <v>43613</v>
      </c>
      <c r="O317" s="10">
        <v>43860</v>
      </c>
      <c r="P317" s="9" t="s">
        <v>49</v>
      </c>
      <c r="Q317" s="9" t="s">
        <v>49</v>
      </c>
      <c r="R317" s="8"/>
      <c r="S317" s="8"/>
      <c r="T317" s="8"/>
      <c r="U317" s="8"/>
      <c r="V317" s="9" t="s">
        <v>49</v>
      </c>
      <c r="W317" s="9" t="s">
        <v>49</v>
      </c>
      <c r="X317" s="8"/>
      <c r="Y317" s="8"/>
      <c r="Z317" s="8"/>
      <c r="AA317" s="12"/>
      <c r="AB317" s="12"/>
      <c r="AC317" s="8"/>
      <c r="AD317" s="12"/>
      <c r="AE317" s="8"/>
      <c r="AF317" s="12"/>
      <c r="AG317" s="12"/>
      <c r="AH317" s="7" t="s">
        <v>57</v>
      </c>
      <c r="AI317" s="6" t="s">
        <v>71</v>
      </c>
      <c r="AJ317" s="6" t="s">
        <v>49</v>
      </c>
      <c r="AK317" s="6" t="s">
        <v>49</v>
      </c>
      <c r="AL317" s="9" t="s">
        <v>119</v>
      </c>
      <c r="AM317" s="9" t="s">
        <v>49</v>
      </c>
      <c r="AN317" s="6" t="s">
        <v>85</v>
      </c>
      <c r="AO317" s="9" t="s">
        <v>49</v>
      </c>
      <c r="AP317" s="11">
        <v>7248.8885899999996</v>
      </c>
      <c r="AQ317" s="11">
        <v>0</v>
      </c>
      <c r="AR317" s="11">
        <v>0</v>
      </c>
      <c r="AS317" s="11">
        <v>41681.266040000002</v>
      </c>
      <c r="AT317" s="11">
        <v>0</v>
      </c>
      <c r="AU317" s="11">
        <v>0</v>
      </c>
      <c r="AV317" s="11">
        <v>0</v>
      </c>
    </row>
    <row r="318" spans="1:49" customFormat="1" ht="14.5" hidden="1">
      <c r="A318" s="6">
        <v>317</v>
      </c>
      <c r="B318" s="7" t="s">
        <v>685</v>
      </c>
      <c r="C318" s="7" t="s">
        <v>569</v>
      </c>
      <c r="D318" s="6">
        <v>15550</v>
      </c>
      <c r="E318" s="6"/>
      <c r="F318" s="8"/>
      <c r="G318" s="8"/>
      <c r="H318" s="7"/>
      <c r="I318" s="7"/>
      <c r="J318" s="6"/>
      <c r="K318" s="9"/>
      <c r="L318" s="9"/>
      <c r="N318" s="10">
        <v>43647</v>
      </c>
      <c r="O318" s="10">
        <v>44197</v>
      </c>
      <c r="P318" s="9" t="s">
        <v>49</v>
      </c>
      <c r="Q318" s="9" t="s">
        <v>49</v>
      </c>
      <c r="R318" s="8"/>
      <c r="S318" s="8"/>
      <c r="T318" s="8"/>
      <c r="U318" s="8"/>
      <c r="V318" s="9" t="s">
        <v>49</v>
      </c>
      <c r="W318" s="9" t="s">
        <v>49</v>
      </c>
      <c r="X318" s="8"/>
      <c r="Y318" s="8"/>
      <c r="Z318" s="8"/>
      <c r="AA318" s="8"/>
      <c r="AB318" s="8"/>
      <c r="AC318" s="8"/>
      <c r="AD318" s="8"/>
      <c r="AE318" s="8"/>
      <c r="AF318" s="8"/>
      <c r="AG318" s="8"/>
      <c r="AH318" s="7" t="s">
        <v>51</v>
      </c>
      <c r="AI318" s="6" t="s">
        <v>686</v>
      </c>
      <c r="AJ318" s="6" t="s">
        <v>49</v>
      </c>
      <c r="AK318" s="6" t="s">
        <v>49</v>
      </c>
      <c r="AL318" s="9" t="s">
        <v>122</v>
      </c>
      <c r="AM318" s="9" t="s">
        <v>49</v>
      </c>
      <c r="AN318" s="6" t="s">
        <v>82</v>
      </c>
      <c r="AO318" s="9" t="s">
        <v>49</v>
      </c>
      <c r="AP318" s="11">
        <v>0</v>
      </c>
      <c r="AQ318" s="11">
        <v>0</v>
      </c>
      <c r="AR318" s="11">
        <v>0</v>
      </c>
      <c r="AS318" s="11">
        <v>0</v>
      </c>
      <c r="AT318" s="11">
        <v>0</v>
      </c>
      <c r="AV318" s="11">
        <v>0</v>
      </c>
    </row>
    <row r="319" spans="1:49" customFormat="1" ht="14.5" hidden="1">
      <c r="A319" s="6">
        <v>318</v>
      </c>
      <c r="B319" s="7" t="s">
        <v>685</v>
      </c>
      <c r="C319" s="7" t="s">
        <v>569</v>
      </c>
      <c r="D319" s="6">
        <v>15550</v>
      </c>
      <c r="E319" s="6" t="s">
        <v>687</v>
      </c>
      <c r="F319" s="12"/>
      <c r="G319" s="8"/>
      <c r="H319" s="7" t="s">
        <v>88</v>
      </c>
      <c r="I319" s="7"/>
      <c r="J319" s="6" t="s">
        <v>106</v>
      </c>
      <c r="K319" s="9" t="s">
        <v>75</v>
      </c>
      <c r="L319" s="9" t="s">
        <v>73</v>
      </c>
      <c r="M319" s="28">
        <v>10</v>
      </c>
      <c r="N319" s="10">
        <v>43647</v>
      </c>
      <c r="O319" s="10">
        <v>44197</v>
      </c>
      <c r="P319" s="9" t="s">
        <v>688</v>
      </c>
      <c r="Q319" s="9" t="s">
        <v>689</v>
      </c>
      <c r="R319" s="8"/>
      <c r="S319" s="8"/>
      <c r="T319" s="8"/>
      <c r="U319" s="8"/>
      <c r="V319" s="9" t="s">
        <v>49</v>
      </c>
      <c r="W319" s="9" t="s">
        <v>108</v>
      </c>
      <c r="X319" s="8"/>
      <c r="Y319" s="8"/>
      <c r="Z319" s="6">
        <v>0.01</v>
      </c>
      <c r="AA319" s="8"/>
      <c r="AB319" s="6">
        <v>0.01</v>
      </c>
      <c r="AC319" s="8"/>
      <c r="AD319" s="6">
        <v>0.01</v>
      </c>
      <c r="AE319" s="6">
        <v>8.0000000000000002E-3</v>
      </c>
      <c r="AF319" s="8"/>
      <c r="AG319" s="6">
        <v>8.0000000000000002E-3</v>
      </c>
      <c r="AH319" s="7" t="s">
        <v>51</v>
      </c>
      <c r="AI319" s="6" t="s">
        <v>49</v>
      </c>
      <c r="AJ319" s="6" t="s">
        <v>49</v>
      </c>
      <c r="AK319" s="6" t="s">
        <v>49</v>
      </c>
      <c r="AL319" s="9" t="s">
        <v>49</v>
      </c>
      <c r="AM319" s="9" t="s">
        <v>122</v>
      </c>
      <c r="AN319" s="6" t="s">
        <v>49</v>
      </c>
      <c r="AO319" s="9" t="s">
        <v>122</v>
      </c>
      <c r="AP319" s="11">
        <v>0</v>
      </c>
      <c r="AQ319" s="11">
        <v>0</v>
      </c>
      <c r="AR319" s="11">
        <v>0</v>
      </c>
      <c r="AS319" s="11">
        <v>0</v>
      </c>
      <c r="AT319" s="11">
        <v>0</v>
      </c>
      <c r="AU319" s="11">
        <v>74</v>
      </c>
      <c r="AV319" s="11" t="s">
        <v>51</v>
      </c>
      <c r="AW319" t="s">
        <v>306</v>
      </c>
    </row>
    <row r="320" spans="1:49" customFormat="1" ht="14.5" hidden="1">
      <c r="A320" s="6">
        <v>319</v>
      </c>
      <c r="B320" s="7" t="s">
        <v>690</v>
      </c>
      <c r="C320" s="7" t="s">
        <v>49</v>
      </c>
      <c r="D320" s="6">
        <v>15367</v>
      </c>
      <c r="E320" s="6" t="s">
        <v>691</v>
      </c>
      <c r="F320" s="8"/>
      <c r="G320" s="8"/>
      <c r="H320" s="7" t="s">
        <v>49</v>
      </c>
      <c r="I320" s="7"/>
      <c r="J320" s="6" t="s">
        <v>49</v>
      </c>
      <c r="K320" s="9" t="s">
        <v>49</v>
      </c>
      <c r="L320" s="9" t="s">
        <v>49</v>
      </c>
      <c r="M320" s="8"/>
      <c r="N320" s="12"/>
      <c r="O320" s="10">
        <v>43826</v>
      </c>
      <c r="P320" s="9" t="s">
        <v>49</v>
      </c>
      <c r="Q320" s="9" t="s">
        <v>49</v>
      </c>
      <c r="R320" s="8"/>
      <c r="S320" s="8"/>
      <c r="T320" s="8"/>
      <c r="U320" s="8"/>
      <c r="V320" s="9" t="s">
        <v>49</v>
      </c>
      <c r="W320" s="9" t="s">
        <v>49</v>
      </c>
      <c r="X320" s="8"/>
      <c r="Y320" s="8"/>
      <c r="Z320" s="8"/>
      <c r="AA320" s="8"/>
      <c r="AB320" s="8"/>
      <c r="AC320" s="8"/>
      <c r="AD320" s="8"/>
      <c r="AE320" s="8"/>
      <c r="AF320" s="8"/>
      <c r="AG320" s="8"/>
      <c r="AH320" s="7" t="s">
        <v>51</v>
      </c>
      <c r="AI320" s="6" t="s">
        <v>49</v>
      </c>
      <c r="AJ320" s="6" t="s">
        <v>49</v>
      </c>
      <c r="AK320" s="6" t="s">
        <v>49</v>
      </c>
      <c r="AL320" s="9" t="s">
        <v>49</v>
      </c>
      <c r="AM320" s="9" t="s">
        <v>122</v>
      </c>
      <c r="AN320" s="6" t="s">
        <v>49</v>
      </c>
      <c r="AO320" s="9" t="s">
        <v>122</v>
      </c>
      <c r="AP320" s="11">
        <v>0</v>
      </c>
      <c r="AQ320" s="11">
        <v>0</v>
      </c>
      <c r="AR320" s="11">
        <v>0</v>
      </c>
      <c r="AS320" s="11">
        <v>32.719670000000001</v>
      </c>
      <c r="AT320" s="11">
        <v>0</v>
      </c>
      <c r="AU320" s="11">
        <v>0</v>
      </c>
      <c r="AV320" s="11" t="s">
        <v>51</v>
      </c>
    </row>
    <row r="321" spans="1:49" customFormat="1" ht="14.5" hidden="1">
      <c r="A321" s="6">
        <v>320</v>
      </c>
      <c r="B321" s="7" t="s">
        <v>692</v>
      </c>
      <c r="C321" s="7" t="s">
        <v>49</v>
      </c>
      <c r="D321" s="6">
        <v>16015</v>
      </c>
      <c r="E321" s="6" t="s">
        <v>49</v>
      </c>
      <c r="F321" s="8"/>
      <c r="G321" s="8"/>
      <c r="H321" s="7" t="s">
        <v>49</v>
      </c>
      <c r="I321" s="7"/>
      <c r="J321" s="6" t="s">
        <v>49</v>
      </c>
      <c r="K321" s="9" t="s">
        <v>49</v>
      </c>
      <c r="L321" s="9" t="s">
        <v>49</v>
      </c>
      <c r="M321" s="8"/>
      <c r="N321" s="12"/>
      <c r="O321" s="10">
        <v>43830</v>
      </c>
      <c r="P321" s="9" t="s">
        <v>49</v>
      </c>
      <c r="Q321" s="9" t="s">
        <v>49</v>
      </c>
      <c r="R321" s="8"/>
      <c r="S321" s="8"/>
      <c r="T321" s="8"/>
      <c r="U321" s="8"/>
      <c r="V321" s="9" t="s">
        <v>49</v>
      </c>
      <c r="W321" s="9" t="s">
        <v>49</v>
      </c>
      <c r="X321" s="8"/>
      <c r="Y321" s="8"/>
      <c r="Z321" s="8"/>
      <c r="AA321" s="8"/>
      <c r="AB321" s="8"/>
      <c r="AC321" s="8"/>
      <c r="AD321" s="8"/>
      <c r="AE321" s="8"/>
      <c r="AF321" s="8"/>
      <c r="AG321" s="8"/>
      <c r="AH321" s="7" t="s">
        <v>57</v>
      </c>
      <c r="AI321" s="6" t="s">
        <v>71</v>
      </c>
      <c r="AJ321" s="6" t="s">
        <v>49</v>
      </c>
      <c r="AK321" s="6" t="s">
        <v>49</v>
      </c>
      <c r="AL321" s="9" t="s">
        <v>119</v>
      </c>
      <c r="AM321" s="9" t="s">
        <v>49</v>
      </c>
      <c r="AN321" s="6" t="s">
        <v>85</v>
      </c>
      <c r="AO321" s="9" t="s">
        <v>49</v>
      </c>
      <c r="AP321" s="11">
        <v>7248.8885899999996</v>
      </c>
      <c r="AQ321" s="11">
        <v>0</v>
      </c>
      <c r="AR321" s="11">
        <v>0</v>
      </c>
      <c r="AS321" s="11">
        <v>41681.266040000002</v>
      </c>
      <c r="AT321" s="11">
        <v>0</v>
      </c>
      <c r="AU321" s="11">
        <v>0</v>
      </c>
      <c r="AV321" s="11">
        <v>0</v>
      </c>
    </row>
    <row r="322" spans="1:49" customFormat="1" ht="14.5" hidden="1">
      <c r="A322" s="6">
        <v>321</v>
      </c>
      <c r="B322" s="7" t="s">
        <v>692</v>
      </c>
      <c r="C322" s="7" t="s">
        <v>49</v>
      </c>
      <c r="D322" s="6">
        <v>16015</v>
      </c>
      <c r="E322" s="6" t="s">
        <v>693</v>
      </c>
      <c r="F322" s="8"/>
      <c r="G322" s="8"/>
      <c r="H322" s="7" t="s">
        <v>49</v>
      </c>
      <c r="I322" s="7"/>
      <c r="J322" s="6" t="s">
        <v>49</v>
      </c>
      <c r="K322" s="9" t="s">
        <v>49</v>
      </c>
      <c r="L322" s="9" t="s">
        <v>49</v>
      </c>
      <c r="M322" s="8"/>
      <c r="N322" s="8"/>
      <c r="O322" s="10">
        <v>43830</v>
      </c>
      <c r="P322" s="9" t="s">
        <v>49</v>
      </c>
      <c r="Q322" s="9" t="s">
        <v>49</v>
      </c>
      <c r="R322" s="8"/>
      <c r="S322" s="8"/>
      <c r="T322" s="8"/>
      <c r="U322" s="8"/>
      <c r="V322" s="9" t="s">
        <v>49</v>
      </c>
      <c r="W322" s="9" t="s">
        <v>49</v>
      </c>
      <c r="X322" s="8"/>
      <c r="Y322" s="8"/>
      <c r="Z322" s="8"/>
      <c r="AA322" s="8"/>
      <c r="AB322" s="8"/>
      <c r="AC322" s="8"/>
      <c r="AD322" s="8"/>
      <c r="AE322" s="8"/>
      <c r="AF322" s="8"/>
      <c r="AG322" s="8"/>
      <c r="AH322" s="7" t="s">
        <v>57</v>
      </c>
      <c r="AI322" s="6" t="s">
        <v>49</v>
      </c>
      <c r="AJ322" s="6" t="s">
        <v>49</v>
      </c>
      <c r="AK322" s="6" t="s">
        <v>49</v>
      </c>
      <c r="AL322" s="9" t="s">
        <v>49</v>
      </c>
      <c r="AM322" s="9" t="s">
        <v>122</v>
      </c>
      <c r="AN322" s="6" t="s">
        <v>49</v>
      </c>
      <c r="AO322" s="9" t="s">
        <v>122</v>
      </c>
      <c r="AP322" s="11">
        <v>0</v>
      </c>
      <c r="AQ322" s="11">
        <v>0</v>
      </c>
      <c r="AR322" s="11">
        <v>0</v>
      </c>
      <c r="AS322" s="11">
        <v>34.518830000000001</v>
      </c>
      <c r="AT322" s="11">
        <v>0</v>
      </c>
      <c r="AU322" s="11">
        <v>0</v>
      </c>
      <c r="AV322" s="11" t="s">
        <v>57</v>
      </c>
    </row>
    <row r="323" spans="1:49" customFormat="1" ht="14.5" hidden="1">
      <c r="A323" s="6">
        <v>322</v>
      </c>
      <c r="B323" s="7" t="s">
        <v>694</v>
      </c>
      <c r="C323" s="7" t="s">
        <v>569</v>
      </c>
      <c r="D323" s="6">
        <v>16011</v>
      </c>
      <c r="E323" s="6" t="s">
        <v>49</v>
      </c>
      <c r="F323" s="12"/>
      <c r="G323" s="8"/>
      <c r="H323" s="7" t="s">
        <v>49</v>
      </c>
      <c r="I323" s="7"/>
      <c r="J323" s="6" t="s">
        <v>49</v>
      </c>
      <c r="K323" s="9" t="s">
        <v>49</v>
      </c>
      <c r="L323" s="9" t="s">
        <v>49</v>
      </c>
      <c r="M323" s="12"/>
      <c r="N323" s="10">
        <v>43409</v>
      </c>
      <c r="O323" s="10">
        <v>43860</v>
      </c>
      <c r="P323" s="9" t="s">
        <v>49</v>
      </c>
      <c r="Q323" s="9" t="s">
        <v>49</v>
      </c>
      <c r="R323" s="8"/>
      <c r="S323" s="8"/>
      <c r="T323" s="8"/>
      <c r="U323" s="8"/>
      <c r="V323" s="9" t="s">
        <v>49</v>
      </c>
      <c r="W323" s="9" t="s">
        <v>49</v>
      </c>
      <c r="X323" s="8"/>
      <c r="Y323" s="8"/>
      <c r="Z323" s="12"/>
      <c r="AA323" s="8"/>
      <c r="AB323" s="12"/>
      <c r="AC323" s="8"/>
      <c r="AD323" s="12"/>
      <c r="AE323" s="12"/>
      <c r="AF323" s="8"/>
      <c r="AG323" s="12"/>
      <c r="AH323" s="7" t="s">
        <v>57</v>
      </c>
      <c r="AI323" s="6" t="s">
        <v>71</v>
      </c>
      <c r="AJ323" s="6" t="s">
        <v>49</v>
      </c>
      <c r="AK323" s="6" t="s">
        <v>49</v>
      </c>
      <c r="AL323" s="9" t="s">
        <v>119</v>
      </c>
      <c r="AM323" s="9" t="s">
        <v>49</v>
      </c>
      <c r="AN323" s="6" t="s">
        <v>85</v>
      </c>
      <c r="AO323" s="9" t="s">
        <v>49</v>
      </c>
      <c r="AP323" s="11">
        <v>7248.8885899999996</v>
      </c>
      <c r="AQ323" s="11">
        <v>0</v>
      </c>
      <c r="AR323" s="11">
        <v>0</v>
      </c>
      <c r="AS323" s="11">
        <v>41681.266040000002</v>
      </c>
      <c r="AT323" s="11">
        <v>0</v>
      </c>
      <c r="AU323" s="11">
        <v>0</v>
      </c>
      <c r="AV323" s="11">
        <v>0</v>
      </c>
    </row>
    <row r="324" spans="1:49" customFormat="1" ht="14.5" hidden="1">
      <c r="A324" s="6">
        <v>323</v>
      </c>
      <c r="B324" s="7" t="s">
        <v>694</v>
      </c>
      <c r="C324" s="7" t="s">
        <v>569</v>
      </c>
      <c r="D324" s="6">
        <v>16011</v>
      </c>
      <c r="E324" s="6" t="s">
        <v>695</v>
      </c>
      <c r="F324" s="6">
        <v>82868</v>
      </c>
      <c r="G324" s="8"/>
      <c r="H324" s="7" t="s">
        <v>245</v>
      </c>
      <c r="I324" s="7"/>
      <c r="J324" s="6" t="s">
        <v>75</v>
      </c>
      <c r="K324" s="9" t="s">
        <v>89</v>
      </c>
      <c r="L324" s="9" t="s">
        <v>218</v>
      </c>
      <c r="M324" s="8"/>
      <c r="N324" s="10">
        <v>43409</v>
      </c>
      <c r="O324" s="10">
        <v>43860</v>
      </c>
      <c r="P324" s="9" t="s">
        <v>49</v>
      </c>
      <c r="Q324" s="9" t="s">
        <v>49</v>
      </c>
      <c r="R324" s="8"/>
      <c r="S324" s="8"/>
      <c r="T324" s="8"/>
      <c r="U324" s="8"/>
      <c r="V324" s="9" t="s">
        <v>49</v>
      </c>
      <c r="W324" s="9" t="s">
        <v>49</v>
      </c>
      <c r="X324" s="8"/>
      <c r="Y324" s="8"/>
      <c r="Z324" s="8"/>
      <c r="AA324" s="6">
        <v>0.50900000000000001</v>
      </c>
      <c r="AB324" s="6">
        <v>0.50900000000000001</v>
      </c>
      <c r="AC324" s="6">
        <v>2.968</v>
      </c>
      <c r="AD324" s="6">
        <v>3.4769999999999999</v>
      </c>
      <c r="AE324" s="8"/>
      <c r="AF324" s="6">
        <v>0.254</v>
      </c>
      <c r="AG324" s="6">
        <v>0.254</v>
      </c>
      <c r="AH324" s="7" t="s">
        <v>57</v>
      </c>
      <c r="AI324" s="6" t="s">
        <v>49</v>
      </c>
      <c r="AJ324" s="6" t="s">
        <v>49</v>
      </c>
      <c r="AK324" s="6" t="s">
        <v>49</v>
      </c>
      <c r="AL324" s="9" t="s">
        <v>49</v>
      </c>
      <c r="AM324" s="9" t="s">
        <v>122</v>
      </c>
      <c r="AN324" s="6" t="s">
        <v>49</v>
      </c>
      <c r="AO324" s="9" t="s">
        <v>122</v>
      </c>
      <c r="AP324" s="11">
        <v>0</v>
      </c>
      <c r="AQ324" s="11">
        <v>0</v>
      </c>
      <c r="AR324" s="11">
        <v>0</v>
      </c>
      <c r="AS324" s="11">
        <v>0</v>
      </c>
      <c r="AT324" s="11">
        <v>0</v>
      </c>
      <c r="AU324" s="11">
        <v>0</v>
      </c>
      <c r="AV324" s="11" t="s">
        <v>57</v>
      </c>
    </row>
    <row r="325" spans="1:49" customFormat="1" ht="14.5" hidden="1">
      <c r="A325" s="6">
        <v>324</v>
      </c>
      <c r="B325" s="7" t="s">
        <v>696</v>
      </c>
      <c r="C325" s="7" t="s">
        <v>569</v>
      </c>
      <c r="D325" s="6">
        <v>12563</v>
      </c>
      <c r="E325" s="6" t="s">
        <v>49</v>
      </c>
      <c r="F325" s="12"/>
      <c r="G325" s="8"/>
      <c r="H325" s="7" t="s">
        <v>49</v>
      </c>
      <c r="I325" s="7"/>
      <c r="J325" s="6" t="s">
        <v>49</v>
      </c>
      <c r="K325" s="9" t="s">
        <v>49</v>
      </c>
      <c r="L325" s="9" t="s">
        <v>49</v>
      </c>
      <c r="M325" s="12"/>
      <c r="N325" s="10">
        <v>42370</v>
      </c>
      <c r="O325" s="10">
        <v>45198</v>
      </c>
      <c r="P325" s="9" t="s">
        <v>49</v>
      </c>
      <c r="Q325" s="9" t="s">
        <v>49</v>
      </c>
      <c r="R325" s="8"/>
      <c r="S325" s="8"/>
      <c r="T325" s="8"/>
      <c r="U325" s="8"/>
      <c r="V325" s="9" t="s">
        <v>49</v>
      </c>
      <c r="W325" s="9" t="s">
        <v>49</v>
      </c>
      <c r="X325" s="8"/>
      <c r="Y325" s="8"/>
      <c r="Z325" s="8"/>
      <c r="AA325" s="8"/>
      <c r="AB325" s="8"/>
      <c r="AC325" s="8"/>
      <c r="AD325" s="8"/>
      <c r="AE325" s="8"/>
      <c r="AF325" s="8"/>
      <c r="AG325" s="8"/>
      <c r="AH325" s="7" t="s">
        <v>51</v>
      </c>
      <c r="AI325" s="6" t="s">
        <v>71</v>
      </c>
      <c r="AJ325" s="6" t="s">
        <v>49</v>
      </c>
      <c r="AK325" s="6" t="s">
        <v>118</v>
      </c>
      <c r="AL325" s="9" t="s">
        <v>119</v>
      </c>
      <c r="AM325" s="9" t="s">
        <v>49</v>
      </c>
      <c r="AN325" s="6" t="s">
        <v>96</v>
      </c>
      <c r="AO325" s="9" t="s">
        <v>49</v>
      </c>
      <c r="AP325" s="11">
        <v>7248.8885899999996</v>
      </c>
      <c r="AQ325" s="11">
        <v>0</v>
      </c>
      <c r="AR325" s="11">
        <v>0</v>
      </c>
      <c r="AS325" s="11">
        <v>41681.266040000002</v>
      </c>
      <c r="AT325" s="11">
        <v>0</v>
      </c>
      <c r="AU325" s="11">
        <v>0</v>
      </c>
      <c r="AV325" s="11">
        <v>0</v>
      </c>
    </row>
    <row r="326" spans="1:49" customFormat="1" ht="14.5" hidden="1">
      <c r="A326" s="6">
        <v>325</v>
      </c>
      <c r="B326" s="7" t="s">
        <v>697</v>
      </c>
      <c r="C326" s="7" t="s">
        <v>49</v>
      </c>
      <c r="D326" s="6">
        <v>15296</v>
      </c>
      <c r="E326" s="6" t="s">
        <v>49</v>
      </c>
      <c r="F326" s="12"/>
      <c r="G326" s="8"/>
      <c r="H326" s="7" t="s">
        <v>49</v>
      </c>
      <c r="I326" s="7"/>
      <c r="J326" s="6" t="s">
        <v>49</v>
      </c>
      <c r="K326" s="9" t="s">
        <v>49</v>
      </c>
      <c r="L326" s="9" t="s">
        <v>49</v>
      </c>
      <c r="M326" s="12"/>
      <c r="N326" s="10">
        <v>43223</v>
      </c>
      <c r="O326" s="10">
        <v>43831</v>
      </c>
      <c r="P326" s="9" t="s">
        <v>49</v>
      </c>
      <c r="Q326" s="9" t="s">
        <v>49</v>
      </c>
      <c r="R326" s="8"/>
      <c r="S326" s="8"/>
      <c r="T326" s="8"/>
      <c r="U326" s="8"/>
      <c r="V326" s="9" t="s">
        <v>49</v>
      </c>
      <c r="W326" s="9" t="s">
        <v>49</v>
      </c>
      <c r="X326" s="8"/>
      <c r="Y326" s="8"/>
      <c r="Z326" s="12"/>
      <c r="AA326" s="8"/>
      <c r="AB326" s="12"/>
      <c r="AC326" s="8"/>
      <c r="AD326" s="12"/>
      <c r="AE326" s="12"/>
      <c r="AF326" s="8"/>
      <c r="AG326" s="12"/>
      <c r="AH326" s="7" t="s">
        <v>51</v>
      </c>
      <c r="AI326" s="6" t="s">
        <v>71</v>
      </c>
      <c r="AJ326" s="6" t="s">
        <v>49</v>
      </c>
      <c r="AK326" s="6" t="s">
        <v>49</v>
      </c>
      <c r="AL326" s="9" t="s">
        <v>119</v>
      </c>
      <c r="AM326" s="9" t="s">
        <v>49</v>
      </c>
      <c r="AN326" s="6" t="s">
        <v>82</v>
      </c>
      <c r="AO326" s="9" t="s">
        <v>49</v>
      </c>
      <c r="AP326" s="11">
        <v>7248.8885899999996</v>
      </c>
      <c r="AQ326" s="11">
        <v>0</v>
      </c>
      <c r="AR326" s="11">
        <v>0</v>
      </c>
      <c r="AS326" s="11">
        <v>41681.266040000002</v>
      </c>
      <c r="AT326" s="11">
        <v>0</v>
      </c>
      <c r="AU326" s="11">
        <v>0</v>
      </c>
      <c r="AV326" s="11">
        <v>0</v>
      </c>
    </row>
    <row r="327" spans="1:49" customFormat="1" ht="14.5" hidden="1">
      <c r="A327" s="6">
        <v>326</v>
      </c>
      <c r="B327" s="7" t="s">
        <v>697</v>
      </c>
      <c r="C327" s="7" t="s">
        <v>49</v>
      </c>
      <c r="D327" s="6">
        <v>15296</v>
      </c>
      <c r="E327" s="6" t="s">
        <v>698</v>
      </c>
      <c r="F327" s="8"/>
      <c r="G327" s="8"/>
      <c r="H327" s="7" t="s">
        <v>49</v>
      </c>
      <c r="I327" s="7"/>
      <c r="J327" s="6" t="s">
        <v>49</v>
      </c>
      <c r="K327" s="9" t="s">
        <v>49</v>
      </c>
      <c r="L327" s="9" t="s">
        <v>49</v>
      </c>
      <c r="M327" s="8"/>
      <c r="N327" s="10">
        <v>43223</v>
      </c>
      <c r="O327" s="10">
        <v>43831</v>
      </c>
      <c r="P327" s="9" t="s">
        <v>49</v>
      </c>
      <c r="Q327" s="9" t="s">
        <v>49</v>
      </c>
      <c r="R327" s="8"/>
      <c r="S327" s="8"/>
      <c r="T327" s="8"/>
      <c r="U327" s="8"/>
      <c r="V327" s="9" t="s">
        <v>49</v>
      </c>
      <c r="W327" s="9" t="s">
        <v>49</v>
      </c>
      <c r="X327" s="8"/>
      <c r="Y327" s="8"/>
      <c r="Z327" s="8"/>
      <c r="AA327" s="8"/>
      <c r="AB327" s="8"/>
      <c r="AC327" s="8"/>
      <c r="AD327" s="8"/>
      <c r="AE327" s="8"/>
      <c r="AF327" s="8"/>
      <c r="AG327" s="8"/>
      <c r="AH327" s="7" t="s">
        <v>51</v>
      </c>
      <c r="AI327" s="6" t="s">
        <v>49</v>
      </c>
      <c r="AJ327" s="6" t="s">
        <v>49</v>
      </c>
      <c r="AK327" s="6" t="s">
        <v>49</v>
      </c>
      <c r="AL327" s="9" t="s">
        <v>49</v>
      </c>
      <c r="AM327" s="9" t="s">
        <v>122</v>
      </c>
      <c r="AN327" s="6" t="s">
        <v>49</v>
      </c>
      <c r="AO327" s="9" t="s">
        <v>122</v>
      </c>
      <c r="AP327" s="11">
        <v>0</v>
      </c>
      <c r="AQ327" s="11">
        <v>0</v>
      </c>
      <c r="AR327" s="11">
        <v>0</v>
      </c>
      <c r="AS327" s="11">
        <v>0</v>
      </c>
      <c r="AT327" s="11">
        <v>0</v>
      </c>
      <c r="AU327" s="11">
        <v>0</v>
      </c>
      <c r="AV327" s="11" t="s">
        <v>51</v>
      </c>
    </row>
    <row r="328" spans="1:49" customFormat="1" ht="14.5" hidden="1">
      <c r="A328" s="6">
        <v>327</v>
      </c>
      <c r="B328" s="7" t="s">
        <v>699</v>
      </c>
      <c r="C328" s="7" t="s">
        <v>569</v>
      </c>
      <c r="D328" s="6">
        <v>16017</v>
      </c>
      <c r="E328" s="6" t="s">
        <v>49</v>
      </c>
      <c r="F328" s="12"/>
      <c r="G328" s="8"/>
      <c r="H328" s="7" t="s">
        <v>49</v>
      </c>
      <c r="I328" s="7"/>
      <c r="J328" s="6" t="s">
        <v>49</v>
      </c>
      <c r="K328" s="9" t="s">
        <v>49</v>
      </c>
      <c r="L328" s="9" t="s">
        <v>49</v>
      </c>
      <c r="M328" s="12"/>
      <c r="N328" s="10">
        <v>43493</v>
      </c>
      <c r="O328" s="10">
        <v>43832</v>
      </c>
      <c r="P328" s="9" t="s">
        <v>49</v>
      </c>
      <c r="Q328" s="9" t="s">
        <v>49</v>
      </c>
      <c r="R328" s="12"/>
      <c r="S328" s="12"/>
      <c r="T328" s="12"/>
      <c r="U328" s="12"/>
      <c r="V328" s="9" t="s">
        <v>49</v>
      </c>
      <c r="W328" s="9" t="s">
        <v>49</v>
      </c>
      <c r="X328" s="8"/>
      <c r="Y328" s="8"/>
      <c r="Z328" s="12"/>
      <c r="AA328" s="8"/>
      <c r="AB328" s="12"/>
      <c r="AC328" s="8"/>
      <c r="AD328" s="12"/>
      <c r="AE328" s="12"/>
      <c r="AF328" s="8"/>
      <c r="AG328" s="12"/>
      <c r="AH328" s="7" t="s">
        <v>57</v>
      </c>
      <c r="AI328" s="6" t="s">
        <v>71</v>
      </c>
      <c r="AJ328" s="6" t="s">
        <v>49</v>
      </c>
      <c r="AK328" s="6" t="s">
        <v>49</v>
      </c>
      <c r="AL328" s="9" t="s">
        <v>119</v>
      </c>
      <c r="AM328" s="9" t="s">
        <v>49</v>
      </c>
      <c r="AN328" s="6" t="s">
        <v>85</v>
      </c>
      <c r="AO328" s="9" t="s">
        <v>49</v>
      </c>
      <c r="AP328" s="11">
        <v>7248.8885899999996</v>
      </c>
      <c r="AQ328" s="11">
        <v>0</v>
      </c>
      <c r="AR328" s="11">
        <v>0</v>
      </c>
      <c r="AS328" s="11">
        <v>41681.266040000002</v>
      </c>
      <c r="AT328" s="11">
        <v>0</v>
      </c>
      <c r="AU328" s="11">
        <v>0</v>
      </c>
      <c r="AV328" s="11">
        <v>0</v>
      </c>
    </row>
    <row r="329" spans="1:49" customFormat="1" ht="14.5" hidden="1">
      <c r="A329" s="6">
        <v>328</v>
      </c>
      <c r="B329" s="7" t="s">
        <v>699</v>
      </c>
      <c r="C329" s="7" t="s">
        <v>569</v>
      </c>
      <c r="D329" s="6">
        <v>16017</v>
      </c>
      <c r="E329" s="6" t="s">
        <v>700</v>
      </c>
      <c r="F329" s="8"/>
      <c r="G329" s="8"/>
      <c r="H329" s="7" t="s">
        <v>49</v>
      </c>
      <c r="I329" s="7"/>
      <c r="J329" s="6" t="s">
        <v>49</v>
      </c>
      <c r="K329" s="9" t="s">
        <v>49</v>
      </c>
      <c r="L329" s="9" t="s">
        <v>49</v>
      </c>
      <c r="M329" s="8"/>
      <c r="N329" s="10">
        <v>43493</v>
      </c>
      <c r="O329" s="10">
        <v>43832</v>
      </c>
      <c r="P329" s="9" t="s">
        <v>49</v>
      </c>
      <c r="Q329" s="9" t="s">
        <v>49</v>
      </c>
      <c r="R329" s="8"/>
      <c r="S329" s="8"/>
      <c r="T329" s="8"/>
      <c r="U329" s="8"/>
      <c r="V329" s="9" t="s">
        <v>49</v>
      </c>
      <c r="W329" s="9" t="s">
        <v>49</v>
      </c>
      <c r="X329" s="8"/>
      <c r="Y329" s="8"/>
      <c r="Z329" s="8"/>
      <c r="AA329" s="8"/>
      <c r="AB329" s="8"/>
      <c r="AC329" s="8"/>
      <c r="AD329" s="8"/>
      <c r="AE329" s="8"/>
      <c r="AF329" s="8"/>
      <c r="AG329" s="8"/>
      <c r="AH329" s="7" t="s">
        <v>57</v>
      </c>
      <c r="AI329" s="6" t="s">
        <v>49</v>
      </c>
      <c r="AJ329" s="6" t="s">
        <v>49</v>
      </c>
      <c r="AK329" s="6" t="s">
        <v>49</v>
      </c>
      <c r="AL329" s="9" t="s">
        <v>49</v>
      </c>
      <c r="AM329" s="9" t="s">
        <v>122</v>
      </c>
      <c r="AN329" s="6" t="s">
        <v>49</v>
      </c>
      <c r="AO329" s="9" t="s">
        <v>122</v>
      </c>
      <c r="AP329" s="11">
        <v>0</v>
      </c>
      <c r="AQ329" s="11">
        <v>0</v>
      </c>
      <c r="AR329" s="11">
        <v>0</v>
      </c>
      <c r="AS329" s="11">
        <v>94.606169999999992</v>
      </c>
      <c r="AT329" s="11">
        <v>0</v>
      </c>
      <c r="AU329" s="11">
        <v>22</v>
      </c>
      <c r="AV329" s="11" t="s">
        <v>57</v>
      </c>
      <c r="AW329" t="s">
        <v>93</v>
      </c>
    </row>
    <row r="330" spans="1:49" customFormat="1" ht="14.5" hidden="1">
      <c r="A330" s="6">
        <v>329</v>
      </c>
      <c r="B330" s="7" t="s">
        <v>701</v>
      </c>
      <c r="C330" s="7" t="s">
        <v>49</v>
      </c>
      <c r="D330" s="6">
        <v>16016</v>
      </c>
      <c r="E330" s="6" t="s">
        <v>49</v>
      </c>
      <c r="F330" s="8"/>
      <c r="G330" s="8"/>
      <c r="H330" s="7" t="s">
        <v>49</v>
      </c>
      <c r="I330" s="7"/>
      <c r="J330" s="6" t="s">
        <v>49</v>
      </c>
      <c r="K330" s="9" t="s">
        <v>49</v>
      </c>
      <c r="L330" s="9" t="s">
        <v>49</v>
      </c>
      <c r="M330" s="8"/>
      <c r="N330" s="10">
        <v>43454</v>
      </c>
      <c r="O330" s="10">
        <v>43859</v>
      </c>
      <c r="P330" s="9" t="s">
        <v>49</v>
      </c>
      <c r="Q330" s="9" t="s">
        <v>49</v>
      </c>
      <c r="R330" s="8"/>
      <c r="S330" s="8"/>
      <c r="T330" s="8"/>
      <c r="U330" s="8"/>
      <c r="V330" s="9" t="s">
        <v>49</v>
      </c>
      <c r="W330" s="9" t="s">
        <v>49</v>
      </c>
      <c r="X330" s="8"/>
      <c r="Y330" s="8"/>
      <c r="Z330" s="8"/>
      <c r="AA330" s="8"/>
      <c r="AB330" s="8"/>
      <c r="AC330" s="8"/>
      <c r="AD330" s="8"/>
      <c r="AE330" s="8"/>
      <c r="AF330" s="8"/>
      <c r="AG330" s="8"/>
      <c r="AH330" s="7" t="s">
        <v>57</v>
      </c>
      <c r="AI330" s="6" t="s">
        <v>71</v>
      </c>
      <c r="AJ330" s="6" t="s">
        <v>49</v>
      </c>
      <c r="AK330" s="6" t="s">
        <v>49</v>
      </c>
      <c r="AL330" s="9" t="s">
        <v>119</v>
      </c>
      <c r="AM330" s="9" t="s">
        <v>49</v>
      </c>
      <c r="AN330" s="6" t="s">
        <v>85</v>
      </c>
      <c r="AO330" s="9" t="s">
        <v>49</v>
      </c>
      <c r="AP330" s="11">
        <v>7248.8885899999996</v>
      </c>
      <c r="AQ330" s="11">
        <v>0</v>
      </c>
      <c r="AR330" s="11">
        <v>0</v>
      </c>
      <c r="AS330" s="11">
        <v>41681.266040000002</v>
      </c>
      <c r="AT330" s="11">
        <v>0</v>
      </c>
      <c r="AU330" s="11">
        <v>0</v>
      </c>
      <c r="AV330" s="11">
        <v>0</v>
      </c>
    </row>
    <row r="331" spans="1:49" customFormat="1" ht="14.5" hidden="1">
      <c r="A331" s="6">
        <v>330</v>
      </c>
      <c r="B331" s="7" t="s">
        <v>701</v>
      </c>
      <c r="C331" s="7" t="s">
        <v>49</v>
      </c>
      <c r="D331" s="6">
        <v>16016</v>
      </c>
      <c r="E331" s="6" t="s">
        <v>702</v>
      </c>
      <c r="F331" s="6">
        <v>82874</v>
      </c>
      <c r="G331" s="8"/>
      <c r="H331" s="7" t="s">
        <v>88</v>
      </c>
      <c r="I331" s="7"/>
      <c r="J331" s="6" t="s">
        <v>75</v>
      </c>
      <c r="K331" s="9" t="s">
        <v>106</v>
      </c>
      <c r="L331" s="9" t="s">
        <v>218</v>
      </c>
      <c r="M331" s="6">
        <v>0</v>
      </c>
      <c r="N331" s="10">
        <v>43454</v>
      </c>
      <c r="O331" s="10">
        <v>43859</v>
      </c>
      <c r="P331" s="9" t="s">
        <v>49</v>
      </c>
      <c r="Q331" s="9" t="s">
        <v>49</v>
      </c>
      <c r="R331" s="8"/>
      <c r="S331" s="8"/>
      <c r="T331" s="8"/>
      <c r="U331" s="8"/>
      <c r="V331" s="9" t="s">
        <v>49</v>
      </c>
      <c r="W331" s="9" t="s">
        <v>49</v>
      </c>
      <c r="X331" s="8"/>
      <c r="Y331" s="8"/>
      <c r="Z331" s="8"/>
      <c r="AA331" s="6">
        <v>0.28499999999999998</v>
      </c>
      <c r="AB331" s="6">
        <v>0.28499999999999998</v>
      </c>
      <c r="AC331" s="6">
        <v>0</v>
      </c>
      <c r="AD331" s="6">
        <v>0.28499999999999998</v>
      </c>
      <c r="AE331" s="8"/>
      <c r="AF331" s="6">
        <v>0.14299999999999999</v>
      </c>
      <c r="AG331" s="6">
        <v>0.14299999999999999</v>
      </c>
      <c r="AH331" s="7" t="s">
        <v>57</v>
      </c>
      <c r="AI331" s="6" t="s">
        <v>49</v>
      </c>
      <c r="AJ331" s="6" t="s">
        <v>49</v>
      </c>
      <c r="AK331" s="6" t="s">
        <v>49</v>
      </c>
      <c r="AL331" s="9" t="s">
        <v>49</v>
      </c>
      <c r="AM331" s="9" t="s">
        <v>122</v>
      </c>
      <c r="AN331" s="6" t="s">
        <v>49</v>
      </c>
      <c r="AO331" s="9" t="s">
        <v>122</v>
      </c>
      <c r="AP331" s="11">
        <v>0</v>
      </c>
      <c r="AQ331" s="11">
        <v>0</v>
      </c>
      <c r="AR331" s="11">
        <v>0</v>
      </c>
      <c r="AS331" s="11">
        <v>0</v>
      </c>
      <c r="AT331" s="11">
        <v>0</v>
      </c>
      <c r="AU331" s="11">
        <v>0</v>
      </c>
      <c r="AV331" s="11" t="s">
        <v>57</v>
      </c>
    </row>
    <row r="332" spans="1:49" customFormat="1" ht="14.5" hidden="1">
      <c r="A332" s="6">
        <v>331</v>
      </c>
      <c r="B332" s="7" t="s">
        <v>703</v>
      </c>
      <c r="C332" s="7" t="s">
        <v>569</v>
      </c>
      <c r="D332" s="6">
        <v>16013</v>
      </c>
      <c r="E332" s="6" t="s">
        <v>49</v>
      </c>
      <c r="F332" s="8"/>
      <c r="G332" s="8"/>
      <c r="H332" s="7" t="s">
        <v>49</v>
      </c>
      <c r="I332" s="7"/>
      <c r="J332" s="6" t="s">
        <v>49</v>
      </c>
      <c r="K332" s="9" t="s">
        <v>49</v>
      </c>
      <c r="L332" s="9" t="s">
        <v>49</v>
      </c>
      <c r="M332" s="8"/>
      <c r="N332" s="12"/>
      <c r="O332" s="10">
        <v>43525</v>
      </c>
      <c r="P332" s="9" t="s">
        <v>49</v>
      </c>
      <c r="Q332" s="9" t="s">
        <v>49</v>
      </c>
      <c r="R332" s="8"/>
      <c r="S332" s="8"/>
      <c r="T332" s="8"/>
      <c r="U332" s="8"/>
      <c r="V332" s="9" t="s">
        <v>49</v>
      </c>
      <c r="W332" s="9" t="s">
        <v>49</v>
      </c>
      <c r="X332" s="8"/>
      <c r="Y332" s="8"/>
      <c r="Z332" s="8"/>
      <c r="AA332" s="8"/>
      <c r="AB332" s="8"/>
      <c r="AC332" s="8"/>
      <c r="AD332" s="8"/>
      <c r="AE332" s="8"/>
      <c r="AF332" s="8"/>
      <c r="AG332" s="8"/>
      <c r="AH332" s="7" t="s">
        <v>57</v>
      </c>
      <c r="AI332" s="6" t="s">
        <v>71</v>
      </c>
      <c r="AJ332" s="6" t="s">
        <v>49</v>
      </c>
      <c r="AK332" s="6" t="s">
        <v>49</v>
      </c>
      <c r="AL332" s="9" t="s">
        <v>119</v>
      </c>
      <c r="AM332" s="9" t="s">
        <v>49</v>
      </c>
      <c r="AN332" s="6" t="s">
        <v>85</v>
      </c>
      <c r="AO332" s="9" t="s">
        <v>49</v>
      </c>
      <c r="AP332" s="11">
        <v>7248.8885899999996</v>
      </c>
      <c r="AQ332" s="11">
        <v>0</v>
      </c>
      <c r="AR332" s="11">
        <v>0</v>
      </c>
      <c r="AS332" s="11">
        <v>41681.266040000002</v>
      </c>
      <c r="AT332" s="11">
        <v>0</v>
      </c>
      <c r="AU332" s="11">
        <v>0</v>
      </c>
      <c r="AV332" s="11">
        <v>0</v>
      </c>
    </row>
    <row r="333" spans="1:49" customFormat="1" ht="14.5" hidden="1">
      <c r="A333" s="6">
        <v>332</v>
      </c>
      <c r="B333" s="7" t="s">
        <v>703</v>
      </c>
      <c r="C333" s="7" t="s">
        <v>569</v>
      </c>
      <c r="D333" s="6">
        <v>16013</v>
      </c>
      <c r="E333" s="6" t="s">
        <v>704</v>
      </c>
      <c r="F333" s="6">
        <v>57827</v>
      </c>
      <c r="G333" s="8"/>
      <c r="H333" s="7" t="s">
        <v>49</v>
      </c>
      <c r="I333" s="7"/>
      <c r="J333" s="6" t="s">
        <v>49</v>
      </c>
      <c r="K333" s="9" t="s">
        <v>49</v>
      </c>
      <c r="L333" s="9" t="s">
        <v>49</v>
      </c>
      <c r="M333" s="8"/>
      <c r="N333" s="8"/>
      <c r="O333" s="10">
        <v>43525</v>
      </c>
      <c r="P333" s="9" t="s">
        <v>49</v>
      </c>
      <c r="Q333" s="9" t="s">
        <v>49</v>
      </c>
      <c r="R333" s="8"/>
      <c r="S333" s="8"/>
      <c r="T333" s="8"/>
      <c r="U333" s="8"/>
      <c r="V333" s="9" t="s">
        <v>49</v>
      </c>
      <c r="W333" s="9" t="s">
        <v>49</v>
      </c>
      <c r="X333" s="8"/>
      <c r="Y333" s="8"/>
      <c r="Z333" s="8"/>
      <c r="AA333" s="6">
        <v>0.14000000000000001</v>
      </c>
      <c r="AB333" s="6">
        <v>0.14000000000000001</v>
      </c>
      <c r="AC333" s="8"/>
      <c r="AD333" s="6">
        <v>0.14000000000000001</v>
      </c>
      <c r="AE333" s="8"/>
      <c r="AF333" s="6">
        <v>7.0000000000000007E-2</v>
      </c>
      <c r="AG333" s="6">
        <v>7.0000000000000007E-2</v>
      </c>
      <c r="AH333" s="7" t="s">
        <v>57</v>
      </c>
      <c r="AI333" s="6" t="s">
        <v>49</v>
      </c>
      <c r="AJ333" s="6" t="s">
        <v>49</v>
      </c>
      <c r="AK333" s="6" t="s">
        <v>49</v>
      </c>
      <c r="AL333" s="9" t="s">
        <v>49</v>
      </c>
      <c r="AM333" s="9" t="s">
        <v>122</v>
      </c>
      <c r="AN333" s="6" t="s">
        <v>49</v>
      </c>
      <c r="AO333" s="9" t="s">
        <v>122</v>
      </c>
      <c r="AP333" s="11">
        <v>0</v>
      </c>
      <c r="AQ333" s="11">
        <v>0</v>
      </c>
      <c r="AR333" s="11">
        <v>0</v>
      </c>
      <c r="AS333" s="11">
        <v>0</v>
      </c>
      <c r="AT333" s="11">
        <v>0</v>
      </c>
      <c r="AU333" s="11">
        <v>0</v>
      </c>
      <c r="AV333" s="11" t="s">
        <v>57</v>
      </c>
    </row>
    <row r="334" spans="1:49" customFormat="1" ht="14.5" hidden="1">
      <c r="A334" s="6">
        <v>333</v>
      </c>
      <c r="B334" s="7" t="s">
        <v>705</v>
      </c>
      <c r="C334" s="7" t="s">
        <v>569</v>
      </c>
      <c r="D334" s="6">
        <v>16020</v>
      </c>
      <c r="E334" s="6" t="s">
        <v>49</v>
      </c>
      <c r="F334" s="8"/>
      <c r="G334" s="8"/>
      <c r="H334" s="7" t="s">
        <v>49</v>
      </c>
      <c r="I334" s="7"/>
      <c r="J334" s="6" t="s">
        <v>49</v>
      </c>
      <c r="K334" s="9" t="s">
        <v>49</v>
      </c>
      <c r="L334" s="9" t="s">
        <v>49</v>
      </c>
      <c r="M334" s="8"/>
      <c r="N334" s="8"/>
      <c r="O334" s="10">
        <v>43644</v>
      </c>
      <c r="P334" s="9" t="s">
        <v>49</v>
      </c>
      <c r="Q334" s="9" t="s">
        <v>49</v>
      </c>
      <c r="R334" s="8"/>
      <c r="S334" s="8"/>
      <c r="T334" s="8"/>
      <c r="U334" s="8"/>
      <c r="V334" s="9" t="s">
        <v>49</v>
      </c>
      <c r="W334" s="9" t="s">
        <v>49</v>
      </c>
      <c r="X334" s="8"/>
      <c r="Y334" s="8"/>
      <c r="Z334" s="8"/>
      <c r="AA334" s="8"/>
      <c r="AB334" s="8"/>
      <c r="AC334" s="8"/>
      <c r="AD334" s="8"/>
      <c r="AE334" s="8"/>
      <c r="AF334" s="8"/>
      <c r="AG334" s="8"/>
      <c r="AH334" s="7" t="s">
        <v>57</v>
      </c>
      <c r="AI334" s="6" t="s">
        <v>71</v>
      </c>
      <c r="AJ334" s="6" t="s">
        <v>49</v>
      </c>
      <c r="AK334" s="6" t="s">
        <v>49</v>
      </c>
      <c r="AL334" s="9" t="s">
        <v>119</v>
      </c>
      <c r="AM334" s="9" t="s">
        <v>49</v>
      </c>
      <c r="AN334" s="6" t="s">
        <v>85</v>
      </c>
      <c r="AO334" s="9" t="s">
        <v>49</v>
      </c>
      <c r="AP334" s="11">
        <v>7248.8885899999996</v>
      </c>
      <c r="AQ334" s="11">
        <v>0</v>
      </c>
      <c r="AR334" s="11">
        <v>0</v>
      </c>
      <c r="AS334" s="11">
        <v>41681.266040000002</v>
      </c>
      <c r="AT334" s="11">
        <v>0</v>
      </c>
      <c r="AU334" s="11">
        <v>0</v>
      </c>
      <c r="AV334" s="11">
        <v>0</v>
      </c>
    </row>
    <row r="335" spans="1:49" customFormat="1" ht="14.5" hidden="1">
      <c r="A335" s="6">
        <v>334</v>
      </c>
      <c r="B335" s="7" t="s">
        <v>705</v>
      </c>
      <c r="C335" s="7" t="s">
        <v>569</v>
      </c>
      <c r="D335" s="6">
        <v>16020</v>
      </c>
      <c r="E335" s="6" t="s">
        <v>706</v>
      </c>
      <c r="F335" s="6">
        <v>86787</v>
      </c>
      <c r="G335" s="8"/>
      <c r="H335" s="7" t="s">
        <v>49</v>
      </c>
      <c r="I335" s="7"/>
      <c r="J335" s="6" t="s">
        <v>49</v>
      </c>
      <c r="K335" s="9" t="s">
        <v>49</v>
      </c>
      <c r="L335" s="9" t="s">
        <v>218</v>
      </c>
      <c r="M335" s="8"/>
      <c r="N335" s="12"/>
      <c r="O335" s="10">
        <v>43644</v>
      </c>
      <c r="P335" s="9" t="s">
        <v>49</v>
      </c>
      <c r="Q335" s="9" t="s">
        <v>49</v>
      </c>
      <c r="R335" s="8"/>
      <c r="S335" s="8"/>
      <c r="T335" s="8"/>
      <c r="U335" s="8"/>
      <c r="V335" s="9" t="s">
        <v>49</v>
      </c>
      <c r="W335" s="9" t="s">
        <v>49</v>
      </c>
      <c r="X335" s="8"/>
      <c r="Y335" s="8"/>
      <c r="Z335" s="8"/>
      <c r="AA335" s="8"/>
      <c r="AB335" s="8"/>
      <c r="AC335" s="8"/>
      <c r="AD335" s="8"/>
      <c r="AE335" s="8"/>
      <c r="AF335" s="8"/>
      <c r="AG335" s="8"/>
      <c r="AH335" s="7" t="s">
        <v>51</v>
      </c>
      <c r="AI335" s="6" t="s">
        <v>49</v>
      </c>
      <c r="AJ335" s="6" t="s">
        <v>49</v>
      </c>
      <c r="AK335" s="6" t="s">
        <v>49</v>
      </c>
      <c r="AL335" s="9" t="s">
        <v>49</v>
      </c>
      <c r="AM335" s="9" t="s">
        <v>122</v>
      </c>
      <c r="AN335" s="6" t="s">
        <v>49</v>
      </c>
      <c r="AO335" s="9" t="s">
        <v>122</v>
      </c>
      <c r="AP335" s="11">
        <v>-0.44391000000000003</v>
      </c>
      <c r="AQ335" s="11">
        <v>-443.91</v>
      </c>
      <c r="AR335" s="11">
        <v>-443.90625</v>
      </c>
      <c r="AS335" s="11">
        <v>57.562930000000001</v>
      </c>
      <c r="AT335" s="11">
        <v>-0.44391000000000003</v>
      </c>
      <c r="AU335" s="11">
        <v>0</v>
      </c>
      <c r="AV335" s="11" t="s">
        <v>51</v>
      </c>
    </row>
    <row r="336" spans="1:49" customFormat="1" ht="14.5" hidden="1">
      <c r="A336" s="6">
        <v>335</v>
      </c>
      <c r="B336" s="7" t="s">
        <v>707</v>
      </c>
      <c r="C336" s="7" t="s">
        <v>49</v>
      </c>
      <c r="D336" s="6">
        <v>15292</v>
      </c>
      <c r="E336" s="6" t="s">
        <v>49</v>
      </c>
      <c r="F336" s="8"/>
      <c r="G336" s="8"/>
      <c r="H336" s="7" t="s">
        <v>49</v>
      </c>
      <c r="I336" s="7"/>
      <c r="J336" s="6" t="s">
        <v>49</v>
      </c>
      <c r="K336" s="9" t="s">
        <v>49</v>
      </c>
      <c r="L336" s="9" t="s">
        <v>49</v>
      </c>
      <c r="M336" s="8"/>
      <c r="N336" s="10">
        <v>43192</v>
      </c>
      <c r="O336" s="10">
        <v>44533</v>
      </c>
      <c r="P336" s="9" t="s">
        <v>49</v>
      </c>
      <c r="Q336" s="9" t="s">
        <v>49</v>
      </c>
      <c r="R336" s="8"/>
      <c r="S336" s="8"/>
      <c r="T336" s="8"/>
      <c r="U336" s="8"/>
      <c r="V336" s="9" t="s">
        <v>49</v>
      </c>
      <c r="W336" s="9" t="s">
        <v>49</v>
      </c>
      <c r="X336" s="8"/>
      <c r="Y336" s="8"/>
      <c r="Z336" s="8"/>
      <c r="AA336" s="8"/>
      <c r="AB336" s="8"/>
      <c r="AC336" s="8"/>
      <c r="AD336" s="8"/>
      <c r="AE336" s="8"/>
      <c r="AF336" s="8"/>
      <c r="AG336" s="8"/>
      <c r="AH336" s="7" t="s">
        <v>51</v>
      </c>
      <c r="AI336" s="6" t="s">
        <v>71</v>
      </c>
      <c r="AJ336" s="6" t="s">
        <v>49</v>
      </c>
      <c r="AK336" s="6" t="s">
        <v>49</v>
      </c>
      <c r="AL336" s="9" t="s">
        <v>119</v>
      </c>
      <c r="AM336" s="9" t="s">
        <v>49</v>
      </c>
      <c r="AN336" s="6" t="s">
        <v>96</v>
      </c>
      <c r="AO336" s="9" t="s">
        <v>49</v>
      </c>
      <c r="AP336" s="11"/>
      <c r="AQ336" s="11">
        <v>0</v>
      </c>
      <c r="AR336" s="11">
        <v>0</v>
      </c>
      <c r="AS336" s="11"/>
      <c r="AT336" s="11"/>
      <c r="AU336" s="11">
        <v>0</v>
      </c>
      <c r="AV336" s="11">
        <v>0</v>
      </c>
    </row>
    <row r="337" spans="1:49" customFormat="1" ht="14.5" hidden="1">
      <c r="A337" s="6">
        <v>336</v>
      </c>
      <c r="B337" s="7" t="s">
        <v>708</v>
      </c>
      <c r="C337" s="7" t="s">
        <v>49</v>
      </c>
      <c r="D337" s="6">
        <v>16014</v>
      </c>
      <c r="E337" s="6" t="s">
        <v>49</v>
      </c>
      <c r="F337" s="8"/>
      <c r="G337" s="8"/>
      <c r="H337" s="7" t="s">
        <v>49</v>
      </c>
      <c r="I337" s="7"/>
      <c r="J337" s="6" t="s">
        <v>49</v>
      </c>
      <c r="K337" s="9" t="s">
        <v>49</v>
      </c>
      <c r="L337" s="9" t="s">
        <v>49</v>
      </c>
      <c r="M337" s="8"/>
      <c r="N337" s="10">
        <v>43437</v>
      </c>
      <c r="O337" s="10">
        <v>44561</v>
      </c>
      <c r="P337" s="9" t="s">
        <v>49</v>
      </c>
      <c r="Q337" s="9" t="s">
        <v>49</v>
      </c>
      <c r="R337" s="8"/>
      <c r="S337" s="8"/>
      <c r="T337" s="8"/>
      <c r="U337" s="8"/>
      <c r="V337" s="9" t="s">
        <v>49</v>
      </c>
      <c r="W337" s="9" t="s">
        <v>49</v>
      </c>
      <c r="X337" s="8"/>
      <c r="Y337" s="8"/>
      <c r="Z337" s="8"/>
      <c r="AA337" s="8"/>
      <c r="AB337" s="8"/>
      <c r="AC337" s="8"/>
      <c r="AD337" s="8"/>
      <c r="AE337" s="8"/>
      <c r="AF337" s="8"/>
      <c r="AG337" s="8"/>
      <c r="AH337" s="7" t="s">
        <v>57</v>
      </c>
      <c r="AI337" s="6" t="s">
        <v>71</v>
      </c>
      <c r="AJ337" s="6" t="s">
        <v>49</v>
      </c>
      <c r="AK337" s="6" t="s">
        <v>49</v>
      </c>
      <c r="AL337" s="9" t="s">
        <v>119</v>
      </c>
      <c r="AM337" s="9" t="s">
        <v>49</v>
      </c>
      <c r="AN337" s="6" t="s">
        <v>85</v>
      </c>
      <c r="AO337" s="9" t="s">
        <v>49</v>
      </c>
      <c r="AP337" s="11"/>
      <c r="AQ337" s="11">
        <v>0</v>
      </c>
      <c r="AR337" s="11">
        <v>0</v>
      </c>
      <c r="AS337" s="11"/>
      <c r="AT337" s="11"/>
      <c r="AU337" s="11"/>
      <c r="AV337" s="11">
        <v>0</v>
      </c>
    </row>
    <row r="338" spans="1:49" customFormat="1" ht="14.5" hidden="1">
      <c r="A338" s="6">
        <v>337</v>
      </c>
      <c r="B338" s="7" t="s">
        <v>709</v>
      </c>
      <c r="C338" s="7" t="s">
        <v>569</v>
      </c>
      <c r="D338" s="6">
        <v>16007</v>
      </c>
      <c r="E338" s="6" t="s">
        <v>49</v>
      </c>
      <c r="F338" s="8"/>
      <c r="G338" s="8"/>
      <c r="H338" s="7" t="s">
        <v>49</v>
      </c>
      <c r="I338" s="7"/>
      <c r="J338" s="6" t="s">
        <v>49</v>
      </c>
      <c r="K338" s="9" t="s">
        <v>49</v>
      </c>
      <c r="L338" s="9" t="s">
        <v>49</v>
      </c>
      <c r="M338" s="8"/>
      <c r="N338" s="12"/>
      <c r="O338" s="10">
        <v>43830</v>
      </c>
      <c r="P338" s="9" t="s">
        <v>49</v>
      </c>
      <c r="Q338" s="9" t="s">
        <v>49</v>
      </c>
      <c r="R338" s="8"/>
      <c r="S338" s="8"/>
      <c r="T338" s="8"/>
      <c r="U338" s="8"/>
      <c r="V338" s="9" t="s">
        <v>49</v>
      </c>
      <c r="W338" s="9" t="s">
        <v>49</v>
      </c>
      <c r="X338" s="8"/>
      <c r="Y338" s="8"/>
      <c r="Z338" s="8"/>
      <c r="AA338" s="8"/>
      <c r="AB338" s="8"/>
      <c r="AC338" s="8"/>
      <c r="AD338" s="8"/>
      <c r="AE338" s="8"/>
      <c r="AF338" s="8"/>
      <c r="AG338" s="8"/>
      <c r="AH338" s="7" t="s">
        <v>57</v>
      </c>
      <c r="AI338" s="6" t="s">
        <v>71</v>
      </c>
      <c r="AJ338" s="6" t="s">
        <v>49</v>
      </c>
      <c r="AK338" s="6" t="s">
        <v>49</v>
      </c>
      <c r="AL338" s="9" t="s">
        <v>119</v>
      </c>
      <c r="AM338" s="9" t="s">
        <v>49</v>
      </c>
      <c r="AN338" s="6" t="s">
        <v>85</v>
      </c>
      <c r="AO338" s="9" t="s">
        <v>49</v>
      </c>
      <c r="AP338" s="11"/>
      <c r="AQ338" s="11">
        <v>0</v>
      </c>
      <c r="AR338" s="11">
        <v>0</v>
      </c>
      <c r="AS338" s="11"/>
      <c r="AT338" s="11"/>
      <c r="AU338" s="11"/>
      <c r="AV338" s="11">
        <v>0</v>
      </c>
    </row>
    <row r="339" spans="1:49" customFormat="1" ht="14.5" hidden="1">
      <c r="A339" s="6">
        <v>338</v>
      </c>
      <c r="B339" s="7" t="s">
        <v>709</v>
      </c>
      <c r="C339" s="7" t="s">
        <v>569</v>
      </c>
      <c r="D339" s="6">
        <v>16007</v>
      </c>
      <c r="E339" s="6" t="s">
        <v>710</v>
      </c>
      <c r="F339" s="6">
        <v>82844</v>
      </c>
      <c r="G339" s="8"/>
      <c r="H339" s="7" t="s">
        <v>49</v>
      </c>
      <c r="I339" s="7"/>
      <c r="J339" s="6" t="s">
        <v>49</v>
      </c>
      <c r="K339" s="9" t="s">
        <v>49</v>
      </c>
      <c r="L339" s="9" t="s">
        <v>73</v>
      </c>
      <c r="M339" s="28">
        <v>102</v>
      </c>
      <c r="N339" s="12"/>
      <c r="O339" s="10">
        <v>43830</v>
      </c>
      <c r="P339" s="9" t="s">
        <v>711</v>
      </c>
      <c r="Q339" s="9" t="s">
        <v>711</v>
      </c>
      <c r="R339" s="8"/>
      <c r="S339" s="8"/>
      <c r="T339" s="8"/>
      <c r="U339" s="8"/>
      <c r="V339" s="9" t="s">
        <v>49</v>
      </c>
      <c r="W339" s="9" t="s">
        <v>108</v>
      </c>
      <c r="X339" s="8"/>
      <c r="Y339" s="8"/>
      <c r="Z339" s="6">
        <v>0.10199999999999999</v>
      </c>
      <c r="AA339" s="8"/>
      <c r="AB339" s="6">
        <v>0.10199999999999999</v>
      </c>
      <c r="AC339" s="8"/>
      <c r="AD339" s="6">
        <v>0.10199999999999999</v>
      </c>
      <c r="AE339" s="6">
        <v>8.2000000000000003E-2</v>
      </c>
      <c r="AF339" s="8"/>
      <c r="AG339" s="6">
        <v>8.2000000000000003E-2</v>
      </c>
      <c r="AH339" s="7" t="s">
        <v>57</v>
      </c>
      <c r="AI339" s="6" t="s">
        <v>49</v>
      </c>
      <c r="AJ339" s="6" t="s">
        <v>49</v>
      </c>
      <c r="AK339" s="6" t="s">
        <v>49</v>
      </c>
      <c r="AL339" s="9" t="s">
        <v>49</v>
      </c>
      <c r="AM339" s="9" t="s">
        <v>122</v>
      </c>
      <c r="AN339" s="6" t="s">
        <v>49</v>
      </c>
      <c r="AO339" s="9" t="s">
        <v>122</v>
      </c>
      <c r="AP339" s="11">
        <v>23.458220000000001</v>
      </c>
      <c r="AQ339" s="11">
        <v>40082.81</v>
      </c>
      <c r="AR339" s="11">
        <v>40082.811666666668</v>
      </c>
      <c r="AS339" s="11">
        <v>147.9939</v>
      </c>
      <c r="AT339" s="11">
        <v>23.457999999999998</v>
      </c>
      <c r="AU339" s="11">
        <v>102</v>
      </c>
      <c r="AV339" s="11" t="s">
        <v>57</v>
      </c>
      <c r="AW339" t="s">
        <v>306</v>
      </c>
    </row>
    <row r="340" spans="1:49" customFormat="1" ht="14.5" hidden="1">
      <c r="A340" s="6">
        <v>339</v>
      </c>
      <c r="B340" s="7" t="s">
        <v>712</v>
      </c>
      <c r="C340" s="7" t="s">
        <v>49</v>
      </c>
      <c r="D340" s="6">
        <v>12521</v>
      </c>
      <c r="E340" s="6" t="s">
        <v>49</v>
      </c>
      <c r="F340" s="12"/>
      <c r="G340" s="8"/>
      <c r="H340" s="7" t="s">
        <v>49</v>
      </c>
      <c r="I340" s="7"/>
      <c r="J340" s="6" t="s">
        <v>49</v>
      </c>
      <c r="K340" s="9" t="s">
        <v>49</v>
      </c>
      <c r="L340" s="9" t="s">
        <v>49</v>
      </c>
      <c r="M340" s="12"/>
      <c r="N340" s="10">
        <v>42795</v>
      </c>
      <c r="O340" s="10">
        <v>44651</v>
      </c>
      <c r="P340" s="9" t="s">
        <v>49</v>
      </c>
      <c r="Q340" s="9" t="s">
        <v>49</v>
      </c>
      <c r="R340" s="12"/>
      <c r="S340" s="12"/>
      <c r="T340" s="12"/>
      <c r="U340" s="12"/>
      <c r="V340" s="9" t="s">
        <v>49</v>
      </c>
      <c r="W340" s="9" t="s">
        <v>49</v>
      </c>
      <c r="X340" s="8"/>
      <c r="Y340" s="8"/>
      <c r="Z340" s="12"/>
      <c r="AA340" s="8"/>
      <c r="AB340" s="12"/>
      <c r="AC340" s="12"/>
      <c r="AD340" s="12"/>
      <c r="AE340" s="12"/>
      <c r="AF340" s="8"/>
      <c r="AG340" s="12"/>
      <c r="AH340" s="7" t="s">
        <v>51</v>
      </c>
      <c r="AI340" s="6" t="s">
        <v>71</v>
      </c>
      <c r="AJ340" s="6" t="s">
        <v>49</v>
      </c>
      <c r="AK340" s="6" t="s">
        <v>118</v>
      </c>
      <c r="AL340" s="9" t="s">
        <v>119</v>
      </c>
      <c r="AM340" s="9" t="s">
        <v>49</v>
      </c>
      <c r="AN340" s="6" t="s">
        <v>96</v>
      </c>
      <c r="AO340" s="9" t="s">
        <v>49</v>
      </c>
      <c r="AP340" s="11">
        <v>7248.8885899999996</v>
      </c>
      <c r="AQ340" s="11">
        <v>0</v>
      </c>
      <c r="AR340" s="11">
        <v>0</v>
      </c>
      <c r="AS340" s="11">
        <v>41681.266040000002</v>
      </c>
      <c r="AT340" s="11">
        <v>50825.983</v>
      </c>
      <c r="AU340" s="11">
        <v>0</v>
      </c>
      <c r="AV340" s="11">
        <v>0</v>
      </c>
    </row>
    <row r="341" spans="1:49" customFormat="1" ht="14.5" hidden="1">
      <c r="A341" s="6">
        <v>341</v>
      </c>
      <c r="B341" s="7" t="s">
        <v>713</v>
      </c>
      <c r="C341" s="7" t="s">
        <v>569</v>
      </c>
      <c r="D341" s="12"/>
      <c r="E341" s="6" t="s">
        <v>714</v>
      </c>
      <c r="F341" s="6">
        <v>82882</v>
      </c>
      <c r="G341" s="8"/>
      <c r="H341" s="7" t="s">
        <v>49</v>
      </c>
      <c r="I341" s="7"/>
      <c r="J341" s="6" t="s">
        <v>49</v>
      </c>
      <c r="K341" s="9" t="s">
        <v>49</v>
      </c>
      <c r="L341" s="9" t="s">
        <v>73</v>
      </c>
      <c r="M341" s="28">
        <v>178</v>
      </c>
      <c r="N341" s="8"/>
      <c r="O341" s="12"/>
      <c r="P341" s="9" t="s">
        <v>713</v>
      </c>
      <c r="Q341" s="9" t="s">
        <v>715</v>
      </c>
      <c r="R341" s="8"/>
      <c r="S341" s="8"/>
      <c r="T341" s="8"/>
      <c r="U341" s="8"/>
      <c r="V341" s="9" t="s">
        <v>49</v>
      </c>
      <c r="W341" s="9" t="s">
        <v>108</v>
      </c>
      <c r="X341" s="8"/>
      <c r="Y341" s="8"/>
      <c r="Z341" s="8"/>
      <c r="AA341" s="8"/>
      <c r="AB341" s="8"/>
      <c r="AC341" s="8"/>
      <c r="AD341" s="8"/>
      <c r="AE341" s="8"/>
      <c r="AF341" s="8"/>
      <c r="AG341" s="8"/>
      <c r="AH341" s="7" t="s">
        <v>49</v>
      </c>
      <c r="AI341" s="6" t="s">
        <v>49</v>
      </c>
      <c r="AJ341" s="6" t="s">
        <v>49</v>
      </c>
      <c r="AK341" s="6" t="s">
        <v>49</v>
      </c>
      <c r="AL341" s="9" t="s">
        <v>49</v>
      </c>
      <c r="AM341" s="9" t="s">
        <v>49</v>
      </c>
      <c r="AN341" s="6" t="s">
        <v>49</v>
      </c>
      <c r="AO341" s="9" t="s">
        <v>122</v>
      </c>
      <c r="AP341" s="11">
        <v>3.7844000000000002</v>
      </c>
      <c r="AQ341" s="11">
        <v>17190.810000000001</v>
      </c>
      <c r="AR341" s="11">
        <v>17190.802083333336</v>
      </c>
      <c r="AS341" s="11">
        <v>3.7844000000000002</v>
      </c>
      <c r="AT341" s="11">
        <v>3.7839999999999998</v>
      </c>
      <c r="AU341" s="11">
        <v>0.22</v>
      </c>
      <c r="AV341" s="11" t="s">
        <v>57</v>
      </c>
    </row>
    <row r="342" spans="1:49" customFormat="1" ht="14.5" hidden="1">
      <c r="A342" s="6">
        <v>342</v>
      </c>
      <c r="B342" s="7" t="s">
        <v>716</v>
      </c>
      <c r="C342" s="7" t="s">
        <v>569</v>
      </c>
      <c r="D342" s="12"/>
      <c r="E342" s="6" t="s">
        <v>104</v>
      </c>
      <c r="F342" s="6">
        <v>87072</v>
      </c>
      <c r="G342" s="8"/>
      <c r="H342" s="7" t="s">
        <v>49</v>
      </c>
      <c r="I342" s="7"/>
      <c r="J342" s="6" t="s">
        <v>75</v>
      </c>
      <c r="K342" s="9" t="s">
        <v>106</v>
      </c>
      <c r="L342" s="9" t="s">
        <v>73</v>
      </c>
      <c r="M342" s="28">
        <v>83</v>
      </c>
      <c r="N342" s="12"/>
      <c r="O342" s="12"/>
      <c r="P342" s="9" t="s">
        <v>716</v>
      </c>
      <c r="Q342" s="9" t="s">
        <v>717</v>
      </c>
      <c r="R342" s="8"/>
      <c r="S342" s="8"/>
      <c r="T342" s="8"/>
      <c r="U342" s="8"/>
      <c r="V342" s="9" t="s">
        <v>49</v>
      </c>
      <c r="W342" s="9" t="s">
        <v>108</v>
      </c>
      <c r="X342" s="8"/>
      <c r="Y342" s="8"/>
      <c r="Z342" s="6">
        <v>8.3000000000000004E-2</v>
      </c>
      <c r="AA342" s="8"/>
      <c r="AB342" s="6">
        <v>8.3000000000000004E-2</v>
      </c>
      <c r="AC342" s="8"/>
      <c r="AD342" s="6">
        <v>8.3000000000000004E-2</v>
      </c>
      <c r="AE342" s="6">
        <v>6.7000000000000004E-2</v>
      </c>
      <c r="AF342" s="8"/>
      <c r="AG342" s="6">
        <v>6.7000000000000004E-2</v>
      </c>
      <c r="AH342" s="7" t="s">
        <v>49</v>
      </c>
      <c r="AI342" s="6" t="s">
        <v>49</v>
      </c>
      <c r="AJ342" s="6" t="s">
        <v>49</v>
      </c>
      <c r="AK342" s="6" t="s">
        <v>49</v>
      </c>
      <c r="AL342" s="9" t="s">
        <v>49</v>
      </c>
      <c r="AM342" s="9" t="s">
        <v>49</v>
      </c>
      <c r="AN342" s="6" t="s">
        <v>49</v>
      </c>
      <c r="AO342" s="9" t="s">
        <v>49</v>
      </c>
      <c r="AP342" s="11">
        <v>0</v>
      </c>
      <c r="AQ342" s="11">
        <v>0</v>
      </c>
      <c r="AR342" s="11">
        <v>0</v>
      </c>
      <c r="AS342" s="11">
        <v>0</v>
      </c>
      <c r="AT342" s="11">
        <v>0</v>
      </c>
      <c r="AU342" s="11">
        <v>0</v>
      </c>
      <c r="AV342" s="11">
        <v>0</v>
      </c>
    </row>
    <row r="343" spans="1:49" customFormat="1" ht="14.5" hidden="1">
      <c r="A343" s="6">
        <v>343</v>
      </c>
      <c r="B343" s="7" t="s">
        <v>718</v>
      </c>
      <c r="C343" s="7" t="s">
        <v>569</v>
      </c>
      <c r="D343" s="6">
        <v>15586</v>
      </c>
      <c r="E343" s="6" t="s">
        <v>49</v>
      </c>
      <c r="F343" s="8"/>
      <c r="G343" s="8"/>
      <c r="H343" s="7" t="s">
        <v>70</v>
      </c>
      <c r="I343" s="7"/>
      <c r="J343" s="6" t="s">
        <v>49</v>
      </c>
      <c r="K343" s="9" t="s">
        <v>49</v>
      </c>
      <c r="L343" s="9" t="s">
        <v>49</v>
      </c>
      <c r="M343" s="8"/>
      <c r="N343" s="12"/>
      <c r="O343" s="10">
        <v>44741</v>
      </c>
      <c r="P343" s="9" t="s">
        <v>49</v>
      </c>
      <c r="Q343" s="9" t="s">
        <v>49</v>
      </c>
      <c r="R343" s="8"/>
      <c r="S343" s="8"/>
      <c r="T343" s="8"/>
      <c r="U343" s="8"/>
      <c r="V343" s="9" t="s">
        <v>49</v>
      </c>
      <c r="W343" s="9" t="s">
        <v>49</v>
      </c>
      <c r="X343" s="8"/>
      <c r="Y343" s="8"/>
      <c r="Z343" s="8"/>
      <c r="AA343" s="8"/>
      <c r="AB343" s="8"/>
      <c r="AC343" s="8"/>
      <c r="AD343" s="8"/>
      <c r="AE343" s="8"/>
      <c r="AF343" s="8"/>
      <c r="AG343" s="8"/>
      <c r="AH343" s="7" t="s">
        <v>57</v>
      </c>
      <c r="AI343" s="6" t="s">
        <v>71</v>
      </c>
      <c r="AJ343" s="6" t="s">
        <v>49</v>
      </c>
      <c r="AK343" s="6" t="s">
        <v>49</v>
      </c>
      <c r="AL343" s="9" t="s">
        <v>52</v>
      </c>
      <c r="AM343" s="9" t="s">
        <v>49</v>
      </c>
      <c r="AN343" s="6" t="s">
        <v>73</v>
      </c>
      <c r="AO343" s="9" t="s">
        <v>49</v>
      </c>
      <c r="AP343" s="11">
        <v>7248.8885899999996</v>
      </c>
      <c r="AQ343" s="11">
        <v>0</v>
      </c>
      <c r="AR343" s="11">
        <v>0</v>
      </c>
      <c r="AS343" s="11">
        <v>41681.266040000002</v>
      </c>
      <c r="AT343" s="11">
        <v>50825.983</v>
      </c>
      <c r="AU343" s="11"/>
      <c r="AV343" s="11">
        <v>0</v>
      </c>
    </row>
    <row r="344" spans="1:49" ht="13.5" hidden="1" customHeight="1">
      <c r="A344" s="46">
        <v>344</v>
      </c>
      <c r="B344" s="57" t="s">
        <v>718</v>
      </c>
      <c r="C344" s="47" t="s">
        <v>569</v>
      </c>
      <c r="D344" s="6">
        <v>15586</v>
      </c>
      <c r="E344" s="6" t="s">
        <v>719</v>
      </c>
      <c r="F344" s="6">
        <v>86328</v>
      </c>
      <c r="G344" s="8"/>
      <c r="H344" s="57" t="s">
        <v>70</v>
      </c>
      <c r="I344" s="47"/>
      <c r="J344" s="46" t="s">
        <v>89</v>
      </c>
      <c r="K344" s="48" t="s">
        <v>75</v>
      </c>
      <c r="L344" s="9" t="s">
        <v>73</v>
      </c>
      <c r="M344" s="28">
        <v>296</v>
      </c>
      <c r="N344" s="12"/>
      <c r="O344" s="10">
        <v>44741</v>
      </c>
      <c r="P344" s="9" t="s">
        <v>718</v>
      </c>
      <c r="Q344" s="9" t="s">
        <v>720</v>
      </c>
      <c r="R344" s="46">
        <v>5.92</v>
      </c>
      <c r="S344" s="46">
        <v>5.4</v>
      </c>
      <c r="T344" s="6">
        <v>17</v>
      </c>
      <c r="U344" s="46">
        <v>3.8</v>
      </c>
      <c r="V344" s="48" t="s">
        <v>269</v>
      </c>
      <c r="W344" s="9" t="s">
        <v>108</v>
      </c>
      <c r="X344" s="8"/>
      <c r="Y344" s="8"/>
      <c r="Z344" s="6">
        <v>0.29599999999999999</v>
      </c>
      <c r="AA344" s="8"/>
      <c r="AB344" s="6">
        <v>0.29599999999999999</v>
      </c>
      <c r="AC344" s="8"/>
      <c r="AD344" s="6">
        <v>0.29599999999999999</v>
      </c>
      <c r="AE344" s="6">
        <v>0.23699999999999999</v>
      </c>
      <c r="AF344" s="8"/>
      <c r="AG344" s="6">
        <v>0.23699999999999999</v>
      </c>
      <c r="AH344" s="7" t="s">
        <v>57</v>
      </c>
      <c r="AI344" s="6" t="s">
        <v>49</v>
      </c>
      <c r="AJ344" s="6" t="s">
        <v>49</v>
      </c>
      <c r="AK344" s="6" t="s">
        <v>49</v>
      </c>
      <c r="AL344" s="9" t="s">
        <v>49</v>
      </c>
      <c r="AM344" s="9" t="s">
        <v>122</v>
      </c>
      <c r="AN344" s="6" t="s">
        <v>73</v>
      </c>
      <c r="AO344" s="9" t="s">
        <v>122</v>
      </c>
      <c r="AP344" s="11">
        <v>0.66179999999999994</v>
      </c>
      <c r="AQ344" s="11">
        <v>72627.45</v>
      </c>
      <c r="AR344" s="11">
        <v>72627.447083333333</v>
      </c>
      <c r="AS344" s="11">
        <v>337.00524000000001</v>
      </c>
      <c r="AT344" s="11">
        <v>0.66200000000000003</v>
      </c>
      <c r="AU344" s="11">
        <v>0</v>
      </c>
      <c r="AV344" s="11" t="s">
        <v>57</v>
      </c>
    </row>
    <row r="345" spans="1:49" customFormat="1" ht="14.5" hidden="1">
      <c r="A345" s="6">
        <v>345</v>
      </c>
      <c r="B345" s="7" t="s">
        <v>721</v>
      </c>
      <c r="C345" s="7" t="s">
        <v>49</v>
      </c>
      <c r="D345" s="6">
        <v>15286</v>
      </c>
      <c r="E345" s="6" t="s">
        <v>49</v>
      </c>
      <c r="F345" s="8"/>
      <c r="G345" s="8"/>
      <c r="H345" s="7" t="s">
        <v>49</v>
      </c>
      <c r="I345" s="7"/>
      <c r="J345" s="6" t="s">
        <v>49</v>
      </c>
      <c r="K345" s="9" t="s">
        <v>49</v>
      </c>
      <c r="L345" s="9" t="s">
        <v>49</v>
      </c>
      <c r="M345" s="8"/>
      <c r="N345" s="10">
        <v>42887</v>
      </c>
      <c r="O345" s="10">
        <v>43497</v>
      </c>
      <c r="P345" s="9" t="s">
        <v>49</v>
      </c>
      <c r="Q345" s="9" t="s">
        <v>49</v>
      </c>
      <c r="R345" s="8"/>
      <c r="S345" s="8"/>
      <c r="T345" s="8"/>
      <c r="U345" s="8"/>
      <c r="V345" s="9" t="s">
        <v>49</v>
      </c>
      <c r="W345" s="9" t="s">
        <v>49</v>
      </c>
      <c r="X345" s="8"/>
      <c r="Y345" s="8"/>
      <c r="Z345" s="8"/>
      <c r="AA345" s="8"/>
      <c r="AB345" s="8"/>
      <c r="AC345" s="8"/>
      <c r="AD345" s="8"/>
      <c r="AE345" s="8"/>
      <c r="AF345" s="8"/>
      <c r="AG345" s="8"/>
      <c r="AH345" s="7" t="s">
        <v>57</v>
      </c>
      <c r="AI345" s="6" t="s">
        <v>71</v>
      </c>
      <c r="AJ345" s="6" t="s">
        <v>49</v>
      </c>
      <c r="AK345" s="6" t="s">
        <v>49</v>
      </c>
      <c r="AL345" s="9" t="s">
        <v>603</v>
      </c>
      <c r="AM345" s="9" t="s">
        <v>49</v>
      </c>
      <c r="AN345" s="6" t="s">
        <v>96</v>
      </c>
      <c r="AO345" s="9" t="s">
        <v>49</v>
      </c>
      <c r="AP345" s="11">
        <v>7248.8885899999996</v>
      </c>
      <c r="AQ345" s="11">
        <v>0</v>
      </c>
      <c r="AR345" s="11">
        <v>0</v>
      </c>
      <c r="AS345" s="11">
        <v>41681.266040000002</v>
      </c>
      <c r="AT345" s="11">
        <v>50825.983</v>
      </c>
      <c r="AU345" s="11">
        <v>0</v>
      </c>
      <c r="AV345" s="11">
        <v>0</v>
      </c>
    </row>
    <row r="346" spans="1:49" customFormat="1" ht="14.5" hidden="1">
      <c r="A346" s="6">
        <v>346</v>
      </c>
      <c r="B346" s="7" t="s">
        <v>721</v>
      </c>
      <c r="C346" s="7" t="s">
        <v>49</v>
      </c>
      <c r="D346" s="6">
        <v>15286</v>
      </c>
      <c r="E346" s="6" t="s">
        <v>722</v>
      </c>
      <c r="F346" s="8"/>
      <c r="G346" s="8"/>
      <c r="H346" s="7" t="s">
        <v>49</v>
      </c>
      <c r="I346" s="7"/>
      <c r="J346" s="6" t="s">
        <v>49</v>
      </c>
      <c r="K346" s="9" t="s">
        <v>49</v>
      </c>
      <c r="L346" s="9" t="s">
        <v>49</v>
      </c>
      <c r="M346" s="8"/>
      <c r="N346" s="10">
        <v>42887</v>
      </c>
      <c r="O346" s="10">
        <v>43497</v>
      </c>
      <c r="P346" s="9" t="s">
        <v>49</v>
      </c>
      <c r="Q346" s="9" t="s">
        <v>49</v>
      </c>
      <c r="R346" s="8"/>
      <c r="S346" s="8"/>
      <c r="T346" s="8"/>
      <c r="U346" s="8"/>
      <c r="V346" s="9" t="s">
        <v>49</v>
      </c>
      <c r="W346" s="9" t="s">
        <v>49</v>
      </c>
      <c r="X346" s="8"/>
      <c r="Y346" s="8"/>
      <c r="Z346" s="8"/>
      <c r="AA346" s="8"/>
      <c r="AB346" s="8"/>
      <c r="AC346" s="8"/>
      <c r="AD346" s="8"/>
      <c r="AE346" s="8"/>
      <c r="AF346" s="8"/>
      <c r="AG346" s="8"/>
      <c r="AH346" s="7" t="s">
        <v>57</v>
      </c>
      <c r="AI346" s="6" t="s">
        <v>49</v>
      </c>
      <c r="AJ346" s="6" t="s">
        <v>49</v>
      </c>
      <c r="AK346" s="6" t="s">
        <v>49</v>
      </c>
      <c r="AL346" s="9" t="s">
        <v>49</v>
      </c>
      <c r="AM346" s="9" t="s">
        <v>603</v>
      </c>
      <c r="AN346" s="6" t="s">
        <v>49</v>
      </c>
      <c r="AO346" s="9" t="s">
        <v>603</v>
      </c>
      <c r="AP346" s="11">
        <v>0</v>
      </c>
      <c r="AQ346" s="11">
        <v>0</v>
      </c>
      <c r="AR346" s="11">
        <v>0</v>
      </c>
      <c r="AS346" s="11">
        <v>0</v>
      </c>
      <c r="AT346" s="11">
        <v>0</v>
      </c>
      <c r="AU346" s="11">
        <v>0</v>
      </c>
      <c r="AV346" s="11" t="s">
        <v>57</v>
      </c>
    </row>
    <row r="347" spans="1:49" customFormat="1" ht="14.5" hidden="1">
      <c r="A347" s="6">
        <v>347</v>
      </c>
      <c r="B347" s="7" t="s">
        <v>723</v>
      </c>
      <c r="C347" s="7" t="s">
        <v>49</v>
      </c>
      <c r="D347" s="6">
        <v>12571</v>
      </c>
      <c r="E347" s="6" t="s">
        <v>724</v>
      </c>
      <c r="F347" s="8"/>
      <c r="G347" s="8"/>
      <c r="H347" s="7" t="s">
        <v>49</v>
      </c>
      <c r="I347" s="7"/>
      <c r="J347" s="6" t="s">
        <v>49</v>
      </c>
      <c r="K347" s="9" t="s">
        <v>49</v>
      </c>
      <c r="L347" s="9" t="s">
        <v>49</v>
      </c>
      <c r="M347" s="8"/>
      <c r="N347" s="10">
        <v>42927</v>
      </c>
      <c r="O347" s="10">
        <v>43766</v>
      </c>
      <c r="P347" s="9" t="s">
        <v>49</v>
      </c>
      <c r="Q347" s="9" t="s">
        <v>49</v>
      </c>
      <c r="R347" s="8"/>
      <c r="S347" s="8"/>
      <c r="T347" s="8"/>
      <c r="U347" s="8"/>
      <c r="V347" s="9" t="s">
        <v>49</v>
      </c>
      <c r="W347" s="9" t="s">
        <v>49</v>
      </c>
      <c r="X347" s="8"/>
      <c r="Y347" s="8"/>
      <c r="Z347" s="8"/>
      <c r="AA347" s="8"/>
      <c r="AB347" s="8"/>
      <c r="AC347" s="8"/>
      <c r="AD347" s="8"/>
      <c r="AE347" s="8"/>
      <c r="AF347" s="8"/>
      <c r="AG347" s="8"/>
      <c r="AH347" s="7" t="s">
        <v>51</v>
      </c>
      <c r="AI347" s="6" t="s">
        <v>49</v>
      </c>
      <c r="AJ347" s="6" t="s">
        <v>49</v>
      </c>
      <c r="AK347" s="6" t="s">
        <v>49</v>
      </c>
      <c r="AL347" s="9" t="s">
        <v>49</v>
      </c>
      <c r="AM347" s="9" t="s">
        <v>122</v>
      </c>
      <c r="AN347" s="6" t="s">
        <v>49</v>
      </c>
      <c r="AO347" s="9" t="s">
        <v>300</v>
      </c>
      <c r="AP347" s="11">
        <v>0</v>
      </c>
      <c r="AQ347" s="11">
        <v>0</v>
      </c>
      <c r="AR347" s="11">
        <v>0</v>
      </c>
      <c r="AS347" s="11">
        <v>0</v>
      </c>
      <c r="AT347" s="11">
        <v>0</v>
      </c>
      <c r="AU347" s="11">
        <v>0</v>
      </c>
      <c r="AV347" s="11" t="s">
        <v>51</v>
      </c>
    </row>
    <row r="348" spans="1:49" customFormat="1" ht="14.5" hidden="1">
      <c r="A348" s="6">
        <v>348</v>
      </c>
      <c r="B348" s="7" t="s">
        <v>725</v>
      </c>
      <c r="C348" s="7" t="s">
        <v>49</v>
      </c>
      <c r="D348" s="6">
        <v>12571</v>
      </c>
      <c r="E348" s="6" t="s">
        <v>49</v>
      </c>
      <c r="F348" s="8"/>
      <c r="G348" s="8"/>
      <c r="H348" s="7" t="s">
        <v>49</v>
      </c>
      <c r="I348" s="7"/>
      <c r="J348" s="6" t="s">
        <v>49</v>
      </c>
      <c r="K348" s="9" t="s">
        <v>49</v>
      </c>
      <c r="L348" s="9" t="s">
        <v>49</v>
      </c>
      <c r="M348" s="8"/>
      <c r="N348" s="10">
        <v>42927</v>
      </c>
      <c r="O348" s="10">
        <v>43766</v>
      </c>
      <c r="P348" s="9" t="s">
        <v>49</v>
      </c>
      <c r="Q348" s="9" t="s">
        <v>49</v>
      </c>
      <c r="R348" s="8"/>
      <c r="S348" s="8"/>
      <c r="T348" s="8"/>
      <c r="U348" s="8"/>
      <c r="V348" s="9" t="s">
        <v>49</v>
      </c>
      <c r="W348" s="9" t="s">
        <v>49</v>
      </c>
      <c r="X348" s="8"/>
      <c r="Y348" s="8"/>
      <c r="Z348" s="8"/>
      <c r="AA348" s="8"/>
      <c r="AB348" s="8"/>
      <c r="AC348" s="8"/>
      <c r="AD348" s="8"/>
      <c r="AE348" s="8"/>
      <c r="AF348" s="8"/>
      <c r="AG348" s="8"/>
      <c r="AH348" s="7" t="s">
        <v>51</v>
      </c>
      <c r="AI348" s="6" t="s">
        <v>71</v>
      </c>
      <c r="AJ348" s="6" t="s">
        <v>49</v>
      </c>
      <c r="AK348" s="6" t="s">
        <v>118</v>
      </c>
      <c r="AL348" s="9" t="s">
        <v>119</v>
      </c>
      <c r="AM348" s="9" t="s">
        <v>49</v>
      </c>
      <c r="AN348" s="6" t="s">
        <v>96</v>
      </c>
      <c r="AO348" s="9" t="s">
        <v>49</v>
      </c>
      <c r="AP348" s="11">
        <v>7248.8885899999996</v>
      </c>
      <c r="AQ348" s="11">
        <v>0</v>
      </c>
      <c r="AR348" s="11">
        <v>0</v>
      </c>
      <c r="AS348" s="11">
        <v>41681.266040000002</v>
      </c>
      <c r="AT348" s="11">
        <v>50825.983</v>
      </c>
      <c r="AU348" s="11">
        <v>0</v>
      </c>
      <c r="AV348" s="11">
        <v>0</v>
      </c>
    </row>
    <row r="349" spans="1:49" customFormat="1" ht="14.5" hidden="1">
      <c r="A349" s="6">
        <v>349</v>
      </c>
      <c r="B349" s="7" t="s">
        <v>726</v>
      </c>
      <c r="C349" s="7" t="s">
        <v>49</v>
      </c>
      <c r="D349" s="6">
        <v>15644</v>
      </c>
      <c r="E349" s="6" t="s">
        <v>49</v>
      </c>
      <c r="F349" s="8"/>
      <c r="G349" s="8"/>
      <c r="H349" s="7" t="s">
        <v>49</v>
      </c>
      <c r="I349" s="7"/>
      <c r="J349" s="6" t="s">
        <v>49</v>
      </c>
      <c r="K349" s="9" t="s">
        <v>49</v>
      </c>
      <c r="L349" s="9" t="s">
        <v>49</v>
      </c>
      <c r="M349" s="8"/>
      <c r="N349" s="12"/>
      <c r="O349" s="12"/>
      <c r="P349" s="9" t="s">
        <v>49</v>
      </c>
      <c r="Q349" s="9" t="s">
        <v>49</v>
      </c>
      <c r="R349" s="8"/>
      <c r="S349" s="8"/>
      <c r="T349" s="8"/>
      <c r="U349" s="8"/>
      <c r="V349" s="9" t="s">
        <v>49</v>
      </c>
      <c r="W349" s="9" t="s">
        <v>49</v>
      </c>
      <c r="X349" s="8"/>
      <c r="Y349" s="8"/>
      <c r="Z349" s="8"/>
      <c r="AA349" s="8"/>
      <c r="AB349" s="8"/>
      <c r="AC349" s="8"/>
      <c r="AD349" s="8"/>
      <c r="AE349" s="8"/>
      <c r="AF349" s="8"/>
      <c r="AG349" s="8"/>
      <c r="AH349" s="7" t="s">
        <v>79</v>
      </c>
      <c r="AI349" s="6" t="s">
        <v>110</v>
      </c>
      <c r="AJ349" s="6" t="s">
        <v>49</v>
      </c>
      <c r="AK349" s="6" t="s">
        <v>49</v>
      </c>
      <c r="AL349" s="9" t="s">
        <v>111</v>
      </c>
      <c r="AM349" s="9" t="s">
        <v>49</v>
      </c>
      <c r="AN349" s="6" t="s">
        <v>82</v>
      </c>
      <c r="AO349" s="9" t="s">
        <v>49</v>
      </c>
      <c r="AP349" s="11">
        <v>7248.8885899999996</v>
      </c>
      <c r="AQ349" s="11">
        <v>0</v>
      </c>
      <c r="AR349" s="11">
        <v>0</v>
      </c>
      <c r="AS349" s="11">
        <v>41681.266040000002</v>
      </c>
      <c r="AT349" s="11">
        <v>50825.983</v>
      </c>
      <c r="AU349" s="11">
        <v>0</v>
      </c>
      <c r="AV349" s="11">
        <v>0</v>
      </c>
    </row>
    <row r="350" spans="1:49" customFormat="1" ht="14.5" hidden="1">
      <c r="A350" s="6">
        <v>350</v>
      </c>
      <c r="B350" s="7" t="s">
        <v>727</v>
      </c>
      <c r="C350" s="7" t="s">
        <v>49</v>
      </c>
      <c r="D350" s="6">
        <v>15644</v>
      </c>
      <c r="E350" s="6" t="s">
        <v>49</v>
      </c>
      <c r="F350" s="8"/>
      <c r="G350" s="8"/>
      <c r="H350" s="7" t="s">
        <v>49</v>
      </c>
      <c r="I350" s="7"/>
      <c r="J350" s="6" t="s">
        <v>49</v>
      </c>
      <c r="K350" s="9" t="s">
        <v>49</v>
      </c>
      <c r="L350" s="9" t="s">
        <v>49</v>
      </c>
      <c r="M350" s="8"/>
      <c r="N350" s="12"/>
      <c r="O350" s="12"/>
      <c r="P350" s="9" t="s">
        <v>49</v>
      </c>
      <c r="Q350" s="9" t="s">
        <v>49</v>
      </c>
      <c r="R350" s="8"/>
      <c r="S350" s="8"/>
      <c r="T350" s="8"/>
      <c r="U350" s="8"/>
      <c r="V350" s="9" t="s">
        <v>49</v>
      </c>
      <c r="W350" s="9" t="s">
        <v>49</v>
      </c>
      <c r="X350" s="8"/>
      <c r="Y350" s="8"/>
      <c r="Z350" s="8"/>
      <c r="AA350" s="8"/>
      <c r="AB350" s="8"/>
      <c r="AC350" s="8"/>
      <c r="AD350" s="8"/>
      <c r="AE350" s="8"/>
      <c r="AF350" s="8"/>
      <c r="AG350" s="8"/>
      <c r="AH350" s="7" t="s">
        <v>79</v>
      </c>
      <c r="AI350" s="6" t="s">
        <v>110</v>
      </c>
      <c r="AJ350" s="6" t="s">
        <v>49</v>
      </c>
      <c r="AK350" s="6" t="s">
        <v>49</v>
      </c>
      <c r="AL350" s="9" t="s">
        <v>111</v>
      </c>
      <c r="AM350" s="9" t="s">
        <v>49</v>
      </c>
      <c r="AN350" s="6" t="s">
        <v>82</v>
      </c>
      <c r="AO350" s="9" t="s">
        <v>49</v>
      </c>
      <c r="AP350" s="11">
        <v>7248.8885899999996</v>
      </c>
      <c r="AQ350" s="11">
        <v>0</v>
      </c>
      <c r="AR350" s="11">
        <v>0</v>
      </c>
      <c r="AS350" s="11">
        <v>41681.266040000002</v>
      </c>
      <c r="AT350" s="11">
        <v>50825.983</v>
      </c>
      <c r="AU350" s="11">
        <v>0</v>
      </c>
      <c r="AV350" s="11">
        <v>0</v>
      </c>
    </row>
    <row r="351" spans="1:49" customFormat="1" ht="14.5" hidden="1">
      <c r="A351" s="6">
        <v>351</v>
      </c>
      <c r="B351" s="7" t="s">
        <v>728</v>
      </c>
      <c r="C351" s="7" t="s">
        <v>49</v>
      </c>
      <c r="D351" s="6">
        <v>15644</v>
      </c>
      <c r="E351" s="6" t="s">
        <v>49</v>
      </c>
      <c r="F351" s="8"/>
      <c r="G351" s="8"/>
      <c r="H351" s="7" t="s">
        <v>49</v>
      </c>
      <c r="I351" s="7"/>
      <c r="J351" s="6" t="s">
        <v>49</v>
      </c>
      <c r="K351" s="9" t="s">
        <v>49</v>
      </c>
      <c r="L351" s="9" t="s">
        <v>49</v>
      </c>
      <c r="M351" s="8"/>
      <c r="N351" s="8"/>
      <c r="O351" s="8"/>
      <c r="P351" s="9" t="s">
        <v>49</v>
      </c>
      <c r="Q351" s="9" t="s">
        <v>49</v>
      </c>
      <c r="R351" s="8"/>
      <c r="S351" s="8"/>
      <c r="T351" s="8"/>
      <c r="U351" s="8"/>
      <c r="V351" s="9" t="s">
        <v>49</v>
      </c>
      <c r="W351" s="9" t="s">
        <v>49</v>
      </c>
      <c r="X351" s="8"/>
      <c r="Y351" s="8"/>
      <c r="Z351" s="8"/>
      <c r="AA351" s="8"/>
      <c r="AB351" s="8"/>
      <c r="AC351" s="8"/>
      <c r="AD351" s="8"/>
      <c r="AE351" s="8"/>
      <c r="AF351" s="8"/>
      <c r="AG351" s="8"/>
      <c r="AH351" s="7" t="s">
        <v>79</v>
      </c>
      <c r="AI351" s="6" t="s">
        <v>110</v>
      </c>
      <c r="AJ351" s="6" t="s">
        <v>49</v>
      </c>
      <c r="AK351" s="6" t="s">
        <v>49</v>
      </c>
      <c r="AL351" s="9" t="s">
        <v>111</v>
      </c>
      <c r="AM351" s="9" t="s">
        <v>49</v>
      </c>
      <c r="AN351" s="6" t="s">
        <v>82</v>
      </c>
      <c r="AO351" s="9" t="s">
        <v>49</v>
      </c>
      <c r="AP351" s="11">
        <v>7248.8885899999996</v>
      </c>
      <c r="AQ351" s="11">
        <v>0</v>
      </c>
      <c r="AR351" s="11">
        <v>0</v>
      </c>
      <c r="AS351" s="11">
        <v>41681.266040000002</v>
      </c>
      <c r="AT351" s="11">
        <v>50825.983</v>
      </c>
      <c r="AU351" s="11">
        <v>0</v>
      </c>
      <c r="AV351" s="11">
        <v>0</v>
      </c>
    </row>
    <row r="352" spans="1:49" customFormat="1" ht="14.5" hidden="1">
      <c r="A352" s="6">
        <v>352</v>
      </c>
      <c r="B352" s="7" t="s">
        <v>729</v>
      </c>
      <c r="C352" s="7" t="s">
        <v>49</v>
      </c>
      <c r="D352" s="6">
        <v>15063</v>
      </c>
      <c r="E352" s="6" t="s">
        <v>730</v>
      </c>
      <c r="F352" s="8"/>
      <c r="G352" s="8"/>
      <c r="H352" s="7" t="s">
        <v>49</v>
      </c>
      <c r="I352" s="7"/>
      <c r="J352" s="6" t="s">
        <v>49</v>
      </c>
      <c r="K352" s="9" t="s">
        <v>49</v>
      </c>
      <c r="L352" s="9" t="s">
        <v>49</v>
      </c>
      <c r="M352" s="8"/>
      <c r="N352" s="10">
        <v>43192</v>
      </c>
      <c r="O352" s="10">
        <v>43921</v>
      </c>
      <c r="P352" s="9" t="s">
        <v>49</v>
      </c>
      <c r="Q352" s="9" t="s">
        <v>49</v>
      </c>
      <c r="R352" s="8"/>
      <c r="S352" s="8"/>
      <c r="T352" s="8"/>
      <c r="U352" s="8"/>
      <c r="V352" s="9" t="s">
        <v>49</v>
      </c>
      <c r="W352" s="9" t="s">
        <v>49</v>
      </c>
      <c r="X352" s="8"/>
      <c r="Y352" s="8"/>
      <c r="Z352" s="8"/>
      <c r="AA352" s="8"/>
      <c r="AB352" s="8"/>
      <c r="AC352" s="8"/>
      <c r="AD352" s="8"/>
      <c r="AE352" s="8"/>
      <c r="AF352" s="8"/>
      <c r="AG352" s="8"/>
      <c r="AH352" s="7" t="s">
        <v>51</v>
      </c>
      <c r="AI352" s="6" t="s">
        <v>49</v>
      </c>
      <c r="AJ352" s="6" t="s">
        <v>49</v>
      </c>
      <c r="AK352" s="6" t="s">
        <v>49</v>
      </c>
      <c r="AL352" s="9" t="s">
        <v>49</v>
      </c>
      <c r="AM352" s="9" t="s">
        <v>380</v>
      </c>
      <c r="AN352" s="6" t="s">
        <v>49</v>
      </c>
      <c r="AO352" s="9" t="s">
        <v>222</v>
      </c>
      <c r="AP352" s="11">
        <v>0</v>
      </c>
      <c r="AQ352" s="11">
        <v>0</v>
      </c>
      <c r="AR352" s="11">
        <v>0</v>
      </c>
      <c r="AS352" s="11">
        <v>0</v>
      </c>
      <c r="AT352" s="11">
        <v>0</v>
      </c>
      <c r="AU352" s="11">
        <v>0</v>
      </c>
      <c r="AV352" s="11" t="s">
        <v>51</v>
      </c>
    </row>
    <row r="353" spans="1:50" customFormat="1" ht="14.5" hidden="1">
      <c r="A353" s="6">
        <v>353</v>
      </c>
      <c r="B353" s="7" t="s">
        <v>731</v>
      </c>
      <c r="C353" s="7" t="s">
        <v>49</v>
      </c>
      <c r="D353" s="6">
        <v>15062</v>
      </c>
      <c r="E353" s="6" t="s">
        <v>732</v>
      </c>
      <c r="F353" s="8"/>
      <c r="G353" s="8"/>
      <c r="H353" s="7" t="s">
        <v>49</v>
      </c>
      <c r="I353" s="7"/>
      <c r="J353" s="6" t="s">
        <v>49</v>
      </c>
      <c r="K353" s="9" t="s">
        <v>49</v>
      </c>
      <c r="L353" s="9" t="s">
        <v>49</v>
      </c>
      <c r="M353" s="8"/>
      <c r="N353" s="10">
        <v>43010</v>
      </c>
      <c r="O353" s="10">
        <v>44196</v>
      </c>
      <c r="P353" s="9" t="s">
        <v>49</v>
      </c>
      <c r="Q353" s="9" t="s">
        <v>49</v>
      </c>
      <c r="R353" s="8"/>
      <c r="S353" s="8"/>
      <c r="T353" s="8"/>
      <c r="U353" s="8"/>
      <c r="V353" s="9" t="s">
        <v>49</v>
      </c>
      <c r="W353" s="9" t="s">
        <v>49</v>
      </c>
      <c r="X353" s="8"/>
      <c r="Y353" s="8"/>
      <c r="Z353" s="8"/>
      <c r="AA353" s="8"/>
      <c r="AB353" s="8"/>
      <c r="AC353" s="8"/>
      <c r="AD353" s="8"/>
      <c r="AE353" s="8"/>
      <c r="AF353" s="8"/>
      <c r="AG353" s="8"/>
      <c r="AH353" s="7" t="s">
        <v>51</v>
      </c>
      <c r="AI353" s="6" t="s">
        <v>49</v>
      </c>
      <c r="AJ353" s="6" t="s">
        <v>49</v>
      </c>
      <c r="AK353" s="6" t="s">
        <v>49</v>
      </c>
      <c r="AL353" s="9" t="s">
        <v>49</v>
      </c>
      <c r="AM353" s="9" t="s">
        <v>545</v>
      </c>
      <c r="AN353" s="6" t="s">
        <v>49</v>
      </c>
      <c r="AO353" s="9" t="s">
        <v>545</v>
      </c>
      <c r="AP353" s="11">
        <v>0</v>
      </c>
      <c r="AQ353" s="11">
        <v>0</v>
      </c>
      <c r="AR353" s="11">
        <v>0</v>
      </c>
      <c r="AS353" s="11">
        <v>0</v>
      </c>
      <c r="AT353" s="11">
        <v>0</v>
      </c>
      <c r="AU353" s="11">
        <v>0</v>
      </c>
      <c r="AV353" s="11" t="s">
        <v>51</v>
      </c>
    </row>
    <row r="354" spans="1:50" ht="13.5" customHeight="1">
      <c r="A354" s="46">
        <v>434</v>
      </c>
      <c r="B354" s="47" t="s">
        <v>883</v>
      </c>
      <c r="C354" s="47" t="s">
        <v>101</v>
      </c>
      <c r="D354" s="6">
        <v>15377</v>
      </c>
      <c r="E354" s="6" t="s">
        <v>884</v>
      </c>
      <c r="F354" s="6">
        <v>0</v>
      </c>
      <c r="G354" s="8"/>
      <c r="H354" s="47" t="s">
        <v>88</v>
      </c>
      <c r="I354" s="47" t="s">
        <v>255</v>
      </c>
      <c r="J354" s="46" t="s">
        <v>105</v>
      </c>
      <c r="K354" s="48" t="s">
        <v>76</v>
      </c>
      <c r="L354" s="9" t="s">
        <v>73</v>
      </c>
      <c r="M354" s="15">
        <v>4300</v>
      </c>
      <c r="N354" s="10">
        <v>43346</v>
      </c>
      <c r="O354" s="10">
        <v>43858</v>
      </c>
      <c r="P354" s="9" t="s">
        <v>885</v>
      </c>
      <c r="Q354" s="9" t="s">
        <v>107</v>
      </c>
      <c r="R354" s="46">
        <v>4.93</v>
      </c>
      <c r="S354" s="46">
        <v>111</v>
      </c>
      <c r="T354" s="6">
        <v>655.7</v>
      </c>
      <c r="U354" s="46">
        <v>22.5</v>
      </c>
      <c r="V354" s="48" t="s">
        <v>886</v>
      </c>
      <c r="W354" s="9" t="s">
        <v>49</v>
      </c>
      <c r="X354" s="38">
        <v>4.3</v>
      </c>
      <c r="Y354" s="38">
        <v>0</v>
      </c>
      <c r="Z354" s="6">
        <v>0</v>
      </c>
      <c r="AA354" s="38">
        <v>0</v>
      </c>
      <c r="AB354" s="6">
        <v>4.3</v>
      </c>
      <c r="AC354" s="6">
        <v>0</v>
      </c>
      <c r="AD354" s="6">
        <v>4.3</v>
      </c>
      <c r="AE354" s="6">
        <v>3.87</v>
      </c>
      <c r="AF354" s="8"/>
      <c r="AG354" s="6">
        <v>3.87</v>
      </c>
      <c r="AH354" s="7" t="s">
        <v>51</v>
      </c>
      <c r="AI354" s="6" t="s">
        <v>49</v>
      </c>
      <c r="AJ354" s="6" t="s">
        <v>49</v>
      </c>
      <c r="AK354" s="6" t="s">
        <v>49</v>
      </c>
      <c r="AL354" s="9" t="s">
        <v>49</v>
      </c>
      <c r="AM354" s="9" t="s">
        <v>102</v>
      </c>
      <c r="AN354" s="6" t="s">
        <v>73</v>
      </c>
      <c r="AO354" s="9" t="s">
        <v>102</v>
      </c>
      <c r="AP354" s="11">
        <v>358.45600000000002</v>
      </c>
      <c r="AQ354" s="11">
        <v>517893.33</v>
      </c>
      <c r="AR354" s="11">
        <v>517893.33666666667</v>
      </c>
      <c r="AS354" s="11">
        <v>4306.9552699999995</v>
      </c>
      <c r="AT354" s="11">
        <v>358.45600000000002</v>
      </c>
      <c r="AU354" s="11">
        <v>3800</v>
      </c>
      <c r="AV354" s="11" t="s">
        <v>51</v>
      </c>
      <c r="AW354" t="s">
        <v>306</v>
      </c>
      <c r="AX354" s="58" t="s">
        <v>934</v>
      </c>
    </row>
    <row r="355" spans="1:50" customFormat="1" ht="14.5" hidden="1">
      <c r="A355" s="6">
        <v>355</v>
      </c>
      <c r="B355" s="7" t="s">
        <v>738</v>
      </c>
      <c r="C355" s="7" t="s">
        <v>49</v>
      </c>
      <c r="D355" s="6">
        <v>12525</v>
      </c>
      <c r="E355" s="6" t="s">
        <v>49</v>
      </c>
      <c r="F355" s="8"/>
      <c r="G355" s="8"/>
      <c r="H355" s="7" t="s">
        <v>49</v>
      </c>
      <c r="I355" s="7"/>
      <c r="J355" s="6" t="s">
        <v>49</v>
      </c>
      <c r="K355" s="9" t="s">
        <v>49</v>
      </c>
      <c r="L355" s="9" t="s">
        <v>49</v>
      </c>
      <c r="M355" s="8"/>
      <c r="N355" s="10">
        <v>42933</v>
      </c>
      <c r="O355" s="10">
        <v>43830</v>
      </c>
      <c r="P355" s="9" t="s">
        <v>49</v>
      </c>
      <c r="Q355" s="9" t="s">
        <v>49</v>
      </c>
      <c r="R355" s="8"/>
      <c r="S355" s="8"/>
      <c r="T355" s="8"/>
      <c r="U355" s="8"/>
      <c r="V355" s="9" t="s">
        <v>49</v>
      </c>
      <c r="W355" s="9" t="s">
        <v>49</v>
      </c>
      <c r="X355" s="8"/>
      <c r="Y355" s="8"/>
      <c r="Z355" s="8"/>
      <c r="AA355" s="8"/>
      <c r="AB355" s="8"/>
      <c r="AC355" s="8"/>
      <c r="AD355" s="8"/>
      <c r="AE355" s="8"/>
      <c r="AF355" s="8"/>
      <c r="AG355" s="8"/>
      <c r="AH355" s="7" t="s">
        <v>51</v>
      </c>
      <c r="AI355" s="6" t="s">
        <v>71</v>
      </c>
      <c r="AJ355" s="6" t="s">
        <v>49</v>
      </c>
      <c r="AK355" s="6" t="s">
        <v>118</v>
      </c>
      <c r="AL355" s="9" t="s">
        <v>274</v>
      </c>
      <c r="AM355" s="9" t="s">
        <v>49</v>
      </c>
      <c r="AN355" s="6" t="s">
        <v>82</v>
      </c>
      <c r="AO355" s="9" t="s">
        <v>49</v>
      </c>
      <c r="AP355" s="11">
        <v>7248.8885899999996</v>
      </c>
      <c r="AQ355" s="11">
        <v>0</v>
      </c>
      <c r="AR355" s="11">
        <v>0</v>
      </c>
      <c r="AS355" s="11">
        <v>41681.266040000002</v>
      </c>
      <c r="AT355" s="11">
        <v>50825.983</v>
      </c>
      <c r="AU355" s="11">
        <v>0</v>
      </c>
      <c r="AV355" s="11">
        <v>0</v>
      </c>
    </row>
    <row r="356" spans="1:50" customFormat="1" ht="14.5" hidden="1">
      <c r="A356" s="6">
        <v>356</v>
      </c>
      <c r="B356" s="7" t="s">
        <v>739</v>
      </c>
      <c r="C356" s="7" t="s">
        <v>49</v>
      </c>
      <c r="D356" s="6">
        <v>15063</v>
      </c>
      <c r="E356" s="6" t="s">
        <v>740</v>
      </c>
      <c r="F356" s="8"/>
      <c r="G356" s="8"/>
      <c r="H356" s="7" t="s">
        <v>49</v>
      </c>
      <c r="I356" s="7"/>
      <c r="J356" s="6" t="s">
        <v>49</v>
      </c>
      <c r="K356" s="9" t="s">
        <v>49</v>
      </c>
      <c r="L356" s="9" t="s">
        <v>49</v>
      </c>
      <c r="M356" s="8"/>
      <c r="N356" s="10">
        <v>43070</v>
      </c>
      <c r="O356" s="10">
        <v>43797</v>
      </c>
      <c r="P356" s="9" t="s">
        <v>49</v>
      </c>
      <c r="Q356" s="9" t="s">
        <v>49</v>
      </c>
      <c r="R356" s="8"/>
      <c r="S356" s="8"/>
      <c r="T356" s="8"/>
      <c r="U356" s="8"/>
      <c r="V356" s="9" t="s">
        <v>49</v>
      </c>
      <c r="W356" s="9" t="s">
        <v>49</v>
      </c>
      <c r="X356" s="8"/>
      <c r="Y356" s="8"/>
      <c r="Z356" s="8"/>
      <c r="AA356" s="8"/>
      <c r="AB356" s="8"/>
      <c r="AC356" s="8"/>
      <c r="AD356" s="8"/>
      <c r="AE356" s="8"/>
      <c r="AF356" s="8"/>
      <c r="AG356" s="8"/>
      <c r="AH356" s="7" t="s">
        <v>51</v>
      </c>
      <c r="AI356" s="6" t="s">
        <v>49</v>
      </c>
      <c r="AJ356" s="6" t="s">
        <v>49</v>
      </c>
      <c r="AK356" s="6" t="s">
        <v>49</v>
      </c>
      <c r="AL356" s="9" t="s">
        <v>49</v>
      </c>
      <c r="AM356" s="9" t="s">
        <v>626</v>
      </c>
      <c r="AN356" s="6" t="s">
        <v>49</v>
      </c>
      <c r="AO356" s="9" t="s">
        <v>222</v>
      </c>
      <c r="AP356" s="11">
        <v>0</v>
      </c>
      <c r="AQ356" s="11">
        <v>0</v>
      </c>
      <c r="AR356" s="11">
        <v>0</v>
      </c>
      <c r="AS356" s="11">
        <v>0</v>
      </c>
      <c r="AT356" s="11">
        <v>0</v>
      </c>
      <c r="AU356" s="11">
        <v>0</v>
      </c>
      <c r="AV356" s="11" t="s">
        <v>51</v>
      </c>
    </row>
    <row r="357" spans="1:50" customFormat="1" ht="14.5" hidden="1">
      <c r="A357" s="6">
        <v>357</v>
      </c>
      <c r="B357" s="7" t="s">
        <v>741</v>
      </c>
      <c r="C357" s="7" t="s">
        <v>49</v>
      </c>
      <c r="D357" s="6">
        <v>15481</v>
      </c>
      <c r="E357" s="6" t="s">
        <v>742</v>
      </c>
      <c r="F357" s="8"/>
      <c r="G357" s="8"/>
      <c r="H357" s="7" t="s">
        <v>49</v>
      </c>
      <c r="I357" s="7"/>
      <c r="J357" s="6" t="s">
        <v>49</v>
      </c>
      <c r="K357" s="9" t="s">
        <v>49</v>
      </c>
      <c r="L357" s="9" t="s">
        <v>49</v>
      </c>
      <c r="M357" s="8"/>
      <c r="N357" s="10">
        <v>43434</v>
      </c>
      <c r="O357" s="10">
        <v>44561</v>
      </c>
      <c r="P357" s="9" t="s">
        <v>49</v>
      </c>
      <c r="Q357" s="9" t="s">
        <v>49</v>
      </c>
      <c r="R357" s="8"/>
      <c r="S357" s="8"/>
      <c r="T357" s="8"/>
      <c r="U357" s="8"/>
      <c r="V357" s="9" t="s">
        <v>49</v>
      </c>
      <c r="W357" s="9" t="s">
        <v>49</v>
      </c>
      <c r="X357" s="8"/>
      <c r="Y357" s="8"/>
      <c r="Z357" s="8"/>
      <c r="AA357" s="8"/>
      <c r="AB357" s="8"/>
      <c r="AC357" s="8"/>
      <c r="AD357" s="8"/>
      <c r="AE357" s="8"/>
      <c r="AF357" s="8"/>
      <c r="AG357" s="8"/>
      <c r="AH357" s="7" t="s">
        <v>57</v>
      </c>
      <c r="AI357" s="6" t="s">
        <v>49</v>
      </c>
      <c r="AJ357" s="6" t="s">
        <v>49</v>
      </c>
      <c r="AK357" s="6" t="s">
        <v>49</v>
      </c>
      <c r="AL357" s="9" t="s">
        <v>49</v>
      </c>
      <c r="AM357" s="9" t="s">
        <v>67</v>
      </c>
      <c r="AN357" s="6" t="s">
        <v>49</v>
      </c>
      <c r="AO357" s="9" t="s">
        <v>67</v>
      </c>
      <c r="AP357" s="11">
        <v>0</v>
      </c>
      <c r="AQ357" s="11">
        <v>0</v>
      </c>
      <c r="AR357" s="11">
        <v>0</v>
      </c>
      <c r="AS357" s="11">
        <v>0</v>
      </c>
      <c r="AT357" s="11">
        <v>0</v>
      </c>
      <c r="AU357" s="11">
        <v>0</v>
      </c>
      <c r="AV357" s="11" t="s">
        <v>57</v>
      </c>
    </row>
    <row r="358" spans="1:50" customFormat="1" ht="14.5" hidden="1">
      <c r="A358" s="6">
        <v>358</v>
      </c>
      <c r="B358" s="7" t="s">
        <v>743</v>
      </c>
      <c r="C358" s="7" t="s">
        <v>49</v>
      </c>
      <c r="D358" s="6">
        <v>15481</v>
      </c>
      <c r="E358" s="6" t="s">
        <v>49</v>
      </c>
      <c r="F358" s="8"/>
      <c r="G358" s="8"/>
      <c r="H358" s="7" t="s">
        <v>49</v>
      </c>
      <c r="I358" s="7"/>
      <c r="J358" s="6" t="s">
        <v>49</v>
      </c>
      <c r="K358" s="9" t="s">
        <v>49</v>
      </c>
      <c r="L358" s="9" t="s">
        <v>49</v>
      </c>
      <c r="M358" s="8"/>
      <c r="N358" s="10">
        <v>43434</v>
      </c>
      <c r="O358" s="10">
        <v>44925</v>
      </c>
      <c r="P358" s="9" t="s">
        <v>49</v>
      </c>
      <c r="Q358" s="9" t="s">
        <v>49</v>
      </c>
      <c r="R358" s="8"/>
      <c r="S358" s="8"/>
      <c r="T358" s="8"/>
      <c r="U358" s="8"/>
      <c r="V358" s="9" t="s">
        <v>49</v>
      </c>
      <c r="W358" s="9" t="s">
        <v>49</v>
      </c>
      <c r="X358" s="8"/>
      <c r="Y358" s="8"/>
      <c r="Z358" s="8"/>
      <c r="AA358" s="8"/>
      <c r="AB358" s="8"/>
      <c r="AC358" s="8"/>
      <c r="AD358" s="8"/>
      <c r="AE358" s="8"/>
      <c r="AF358" s="8"/>
      <c r="AG358" s="8"/>
      <c r="AH358" s="7" t="s">
        <v>57</v>
      </c>
      <c r="AI358" s="6" t="s">
        <v>71</v>
      </c>
      <c r="AJ358" s="6" t="s">
        <v>49</v>
      </c>
      <c r="AK358" s="6" t="s">
        <v>49</v>
      </c>
      <c r="AL358" s="9" t="s">
        <v>67</v>
      </c>
      <c r="AM358" s="9" t="s">
        <v>49</v>
      </c>
      <c r="AN358" s="6" t="s">
        <v>85</v>
      </c>
      <c r="AO358" s="9" t="s">
        <v>49</v>
      </c>
      <c r="AP358" s="11">
        <v>7248.8885899999996</v>
      </c>
      <c r="AQ358" s="11">
        <v>0</v>
      </c>
      <c r="AR358" s="11">
        <v>0</v>
      </c>
      <c r="AS358" s="11">
        <v>41681.266040000002</v>
      </c>
      <c r="AT358" s="11">
        <v>50825.983</v>
      </c>
      <c r="AU358" s="11">
        <v>0</v>
      </c>
      <c r="AV358" s="11">
        <v>0</v>
      </c>
    </row>
    <row r="359" spans="1:50" customFormat="1" ht="14.5" hidden="1">
      <c r="A359" s="6">
        <v>359</v>
      </c>
      <c r="B359" s="7" t="s">
        <v>744</v>
      </c>
      <c r="C359" s="7" t="s">
        <v>49</v>
      </c>
      <c r="D359" s="6">
        <v>15644</v>
      </c>
      <c r="E359" s="6" t="s">
        <v>49</v>
      </c>
      <c r="F359" s="8"/>
      <c r="G359" s="8"/>
      <c r="H359" s="7" t="s">
        <v>49</v>
      </c>
      <c r="I359" s="7"/>
      <c r="J359" s="6" t="s">
        <v>49</v>
      </c>
      <c r="K359" s="9" t="s">
        <v>49</v>
      </c>
      <c r="L359" s="9" t="s">
        <v>49</v>
      </c>
      <c r="M359" s="8"/>
      <c r="N359" s="12"/>
      <c r="O359" s="12"/>
      <c r="P359" s="9" t="s">
        <v>49</v>
      </c>
      <c r="Q359" s="9" t="s">
        <v>49</v>
      </c>
      <c r="R359" s="8"/>
      <c r="S359" s="8"/>
      <c r="T359" s="8"/>
      <c r="U359" s="8"/>
      <c r="V359" s="9" t="s">
        <v>49</v>
      </c>
      <c r="W359" s="9" t="s">
        <v>49</v>
      </c>
      <c r="X359" s="8"/>
      <c r="Y359" s="8"/>
      <c r="Z359" s="8"/>
      <c r="AA359" s="8"/>
      <c r="AB359" s="8"/>
      <c r="AC359" s="8"/>
      <c r="AD359" s="8"/>
      <c r="AE359" s="8"/>
      <c r="AF359" s="8"/>
      <c r="AG359" s="8"/>
      <c r="AH359" s="7" t="s">
        <v>79</v>
      </c>
      <c r="AI359" s="6" t="s">
        <v>110</v>
      </c>
      <c r="AJ359" s="6" t="s">
        <v>49</v>
      </c>
      <c r="AK359" s="6" t="s">
        <v>49</v>
      </c>
      <c r="AL359" s="9" t="s">
        <v>111</v>
      </c>
      <c r="AM359" s="9" t="s">
        <v>49</v>
      </c>
      <c r="AN359" s="6" t="s">
        <v>82</v>
      </c>
      <c r="AO359" s="9" t="s">
        <v>49</v>
      </c>
      <c r="AP359" s="11">
        <v>7248.8885899999996</v>
      </c>
      <c r="AQ359" s="11">
        <v>0</v>
      </c>
      <c r="AR359" s="11">
        <v>0</v>
      </c>
      <c r="AS359" s="11">
        <v>41681.266040000002</v>
      </c>
      <c r="AT359" s="11">
        <v>50825.983</v>
      </c>
      <c r="AU359" s="11">
        <v>0</v>
      </c>
      <c r="AV359" s="11">
        <v>0</v>
      </c>
    </row>
    <row r="360" spans="1:50" customFormat="1" ht="14.5" hidden="1">
      <c r="A360" s="6">
        <v>360</v>
      </c>
      <c r="B360" s="7" t="s">
        <v>745</v>
      </c>
      <c r="C360" s="7" t="s">
        <v>49</v>
      </c>
      <c r="D360" s="6">
        <v>15644</v>
      </c>
      <c r="E360" s="6" t="s">
        <v>49</v>
      </c>
      <c r="F360" s="8"/>
      <c r="G360" s="8"/>
      <c r="H360" s="7" t="s">
        <v>49</v>
      </c>
      <c r="I360" s="7"/>
      <c r="J360" s="6" t="s">
        <v>49</v>
      </c>
      <c r="K360" s="9" t="s">
        <v>49</v>
      </c>
      <c r="L360" s="9" t="s">
        <v>49</v>
      </c>
      <c r="M360" s="8"/>
      <c r="N360" s="12"/>
      <c r="O360" s="12"/>
      <c r="P360" s="9" t="s">
        <v>49</v>
      </c>
      <c r="Q360" s="9" t="s">
        <v>49</v>
      </c>
      <c r="R360" s="8"/>
      <c r="S360" s="8"/>
      <c r="T360" s="8"/>
      <c r="U360" s="8"/>
      <c r="V360" s="9" t="s">
        <v>49</v>
      </c>
      <c r="W360" s="9" t="s">
        <v>49</v>
      </c>
      <c r="X360" s="8"/>
      <c r="Y360" s="8"/>
      <c r="Z360" s="8"/>
      <c r="AA360" s="8"/>
      <c r="AB360" s="8"/>
      <c r="AC360" s="8"/>
      <c r="AD360" s="8"/>
      <c r="AE360" s="8"/>
      <c r="AF360" s="8"/>
      <c r="AG360" s="8"/>
      <c r="AH360" s="7" t="s">
        <v>79</v>
      </c>
      <c r="AI360" s="6" t="s">
        <v>110</v>
      </c>
      <c r="AJ360" s="6" t="s">
        <v>49</v>
      </c>
      <c r="AK360" s="6" t="s">
        <v>49</v>
      </c>
      <c r="AL360" s="9" t="s">
        <v>111</v>
      </c>
      <c r="AM360" s="9" t="s">
        <v>49</v>
      </c>
      <c r="AN360" s="6" t="s">
        <v>82</v>
      </c>
      <c r="AO360" s="9" t="s">
        <v>49</v>
      </c>
      <c r="AP360" s="11">
        <v>7248.8885899999996</v>
      </c>
      <c r="AQ360" s="11">
        <v>0</v>
      </c>
      <c r="AR360" s="11">
        <v>0</v>
      </c>
      <c r="AS360" s="11">
        <v>41681.266040000002</v>
      </c>
      <c r="AT360" s="11">
        <v>50825.983</v>
      </c>
      <c r="AU360" s="11">
        <v>0</v>
      </c>
      <c r="AV360" s="11">
        <v>0</v>
      </c>
    </row>
    <row r="361" spans="1:50" customFormat="1" ht="14.5" hidden="1">
      <c r="A361" s="6">
        <v>361</v>
      </c>
      <c r="B361" s="7" t="s">
        <v>746</v>
      </c>
      <c r="C361" s="7" t="s">
        <v>49</v>
      </c>
      <c r="D361" s="6">
        <v>15293</v>
      </c>
      <c r="E361" s="6" t="s">
        <v>49</v>
      </c>
      <c r="F361" s="8"/>
      <c r="G361" s="8"/>
      <c r="H361" s="7" t="s">
        <v>49</v>
      </c>
      <c r="I361" s="7"/>
      <c r="J361" s="6" t="s">
        <v>49</v>
      </c>
      <c r="K361" s="9" t="s">
        <v>49</v>
      </c>
      <c r="L361" s="9" t="s">
        <v>49</v>
      </c>
      <c r="M361" s="8"/>
      <c r="N361" s="10">
        <v>43318</v>
      </c>
      <c r="O361" s="10">
        <v>43738</v>
      </c>
      <c r="P361" s="9" t="s">
        <v>49</v>
      </c>
      <c r="Q361" s="9" t="s">
        <v>49</v>
      </c>
      <c r="R361" s="8"/>
      <c r="S361" s="8"/>
      <c r="T361" s="8"/>
      <c r="U361" s="8"/>
      <c r="V361" s="9" t="s">
        <v>49</v>
      </c>
      <c r="W361" s="9" t="s">
        <v>49</v>
      </c>
      <c r="X361" s="8"/>
      <c r="Y361" s="8"/>
      <c r="Z361" s="8"/>
      <c r="AA361" s="8"/>
      <c r="AB361" s="8"/>
      <c r="AC361" s="8"/>
      <c r="AD361" s="8"/>
      <c r="AE361" s="8"/>
      <c r="AF361" s="8"/>
      <c r="AG361" s="8"/>
      <c r="AH361" s="7" t="s">
        <v>57</v>
      </c>
      <c r="AI361" s="6" t="s">
        <v>71</v>
      </c>
      <c r="AJ361" s="6" t="s">
        <v>49</v>
      </c>
      <c r="AK361" s="6" t="s">
        <v>49</v>
      </c>
      <c r="AL361" s="9" t="s">
        <v>119</v>
      </c>
      <c r="AM361" s="9" t="s">
        <v>49</v>
      </c>
      <c r="AN361" s="6" t="s">
        <v>82</v>
      </c>
      <c r="AO361" s="9" t="s">
        <v>49</v>
      </c>
      <c r="AP361" s="11">
        <v>7248.8885899999996</v>
      </c>
      <c r="AQ361" s="11">
        <v>0</v>
      </c>
      <c r="AR361" s="11">
        <v>0</v>
      </c>
      <c r="AS361" s="11">
        <v>41681.266040000002</v>
      </c>
      <c r="AT361" s="11">
        <v>50825.983</v>
      </c>
      <c r="AU361" s="11">
        <v>0</v>
      </c>
      <c r="AV361" s="11">
        <v>0</v>
      </c>
    </row>
    <row r="362" spans="1:50" customFormat="1" ht="14.5" hidden="1">
      <c r="A362" s="6">
        <v>362</v>
      </c>
      <c r="B362" s="7" t="s">
        <v>747</v>
      </c>
      <c r="C362" s="7" t="s">
        <v>49</v>
      </c>
      <c r="D362" s="6">
        <v>15293</v>
      </c>
      <c r="E362" s="6" t="s">
        <v>748</v>
      </c>
      <c r="F362" s="12"/>
      <c r="G362" s="8"/>
      <c r="H362" s="7" t="s">
        <v>49</v>
      </c>
      <c r="I362" s="7"/>
      <c r="J362" s="6" t="s">
        <v>49</v>
      </c>
      <c r="K362" s="9" t="s">
        <v>49</v>
      </c>
      <c r="L362" s="9" t="s">
        <v>49</v>
      </c>
      <c r="M362" s="12"/>
      <c r="N362" s="10">
        <v>43318</v>
      </c>
      <c r="O362" s="10">
        <v>43738</v>
      </c>
      <c r="P362" s="9" t="s">
        <v>49</v>
      </c>
      <c r="Q362" s="9" t="s">
        <v>49</v>
      </c>
      <c r="R362" s="12"/>
      <c r="S362" s="12"/>
      <c r="T362" s="12"/>
      <c r="U362" s="12"/>
      <c r="V362" s="9" t="s">
        <v>49</v>
      </c>
      <c r="W362" s="9" t="s">
        <v>49</v>
      </c>
      <c r="X362" s="12"/>
      <c r="Y362" s="8"/>
      <c r="Z362" s="8"/>
      <c r="AA362" s="8"/>
      <c r="AB362" s="12"/>
      <c r="AC362" s="12"/>
      <c r="AD362" s="12"/>
      <c r="AE362" s="12"/>
      <c r="AF362" s="8"/>
      <c r="AG362" s="12"/>
      <c r="AH362" s="7" t="s">
        <v>51</v>
      </c>
      <c r="AI362" s="6" t="s">
        <v>49</v>
      </c>
      <c r="AJ362" s="6" t="s">
        <v>49</v>
      </c>
      <c r="AK362" s="6" t="s">
        <v>49</v>
      </c>
      <c r="AL362" s="9" t="s">
        <v>49</v>
      </c>
      <c r="AM362" s="9" t="s">
        <v>122</v>
      </c>
      <c r="AN362" s="6" t="s">
        <v>49</v>
      </c>
      <c r="AO362" s="9" t="s">
        <v>122</v>
      </c>
      <c r="AP362" s="11">
        <v>0</v>
      </c>
      <c r="AQ362" s="11">
        <v>0</v>
      </c>
      <c r="AR362" s="11">
        <v>0</v>
      </c>
      <c r="AS362" s="11">
        <v>0</v>
      </c>
      <c r="AT362" s="11">
        <v>0</v>
      </c>
      <c r="AU362" s="11">
        <v>0</v>
      </c>
      <c r="AV362" s="11" t="s">
        <v>51</v>
      </c>
    </row>
    <row r="363" spans="1:50" customFormat="1" ht="14.5" hidden="1">
      <c r="A363" s="6">
        <v>363</v>
      </c>
      <c r="B363" s="7" t="s">
        <v>749</v>
      </c>
      <c r="C363" s="7" t="s">
        <v>49</v>
      </c>
      <c r="D363" s="6">
        <v>15644</v>
      </c>
      <c r="E363" s="6" t="s">
        <v>49</v>
      </c>
      <c r="F363" s="8"/>
      <c r="G363" s="8"/>
      <c r="H363" s="7" t="s">
        <v>49</v>
      </c>
      <c r="I363" s="7"/>
      <c r="J363" s="6" t="s">
        <v>49</v>
      </c>
      <c r="K363" s="9" t="s">
        <v>49</v>
      </c>
      <c r="L363" s="9" t="s">
        <v>49</v>
      </c>
      <c r="M363" s="8"/>
      <c r="N363" s="12"/>
      <c r="O363" s="12"/>
      <c r="P363" s="9" t="s">
        <v>49</v>
      </c>
      <c r="Q363" s="9" t="s">
        <v>49</v>
      </c>
      <c r="R363" s="8"/>
      <c r="S363" s="8"/>
      <c r="T363" s="8"/>
      <c r="U363" s="8"/>
      <c r="V363" s="9" t="s">
        <v>49</v>
      </c>
      <c r="W363" s="9" t="s">
        <v>49</v>
      </c>
      <c r="X363" s="8"/>
      <c r="Y363" s="8"/>
      <c r="Z363" s="8"/>
      <c r="AA363" s="8"/>
      <c r="AB363" s="8"/>
      <c r="AC363" s="8"/>
      <c r="AD363" s="8"/>
      <c r="AE363" s="8"/>
      <c r="AF363" s="8"/>
      <c r="AG363" s="8"/>
      <c r="AH363" s="7" t="s">
        <v>79</v>
      </c>
      <c r="AI363" s="6" t="s">
        <v>110</v>
      </c>
      <c r="AJ363" s="6" t="s">
        <v>49</v>
      </c>
      <c r="AK363" s="6" t="s">
        <v>49</v>
      </c>
      <c r="AL363" s="9" t="s">
        <v>111</v>
      </c>
      <c r="AM363" s="9" t="s">
        <v>49</v>
      </c>
      <c r="AN363" s="6" t="s">
        <v>82</v>
      </c>
      <c r="AO363" s="9" t="s">
        <v>49</v>
      </c>
      <c r="AP363" s="11">
        <v>7248.8885899999996</v>
      </c>
      <c r="AQ363" s="11">
        <v>0</v>
      </c>
      <c r="AR363" s="11">
        <v>0</v>
      </c>
      <c r="AS363" s="11">
        <v>41681.266040000002</v>
      </c>
      <c r="AT363" s="11">
        <v>50825.983</v>
      </c>
      <c r="AU363" s="11">
        <v>0</v>
      </c>
      <c r="AV363" s="11">
        <v>0</v>
      </c>
    </row>
    <row r="364" spans="1:50" customFormat="1" ht="14.5" hidden="1">
      <c r="A364" s="6">
        <v>364</v>
      </c>
      <c r="B364" s="7" t="s">
        <v>750</v>
      </c>
      <c r="C364" s="7" t="s">
        <v>49</v>
      </c>
      <c r="D364" s="6">
        <v>16039</v>
      </c>
      <c r="E364" s="6" t="s">
        <v>49</v>
      </c>
      <c r="F364" s="12"/>
      <c r="G364" s="8"/>
      <c r="H364" s="7" t="s">
        <v>49</v>
      </c>
      <c r="I364" s="7"/>
      <c r="J364" s="6" t="s">
        <v>49</v>
      </c>
      <c r="K364" s="9" t="s">
        <v>49</v>
      </c>
      <c r="L364" s="9" t="s">
        <v>49</v>
      </c>
      <c r="M364" s="12"/>
      <c r="N364" s="10">
        <v>43745</v>
      </c>
      <c r="O364" s="10">
        <v>43951</v>
      </c>
      <c r="P364" s="9" t="s">
        <v>49</v>
      </c>
      <c r="Q364" s="9" t="s">
        <v>49</v>
      </c>
      <c r="R364" s="8"/>
      <c r="S364" s="8"/>
      <c r="T364" s="8"/>
      <c r="U364" s="8"/>
      <c r="V364" s="9" t="s">
        <v>49</v>
      </c>
      <c r="W364" s="9" t="s">
        <v>49</v>
      </c>
      <c r="X364" s="8"/>
      <c r="Y364" s="8"/>
      <c r="Z364" s="12"/>
      <c r="AA364" s="8"/>
      <c r="AB364" s="12"/>
      <c r="AC364" s="12"/>
      <c r="AD364" s="12"/>
      <c r="AE364" s="12"/>
      <c r="AF364" s="8"/>
      <c r="AG364" s="12"/>
      <c r="AH364" s="7" t="s">
        <v>57</v>
      </c>
      <c r="AI364" s="6" t="s">
        <v>71</v>
      </c>
      <c r="AJ364" s="6" t="s">
        <v>49</v>
      </c>
      <c r="AK364" s="6" t="s">
        <v>49</v>
      </c>
      <c r="AL364" s="9" t="s">
        <v>222</v>
      </c>
      <c r="AM364" s="9" t="s">
        <v>49</v>
      </c>
      <c r="AN364" s="6" t="s">
        <v>85</v>
      </c>
      <c r="AO364" s="9" t="s">
        <v>49</v>
      </c>
      <c r="AP364" s="11">
        <v>7248.8885899999996</v>
      </c>
      <c r="AQ364" s="11">
        <v>0</v>
      </c>
      <c r="AR364" s="11">
        <v>0</v>
      </c>
      <c r="AS364" s="11">
        <v>41681.266040000002</v>
      </c>
      <c r="AT364" s="11">
        <v>50825.983</v>
      </c>
      <c r="AU364" s="11">
        <v>0</v>
      </c>
      <c r="AV364" s="11">
        <v>0</v>
      </c>
    </row>
    <row r="365" spans="1:50" customFormat="1" ht="14.5" hidden="1">
      <c r="A365" s="6">
        <v>365</v>
      </c>
      <c r="B365" s="7" t="s">
        <v>751</v>
      </c>
      <c r="C365" s="7" t="s">
        <v>49</v>
      </c>
      <c r="D365" s="6">
        <v>16039</v>
      </c>
      <c r="E365" s="6" t="s">
        <v>752</v>
      </c>
      <c r="F365" s="8"/>
      <c r="G365" s="8"/>
      <c r="H365" s="7" t="s">
        <v>49</v>
      </c>
      <c r="I365" s="7"/>
      <c r="J365" s="6" t="s">
        <v>49</v>
      </c>
      <c r="K365" s="9" t="s">
        <v>49</v>
      </c>
      <c r="L365" s="9" t="s">
        <v>49</v>
      </c>
      <c r="M365" s="8"/>
      <c r="N365" s="10">
        <v>43745</v>
      </c>
      <c r="O365" s="10">
        <v>43951</v>
      </c>
      <c r="P365" s="9" t="s">
        <v>49</v>
      </c>
      <c r="Q365" s="9" t="s">
        <v>49</v>
      </c>
      <c r="R365" s="8"/>
      <c r="S365" s="8"/>
      <c r="T365" s="8"/>
      <c r="U365" s="8"/>
      <c r="V365" s="9" t="s">
        <v>49</v>
      </c>
      <c r="W365" s="9" t="s">
        <v>49</v>
      </c>
      <c r="X365" s="8"/>
      <c r="Y365" s="8"/>
      <c r="Z365" s="8"/>
      <c r="AA365" s="8"/>
      <c r="AB365" s="8"/>
      <c r="AC365" s="8"/>
      <c r="AD365" s="8"/>
      <c r="AE365" s="8"/>
      <c r="AF365" s="8"/>
      <c r="AG365" s="8"/>
      <c r="AH365" s="7" t="s">
        <v>51</v>
      </c>
      <c r="AI365" s="6" t="s">
        <v>49</v>
      </c>
      <c r="AJ365" s="6" t="s">
        <v>49</v>
      </c>
      <c r="AK365" s="6" t="s">
        <v>49</v>
      </c>
      <c r="AL365" s="9" t="s">
        <v>49</v>
      </c>
      <c r="AM365" s="9" t="s">
        <v>222</v>
      </c>
      <c r="AN365" s="6" t="s">
        <v>49</v>
      </c>
      <c r="AO365" s="9" t="s">
        <v>753</v>
      </c>
      <c r="AP365" s="11">
        <v>2496.2566299999999</v>
      </c>
      <c r="AQ365" s="11">
        <v>3730015.42</v>
      </c>
      <c r="AR365" s="11">
        <v>3730015.4091666662</v>
      </c>
      <c r="AS365" s="11">
        <v>5857.7130399999996</v>
      </c>
      <c r="AT365" s="11">
        <v>15246.257</v>
      </c>
      <c r="AU365" s="11">
        <v>0</v>
      </c>
      <c r="AV365" s="11" t="s">
        <v>51</v>
      </c>
    </row>
    <row r="366" spans="1:50" customFormat="1" ht="14.5" hidden="1">
      <c r="A366" s="6">
        <v>366</v>
      </c>
      <c r="B366" s="7" t="s">
        <v>754</v>
      </c>
      <c r="C366" s="7" t="s">
        <v>49</v>
      </c>
      <c r="D366" s="6">
        <v>15644</v>
      </c>
      <c r="E366" s="6" t="s">
        <v>49</v>
      </c>
      <c r="F366" s="8"/>
      <c r="G366" s="8"/>
      <c r="H366" s="7" t="s">
        <v>49</v>
      </c>
      <c r="I366" s="7"/>
      <c r="J366" s="6" t="s">
        <v>49</v>
      </c>
      <c r="K366" s="9" t="s">
        <v>49</v>
      </c>
      <c r="L366" s="9" t="s">
        <v>49</v>
      </c>
      <c r="M366" s="8"/>
      <c r="N366" s="12"/>
      <c r="O366" s="12"/>
      <c r="P366" s="9" t="s">
        <v>49</v>
      </c>
      <c r="Q366" s="9" t="s">
        <v>49</v>
      </c>
      <c r="R366" s="8"/>
      <c r="S366" s="8"/>
      <c r="T366" s="8"/>
      <c r="U366" s="8"/>
      <c r="V366" s="9" t="s">
        <v>49</v>
      </c>
      <c r="W366" s="9" t="s">
        <v>49</v>
      </c>
      <c r="X366" s="8"/>
      <c r="Y366" s="8"/>
      <c r="Z366" s="8"/>
      <c r="AA366" s="8"/>
      <c r="AB366" s="8"/>
      <c r="AC366" s="8"/>
      <c r="AD366" s="8"/>
      <c r="AE366" s="8"/>
      <c r="AF366" s="8"/>
      <c r="AG366" s="8"/>
      <c r="AH366" s="7" t="s">
        <v>79</v>
      </c>
      <c r="AI366" s="6" t="s">
        <v>110</v>
      </c>
      <c r="AJ366" s="6" t="s">
        <v>49</v>
      </c>
      <c r="AK366" s="6" t="s">
        <v>49</v>
      </c>
      <c r="AL366" s="9" t="s">
        <v>111</v>
      </c>
      <c r="AM366" s="9" t="s">
        <v>49</v>
      </c>
      <c r="AN366" s="6" t="s">
        <v>82</v>
      </c>
      <c r="AO366" s="9" t="s">
        <v>49</v>
      </c>
      <c r="AP366" s="11">
        <v>7248.8885899999996</v>
      </c>
      <c r="AQ366" s="11">
        <v>0</v>
      </c>
      <c r="AR366" s="11">
        <v>0</v>
      </c>
      <c r="AS366" s="11">
        <v>41681.266040000002</v>
      </c>
      <c r="AT366" s="11">
        <v>50825.983</v>
      </c>
      <c r="AU366" s="11">
        <v>0</v>
      </c>
      <c r="AV366" s="11">
        <v>0</v>
      </c>
    </row>
    <row r="367" spans="1:50" customFormat="1" ht="14.5" hidden="1">
      <c r="A367" s="6">
        <v>367</v>
      </c>
      <c r="B367" s="7" t="s">
        <v>754</v>
      </c>
      <c r="C367" s="7" t="s">
        <v>49</v>
      </c>
      <c r="D367" s="6">
        <v>15644</v>
      </c>
      <c r="E367" s="6" t="s">
        <v>49</v>
      </c>
      <c r="F367" s="12"/>
      <c r="G367" s="8"/>
      <c r="H367" s="7" t="s">
        <v>49</v>
      </c>
      <c r="I367" s="7"/>
      <c r="J367" s="6" t="s">
        <v>49</v>
      </c>
      <c r="K367" s="9" t="s">
        <v>49</v>
      </c>
      <c r="L367" s="9" t="s">
        <v>49</v>
      </c>
      <c r="M367" s="8"/>
      <c r="N367" s="12"/>
      <c r="O367" s="12"/>
      <c r="P367" s="9" t="s">
        <v>49</v>
      </c>
      <c r="Q367" s="9" t="s">
        <v>49</v>
      </c>
      <c r="R367" s="8"/>
      <c r="S367" s="8"/>
      <c r="T367" s="8"/>
      <c r="U367" s="8"/>
      <c r="V367" s="9" t="s">
        <v>49</v>
      </c>
      <c r="W367" s="9" t="s">
        <v>49</v>
      </c>
      <c r="X367" s="8"/>
      <c r="Y367" s="8"/>
      <c r="Z367" s="8"/>
      <c r="AA367" s="8"/>
      <c r="AB367" s="8"/>
      <c r="AC367" s="8"/>
      <c r="AD367" s="8"/>
      <c r="AE367" s="8"/>
      <c r="AF367" s="8"/>
      <c r="AG367" s="8"/>
      <c r="AH367" s="7" t="s">
        <v>79</v>
      </c>
      <c r="AI367" s="6" t="s">
        <v>110</v>
      </c>
      <c r="AJ367" s="6" t="s">
        <v>49</v>
      </c>
      <c r="AK367" s="6" t="s">
        <v>49</v>
      </c>
      <c r="AL367" s="9" t="s">
        <v>111</v>
      </c>
      <c r="AM367" s="9" t="s">
        <v>49</v>
      </c>
      <c r="AN367" s="6" t="s">
        <v>82</v>
      </c>
      <c r="AO367" s="9" t="s">
        <v>49</v>
      </c>
      <c r="AP367" s="11">
        <v>7248.8885899999996</v>
      </c>
      <c r="AQ367" s="11">
        <v>0</v>
      </c>
      <c r="AR367" s="11">
        <v>0</v>
      </c>
      <c r="AS367" s="11">
        <v>41681.266040000002</v>
      </c>
      <c r="AT367" s="11">
        <v>50825.983</v>
      </c>
      <c r="AU367" s="11">
        <v>0</v>
      </c>
      <c r="AV367" s="11">
        <v>0</v>
      </c>
    </row>
    <row r="368" spans="1:50" customFormat="1" ht="14.5" hidden="1">
      <c r="A368" s="6">
        <v>369</v>
      </c>
      <c r="B368" s="7" t="s">
        <v>755</v>
      </c>
      <c r="C368" s="7" t="s">
        <v>49</v>
      </c>
      <c r="D368" s="6">
        <v>15524</v>
      </c>
      <c r="E368" s="6" t="s">
        <v>756</v>
      </c>
      <c r="F368" s="8"/>
      <c r="G368" s="8"/>
      <c r="H368" s="7" t="s">
        <v>49</v>
      </c>
      <c r="I368" s="7"/>
      <c r="J368" s="6" t="s">
        <v>49</v>
      </c>
      <c r="K368" s="9" t="s">
        <v>49</v>
      </c>
      <c r="L368" s="9" t="s">
        <v>49</v>
      </c>
      <c r="M368" s="8"/>
      <c r="N368" s="10">
        <v>43500</v>
      </c>
      <c r="O368" s="10">
        <v>43921</v>
      </c>
      <c r="P368" s="9" t="s">
        <v>49</v>
      </c>
      <c r="Q368" s="9" t="s">
        <v>49</v>
      </c>
      <c r="R368" s="8"/>
      <c r="S368" s="8"/>
      <c r="T368" s="8"/>
      <c r="U368" s="8"/>
      <c r="V368" s="9" t="s">
        <v>49</v>
      </c>
      <c r="W368" s="9" t="s">
        <v>49</v>
      </c>
      <c r="X368" s="8"/>
      <c r="Y368" s="8"/>
      <c r="Z368" s="8"/>
      <c r="AA368" s="8"/>
      <c r="AB368" s="8"/>
      <c r="AC368" s="8"/>
      <c r="AD368" s="8"/>
      <c r="AE368" s="8"/>
      <c r="AF368" s="8"/>
      <c r="AG368" s="8"/>
      <c r="AH368" s="7" t="s">
        <v>57</v>
      </c>
      <c r="AI368" s="6" t="s">
        <v>49</v>
      </c>
      <c r="AJ368" s="6" t="s">
        <v>49</v>
      </c>
      <c r="AK368" s="6" t="s">
        <v>49</v>
      </c>
      <c r="AL368" s="9" t="s">
        <v>49</v>
      </c>
      <c r="AM368" s="9" t="s">
        <v>386</v>
      </c>
      <c r="AN368" s="6" t="s">
        <v>49</v>
      </c>
      <c r="AO368" s="9" t="s">
        <v>386</v>
      </c>
      <c r="AP368" s="11">
        <v>0</v>
      </c>
      <c r="AQ368" s="11">
        <v>0</v>
      </c>
      <c r="AR368" s="11">
        <v>0</v>
      </c>
      <c r="AS368" s="11">
        <v>0</v>
      </c>
      <c r="AT368" s="11">
        <v>0</v>
      </c>
      <c r="AU368" s="11">
        <v>0</v>
      </c>
      <c r="AV368" s="11" t="s">
        <v>57</v>
      </c>
    </row>
    <row r="369" spans="1:49" customFormat="1" ht="14.5" hidden="1">
      <c r="A369" s="6">
        <v>370</v>
      </c>
      <c r="B369" s="7" t="s">
        <v>757</v>
      </c>
      <c r="C369" s="7" t="s">
        <v>49</v>
      </c>
      <c r="D369" s="6">
        <v>12561</v>
      </c>
      <c r="E369" s="6" t="s">
        <v>758</v>
      </c>
      <c r="F369" s="12"/>
      <c r="G369" s="8"/>
      <c r="H369" s="7" t="s">
        <v>49</v>
      </c>
      <c r="I369" s="7"/>
      <c r="J369" s="6" t="s">
        <v>49</v>
      </c>
      <c r="K369" s="9" t="s">
        <v>49</v>
      </c>
      <c r="L369" s="9" t="s">
        <v>49</v>
      </c>
      <c r="M369" s="12"/>
      <c r="N369" s="12"/>
      <c r="O369" s="10">
        <v>44196</v>
      </c>
      <c r="P369" s="9" t="s">
        <v>49</v>
      </c>
      <c r="Q369" s="9" t="s">
        <v>49</v>
      </c>
      <c r="R369" s="8"/>
      <c r="S369" s="8"/>
      <c r="T369" s="8"/>
      <c r="U369" s="8"/>
      <c r="V369" s="9" t="s">
        <v>49</v>
      </c>
      <c r="W369" s="9" t="s">
        <v>49</v>
      </c>
      <c r="X369" s="8"/>
      <c r="Y369" s="8"/>
      <c r="Z369" s="12"/>
      <c r="AA369" s="8"/>
      <c r="AB369" s="12"/>
      <c r="AC369" s="12"/>
      <c r="AD369" s="12"/>
      <c r="AE369" s="12"/>
      <c r="AF369" s="8"/>
      <c r="AG369" s="12"/>
      <c r="AH369" s="7" t="s">
        <v>57</v>
      </c>
      <c r="AI369" s="6" t="s">
        <v>49</v>
      </c>
      <c r="AJ369" s="6" t="s">
        <v>49</v>
      </c>
      <c r="AK369" s="6" t="s">
        <v>49</v>
      </c>
      <c r="AL369" s="9" t="s">
        <v>49</v>
      </c>
      <c r="AM369" s="9" t="s">
        <v>187</v>
      </c>
      <c r="AN369" s="6" t="s">
        <v>49</v>
      </c>
      <c r="AO369" s="9" t="s">
        <v>187</v>
      </c>
      <c r="AP369" s="11">
        <v>0</v>
      </c>
      <c r="AQ369" s="11">
        <v>0</v>
      </c>
      <c r="AR369" s="11">
        <v>0</v>
      </c>
      <c r="AS369" s="11">
        <v>0</v>
      </c>
      <c r="AT369" s="11">
        <v>0</v>
      </c>
      <c r="AU369" s="11">
        <v>0</v>
      </c>
      <c r="AV369" s="11" t="s">
        <v>57</v>
      </c>
    </row>
    <row r="370" spans="1:49" customFormat="1" ht="14.5" hidden="1">
      <c r="A370" s="6">
        <v>371</v>
      </c>
      <c r="B370" s="7" t="s">
        <v>759</v>
      </c>
      <c r="C370" s="7" t="s">
        <v>49</v>
      </c>
      <c r="D370" s="6">
        <v>12584</v>
      </c>
      <c r="E370" s="6" t="s">
        <v>49</v>
      </c>
      <c r="F370" s="8"/>
      <c r="G370" s="8"/>
      <c r="H370" s="7" t="s">
        <v>49</v>
      </c>
      <c r="I370" s="7"/>
      <c r="J370" s="6" t="s">
        <v>49</v>
      </c>
      <c r="K370" s="9" t="s">
        <v>49</v>
      </c>
      <c r="L370" s="9" t="s">
        <v>49</v>
      </c>
      <c r="M370" s="8"/>
      <c r="N370" s="10">
        <v>42917</v>
      </c>
      <c r="O370" s="10">
        <v>44196</v>
      </c>
      <c r="P370" s="9" t="s">
        <v>49</v>
      </c>
      <c r="Q370" s="9" t="s">
        <v>49</v>
      </c>
      <c r="R370" s="8"/>
      <c r="S370" s="8"/>
      <c r="T370" s="8"/>
      <c r="U370" s="8"/>
      <c r="V370" s="9" t="s">
        <v>49</v>
      </c>
      <c r="W370" s="9" t="s">
        <v>49</v>
      </c>
      <c r="X370" s="8"/>
      <c r="Y370" s="8"/>
      <c r="Z370" s="8"/>
      <c r="AA370" s="8"/>
      <c r="AB370" s="8"/>
      <c r="AC370" s="8"/>
      <c r="AD370" s="8"/>
      <c r="AE370" s="8"/>
      <c r="AF370" s="8"/>
      <c r="AG370" s="8"/>
      <c r="AH370" s="7" t="s">
        <v>51</v>
      </c>
      <c r="AI370" s="6" t="s">
        <v>71</v>
      </c>
      <c r="AJ370" s="6" t="s">
        <v>49</v>
      </c>
      <c r="AK370" s="6" t="s">
        <v>118</v>
      </c>
      <c r="AL370" s="9" t="s">
        <v>236</v>
      </c>
      <c r="AM370" s="9" t="s">
        <v>49</v>
      </c>
      <c r="AN370" s="6" t="s">
        <v>96</v>
      </c>
      <c r="AO370" s="9" t="s">
        <v>49</v>
      </c>
      <c r="AP370" s="11">
        <v>7248.8885899999996</v>
      </c>
      <c r="AQ370" s="11">
        <v>0</v>
      </c>
      <c r="AR370" s="11">
        <v>0</v>
      </c>
      <c r="AS370" s="11">
        <v>41681.266040000002</v>
      </c>
      <c r="AT370" s="11">
        <v>50825.983</v>
      </c>
      <c r="AU370" s="11">
        <v>0</v>
      </c>
      <c r="AV370" s="11">
        <v>0</v>
      </c>
    </row>
    <row r="371" spans="1:49" customFormat="1" ht="14.5" hidden="1">
      <c r="A371" s="6">
        <v>372</v>
      </c>
      <c r="B371" s="7" t="s">
        <v>760</v>
      </c>
      <c r="C371" s="7" t="s">
        <v>49</v>
      </c>
      <c r="D371" s="6">
        <v>12584</v>
      </c>
      <c r="E371" s="6" t="s">
        <v>761</v>
      </c>
      <c r="F371" s="12"/>
      <c r="G371" s="8"/>
      <c r="H371" s="7" t="s">
        <v>49</v>
      </c>
      <c r="I371" s="7"/>
      <c r="J371" s="6" t="s">
        <v>49</v>
      </c>
      <c r="K371" s="9" t="s">
        <v>49</v>
      </c>
      <c r="L371" s="9" t="s">
        <v>49</v>
      </c>
      <c r="M371" s="8"/>
      <c r="N371" s="10">
        <v>42917</v>
      </c>
      <c r="O371" s="10">
        <v>44196</v>
      </c>
      <c r="P371" s="9" t="s">
        <v>49</v>
      </c>
      <c r="Q371" s="9" t="s">
        <v>49</v>
      </c>
      <c r="R371" s="8"/>
      <c r="S371" s="8"/>
      <c r="T371" s="8"/>
      <c r="U371" s="8"/>
      <c r="V371" s="9" t="s">
        <v>49</v>
      </c>
      <c r="W371" s="9" t="s">
        <v>49</v>
      </c>
      <c r="X371" s="8"/>
      <c r="Y371" s="8"/>
      <c r="Z371" s="8"/>
      <c r="AA371" s="8"/>
      <c r="AB371" s="8"/>
      <c r="AC371" s="8"/>
      <c r="AD371" s="8"/>
      <c r="AE371" s="8"/>
      <c r="AF371" s="8"/>
      <c r="AG371" s="8"/>
      <c r="AH371" s="7" t="s">
        <v>51</v>
      </c>
      <c r="AI371" s="6" t="s">
        <v>49</v>
      </c>
      <c r="AJ371" s="6" t="s">
        <v>49</v>
      </c>
      <c r="AK371" s="6" t="s">
        <v>49</v>
      </c>
      <c r="AL371" s="9" t="s">
        <v>49</v>
      </c>
      <c r="AM371" s="9" t="s">
        <v>236</v>
      </c>
      <c r="AN371" s="6" t="s">
        <v>49</v>
      </c>
      <c r="AO371" s="9" t="s">
        <v>162</v>
      </c>
      <c r="AP371" s="11">
        <v>0</v>
      </c>
      <c r="AQ371" s="11">
        <v>0</v>
      </c>
      <c r="AR371" s="11">
        <v>0</v>
      </c>
      <c r="AS371" s="11">
        <v>0</v>
      </c>
      <c r="AT371" s="11">
        <v>0</v>
      </c>
      <c r="AU371" s="11">
        <v>0</v>
      </c>
      <c r="AV371" s="11" t="s">
        <v>51</v>
      </c>
    </row>
    <row r="372" spans="1:49" customFormat="1" ht="14.5" hidden="1">
      <c r="A372" s="6">
        <v>373</v>
      </c>
      <c r="B372" s="7" t="s">
        <v>762</v>
      </c>
      <c r="C372" s="7" t="s">
        <v>569</v>
      </c>
      <c r="D372" s="6">
        <v>15367</v>
      </c>
      <c r="E372" s="6" t="s">
        <v>49</v>
      </c>
      <c r="F372" s="8"/>
      <c r="G372" s="8"/>
      <c r="H372" s="7" t="s">
        <v>49</v>
      </c>
      <c r="I372" s="7"/>
      <c r="J372" s="6" t="s">
        <v>49</v>
      </c>
      <c r="K372" s="9" t="s">
        <v>49</v>
      </c>
      <c r="L372" s="9" t="s">
        <v>49</v>
      </c>
      <c r="M372" s="8"/>
      <c r="N372" s="10">
        <v>42917</v>
      </c>
      <c r="O372" s="10">
        <v>45994</v>
      </c>
      <c r="P372" s="9" t="s">
        <v>763</v>
      </c>
      <c r="Q372" s="9" t="s">
        <v>764</v>
      </c>
      <c r="R372" s="8"/>
      <c r="S372" s="8"/>
      <c r="T372" s="8"/>
      <c r="U372" s="8"/>
      <c r="V372" s="9" t="s">
        <v>49</v>
      </c>
      <c r="W372" s="9" t="s">
        <v>49</v>
      </c>
      <c r="X372" s="8"/>
      <c r="Y372" s="8"/>
      <c r="Z372" s="8"/>
      <c r="AA372" s="8"/>
      <c r="AB372" s="8"/>
      <c r="AC372" s="8"/>
      <c r="AD372" s="8"/>
      <c r="AE372" s="8"/>
      <c r="AF372" s="8"/>
      <c r="AG372" s="8"/>
      <c r="AH372" s="7" t="s">
        <v>57</v>
      </c>
      <c r="AI372" s="6" t="s">
        <v>71</v>
      </c>
      <c r="AJ372" s="6" t="s">
        <v>49</v>
      </c>
      <c r="AK372" s="6" t="s">
        <v>49</v>
      </c>
      <c r="AL372" s="9" t="s">
        <v>765</v>
      </c>
      <c r="AM372" s="9" t="s">
        <v>49</v>
      </c>
      <c r="AN372" s="6" t="s">
        <v>96</v>
      </c>
      <c r="AO372" s="9" t="s">
        <v>49</v>
      </c>
      <c r="AP372" s="11">
        <v>7248.8885899999996</v>
      </c>
      <c r="AQ372" s="11">
        <v>0</v>
      </c>
      <c r="AR372" s="11">
        <v>0</v>
      </c>
      <c r="AS372" s="11">
        <v>41681.266040000002</v>
      </c>
      <c r="AT372" s="11">
        <v>50825.983</v>
      </c>
      <c r="AU372" s="11">
        <v>0</v>
      </c>
      <c r="AV372" s="11">
        <v>0</v>
      </c>
    </row>
    <row r="373" spans="1:49" ht="13.5" hidden="1" customHeight="1">
      <c r="A373" s="46">
        <v>374</v>
      </c>
      <c r="B373" s="57" t="s">
        <v>762</v>
      </c>
      <c r="C373" s="47" t="s">
        <v>569</v>
      </c>
      <c r="D373" s="6">
        <v>15367</v>
      </c>
      <c r="E373" s="6" t="s">
        <v>766</v>
      </c>
      <c r="F373" s="6">
        <v>33106</v>
      </c>
      <c r="G373" s="8"/>
      <c r="H373" s="57" t="s">
        <v>70</v>
      </c>
      <c r="I373" s="47"/>
      <c r="J373" s="46" t="s">
        <v>75</v>
      </c>
      <c r="K373" s="48" t="s">
        <v>76</v>
      </c>
      <c r="L373" s="9" t="s">
        <v>73</v>
      </c>
      <c r="M373" s="28">
        <v>3347</v>
      </c>
      <c r="N373" s="10">
        <v>42917</v>
      </c>
      <c r="O373" s="10">
        <v>44196</v>
      </c>
      <c r="P373" s="9" t="s">
        <v>49</v>
      </c>
      <c r="Q373" s="9" t="s">
        <v>49</v>
      </c>
      <c r="R373" s="46">
        <v>5.0999999999999996</v>
      </c>
      <c r="S373" s="46">
        <v>133.1</v>
      </c>
      <c r="T373" s="6">
        <v>669</v>
      </c>
      <c r="U373" s="46">
        <v>55.1</v>
      </c>
      <c r="V373" s="48" t="s">
        <v>737</v>
      </c>
      <c r="W373" s="9" t="s">
        <v>108</v>
      </c>
      <c r="X373" s="6">
        <v>3.347</v>
      </c>
      <c r="Y373" s="8"/>
      <c r="Z373" s="8"/>
      <c r="AA373" s="8"/>
      <c r="AB373" s="6">
        <v>3.347</v>
      </c>
      <c r="AC373" s="6">
        <v>5.05</v>
      </c>
      <c r="AD373" s="6">
        <v>8.3970000000000002</v>
      </c>
      <c r="AE373" s="6">
        <v>2.677</v>
      </c>
      <c r="AF373" s="8"/>
      <c r="AG373" s="6">
        <v>2.677</v>
      </c>
      <c r="AH373" s="7" t="s">
        <v>51</v>
      </c>
      <c r="AI373" s="6" t="s">
        <v>49</v>
      </c>
      <c r="AJ373" s="6" t="s">
        <v>49</v>
      </c>
      <c r="AK373" s="6" t="s">
        <v>49</v>
      </c>
      <c r="AL373" s="9" t="s">
        <v>49</v>
      </c>
      <c r="AM373" s="9" t="s">
        <v>767</v>
      </c>
      <c r="AN373" s="6" t="s">
        <v>49</v>
      </c>
      <c r="AO373" s="9" t="s">
        <v>767</v>
      </c>
      <c r="AP373" s="11">
        <v>577.16502000000003</v>
      </c>
      <c r="AQ373" s="11">
        <v>697277.26</v>
      </c>
      <c r="AR373" s="11">
        <v>697277.27166666684</v>
      </c>
      <c r="AS373" s="11">
        <v>4150.3641900000002</v>
      </c>
      <c r="AT373" s="11">
        <v>577.16499999999996</v>
      </c>
      <c r="AU373" s="11">
        <v>3250</v>
      </c>
      <c r="AV373" s="11" t="s">
        <v>51</v>
      </c>
      <c r="AW373" t="s">
        <v>306</v>
      </c>
    </row>
    <row r="374" spans="1:49" customFormat="1" ht="14.5" hidden="1">
      <c r="A374" s="6">
        <v>375</v>
      </c>
      <c r="B374" s="7" t="s">
        <v>768</v>
      </c>
      <c r="C374" s="7" t="s">
        <v>81</v>
      </c>
      <c r="D374" s="6">
        <v>15368</v>
      </c>
      <c r="E374" s="6" t="s">
        <v>49</v>
      </c>
      <c r="F374" s="12"/>
      <c r="G374" s="8"/>
      <c r="H374" s="7" t="s">
        <v>49</v>
      </c>
      <c r="I374" s="7"/>
      <c r="J374" s="6" t="s">
        <v>49</v>
      </c>
      <c r="K374" s="9" t="s">
        <v>49</v>
      </c>
      <c r="L374" s="9" t="s">
        <v>49</v>
      </c>
      <c r="M374" s="12"/>
      <c r="N374" s="10">
        <v>42917</v>
      </c>
      <c r="O374" s="10">
        <v>44196</v>
      </c>
      <c r="P374" s="9" t="s">
        <v>49</v>
      </c>
      <c r="Q374" s="9" t="s">
        <v>49</v>
      </c>
      <c r="R374" s="8"/>
      <c r="S374" s="8"/>
      <c r="T374" s="8"/>
      <c r="U374" s="8"/>
      <c r="V374" s="9" t="s">
        <v>49</v>
      </c>
      <c r="W374" s="9" t="s">
        <v>49</v>
      </c>
      <c r="X374" s="8"/>
      <c r="Y374" s="8"/>
      <c r="Z374" s="12"/>
      <c r="AA374" s="8"/>
      <c r="AB374" s="12"/>
      <c r="AC374" s="12"/>
      <c r="AD374" s="12"/>
      <c r="AE374" s="12"/>
      <c r="AF374" s="8"/>
      <c r="AG374" s="12"/>
      <c r="AH374" s="7" t="s">
        <v>57</v>
      </c>
      <c r="AI374" s="6" t="s">
        <v>71</v>
      </c>
      <c r="AJ374" s="6" t="s">
        <v>49</v>
      </c>
      <c r="AK374" s="6" t="s">
        <v>49</v>
      </c>
      <c r="AL374" s="9" t="s">
        <v>769</v>
      </c>
      <c r="AM374" s="9" t="s">
        <v>49</v>
      </c>
      <c r="AN374" s="6" t="s">
        <v>73</v>
      </c>
      <c r="AO374" s="9" t="s">
        <v>49</v>
      </c>
      <c r="AP374" s="11">
        <v>7248.8885899999996</v>
      </c>
      <c r="AQ374" s="11">
        <v>0</v>
      </c>
      <c r="AR374" s="11">
        <v>0</v>
      </c>
      <c r="AS374" s="11">
        <v>41681.266040000002</v>
      </c>
      <c r="AT374" s="11">
        <v>50825.983</v>
      </c>
      <c r="AU374" s="11"/>
      <c r="AV374" s="11">
        <v>0</v>
      </c>
    </row>
    <row r="375" spans="1:49" customFormat="1" ht="14.5" hidden="1">
      <c r="A375" s="6">
        <v>376</v>
      </c>
      <c r="B375" s="7" t="s">
        <v>770</v>
      </c>
      <c r="C375" s="7" t="s">
        <v>81</v>
      </c>
      <c r="D375" s="6">
        <v>15368</v>
      </c>
      <c r="E375" s="6" t="s">
        <v>771</v>
      </c>
      <c r="F375" s="6">
        <v>17352</v>
      </c>
      <c r="G375" s="8"/>
      <c r="H375" s="7" t="s">
        <v>49</v>
      </c>
      <c r="I375" s="7"/>
      <c r="J375" s="6" t="s">
        <v>75</v>
      </c>
      <c r="K375" s="9" t="s">
        <v>89</v>
      </c>
      <c r="L375" s="9" t="s">
        <v>73</v>
      </c>
      <c r="M375" s="17">
        <v>272</v>
      </c>
      <c r="N375" s="10">
        <v>42917</v>
      </c>
      <c r="O375" s="10">
        <v>44196</v>
      </c>
      <c r="P375" s="9" t="s">
        <v>770</v>
      </c>
      <c r="Q375" s="9" t="s">
        <v>772</v>
      </c>
      <c r="R375" s="8"/>
      <c r="S375" s="8"/>
      <c r="T375" s="8"/>
      <c r="U375" s="8"/>
      <c r="V375" s="9" t="s">
        <v>49</v>
      </c>
      <c r="W375" s="9" t="s">
        <v>49</v>
      </c>
      <c r="X375" s="8"/>
      <c r="Y375" s="8"/>
      <c r="Z375" s="6">
        <v>0.27200000000000002</v>
      </c>
      <c r="AA375" s="8"/>
      <c r="AB375" s="6">
        <v>0.27200000000000002</v>
      </c>
      <c r="AC375" s="6">
        <v>0.378</v>
      </c>
      <c r="AD375" s="6">
        <v>0.65</v>
      </c>
      <c r="AE375" s="6">
        <v>0.218</v>
      </c>
      <c r="AF375" s="8"/>
      <c r="AG375" s="6">
        <v>0.218</v>
      </c>
      <c r="AH375" s="7" t="s">
        <v>51</v>
      </c>
      <c r="AI375" s="6" t="s">
        <v>49</v>
      </c>
      <c r="AJ375" s="6" t="s">
        <v>49</v>
      </c>
      <c r="AK375" s="6" t="s">
        <v>49</v>
      </c>
      <c r="AL375" s="9" t="s">
        <v>49</v>
      </c>
      <c r="AM375" s="9" t="s">
        <v>769</v>
      </c>
      <c r="AN375" s="6" t="s">
        <v>73</v>
      </c>
      <c r="AO375" s="9" t="s">
        <v>769</v>
      </c>
      <c r="AP375" s="11">
        <v>44.020980000000002</v>
      </c>
      <c r="AQ375" s="11">
        <v>115206.84</v>
      </c>
      <c r="AR375" s="11">
        <v>115206.83208333336</v>
      </c>
      <c r="AS375" s="11">
        <v>1366.7491399999999</v>
      </c>
      <c r="AT375" s="11">
        <v>270.98099999999999</v>
      </c>
      <c r="AU375" s="11">
        <v>0</v>
      </c>
      <c r="AV375" s="11" t="s">
        <v>51</v>
      </c>
    </row>
    <row r="376" spans="1:49" customFormat="1" ht="14.5" hidden="1">
      <c r="A376" s="6">
        <v>377</v>
      </c>
      <c r="B376" s="7" t="s">
        <v>773</v>
      </c>
      <c r="C376" s="7" t="s">
        <v>49</v>
      </c>
      <c r="D376" s="6">
        <v>15369</v>
      </c>
      <c r="E376" s="6" t="s">
        <v>49</v>
      </c>
      <c r="F376" s="8"/>
      <c r="G376" s="8"/>
      <c r="H376" s="7" t="s">
        <v>49</v>
      </c>
      <c r="I376" s="7"/>
      <c r="J376" s="6" t="s">
        <v>49</v>
      </c>
      <c r="K376" s="9" t="s">
        <v>49</v>
      </c>
      <c r="L376" s="9" t="s">
        <v>49</v>
      </c>
      <c r="M376" s="8"/>
      <c r="N376" s="10">
        <v>42916</v>
      </c>
      <c r="O376" s="10">
        <v>43860</v>
      </c>
      <c r="P376" s="9" t="s">
        <v>49</v>
      </c>
      <c r="Q376" s="9" t="s">
        <v>49</v>
      </c>
      <c r="R376" s="8"/>
      <c r="S376" s="8"/>
      <c r="T376" s="8"/>
      <c r="U376" s="8"/>
      <c r="V376" s="9" t="s">
        <v>49</v>
      </c>
      <c r="W376" s="9" t="s">
        <v>49</v>
      </c>
      <c r="X376" s="8"/>
      <c r="Y376" s="8"/>
      <c r="Z376" s="8"/>
      <c r="AA376" s="8"/>
      <c r="AB376" s="8"/>
      <c r="AC376" s="8"/>
      <c r="AD376" s="8"/>
      <c r="AE376" s="8"/>
      <c r="AF376" s="8"/>
      <c r="AG376" s="8"/>
      <c r="AH376" s="7" t="s">
        <v>57</v>
      </c>
      <c r="AI376" s="6" t="s">
        <v>71</v>
      </c>
      <c r="AJ376" s="6" t="s">
        <v>49</v>
      </c>
      <c r="AK376" s="6" t="s">
        <v>49</v>
      </c>
      <c r="AL376" s="9" t="s">
        <v>213</v>
      </c>
      <c r="AM376" s="9" t="s">
        <v>49</v>
      </c>
      <c r="AN376" s="6" t="s">
        <v>96</v>
      </c>
      <c r="AO376" s="9" t="s">
        <v>49</v>
      </c>
      <c r="AP376" s="11">
        <v>7248.8885899999996</v>
      </c>
      <c r="AQ376" s="11">
        <v>0</v>
      </c>
      <c r="AR376" s="11">
        <v>0</v>
      </c>
      <c r="AS376" s="11">
        <v>41681.266040000002</v>
      </c>
      <c r="AT376" s="11">
        <v>50825.983</v>
      </c>
      <c r="AU376" s="11">
        <v>0</v>
      </c>
      <c r="AV376" s="11">
        <v>0</v>
      </c>
    </row>
    <row r="377" spans="1:49" customFormat="1" ht="14.5" hidden="1">
      <c r="A377" s="6">
        <v>378</v>
      </c>
      <c r="B377" s="7" t="s">
        <v>773</v>
      </c>
      <c r="C377" s="7" t="s">
        <v>81</v>
      </c>
      <c r="D377" s="6">
        <v>15369</v>
      </c>
      <c r="E377" s="6" t="s">
        <v>774</v>
      </c>
      <c r="F377" s="6">
        <v>83604</v>
      </c>
      <c r="G377" s="8"/>
      <c r="H377" s="7" t="s">
        <v>49</v>
      </c>
      <c r="I377" s="7"/>
      <c r="J377" s="6" t="s">
        <v>49</v>
      </c>
      <c r="K377" s="9" t="s">
        <v>49</v>
      </c>
      <c r="L377" s="9" t="s">
        <v>218</v>
      </c>
      <c r="M377" s="8"/>
      <c r="N377" s="10">
        <v>42916</v>
      </c>
      <c r="O377" s="10">
        <v>43860</v>
      </c>
      <c r="P377" s="9" t="s">
        <v>775</v>
      </c>
      <c r="Q377" s="9" t="s">
        <v>776</v>
      </c>
      <c r="R377" s="8"/>
      <c r="S377" s="8"/>
      <c r="T377" s="8"/>
      <c r="U377" s="8"/>
      <c r="V377" s="9" t="s">
        <v>49</v>
      </c>
      <c r="W377" s="9" t="s">
        <v>199</v>
      </c>
      <c r="X377" s="8"/>
      <c r="Y377" s="8"/>
      <c r="Z377" s="8"/>
      <c r="AA377" s="8"/>
      <c r="AB377" s="8"/>
      <c r="AC377" s="8"/>
      <c r="AD377" s="8"/>
      <c r="AE377" s="8"/>
      <c r="AF377" s="8"/>
      <c r="AG377" s="8"/>
      <c r="AH377" s="7" t="s">
        <v>51</v>
      </c>
      <c r="AI377" s="6" t="s">
        <v>49</v>
      </c>
      <c r="AJ377" s="6" t="s">
        <v>49</v>
      </c>
      <c r="AK377" s="6" t="s">
        <v>49</v>
      </c>
      <c r="AL377" s="9" t="s">
        <v>49</v>
      </c>
      <c r="AM377" s="9" t="s">
        <v>270</v>
      </c>
      <c r="AN377" s="6" t="s">
        <v>49</v>
      </c>
      <c r="AO377" s="9" t="s">
        <v>201</v>
      </c>
      <c r="AP377" s="11">
        <v>-0.7809299999999999</v>
      </c>
      <c r="AQ377" s="11">
        <v>-14094.76</v>
      </c>
      <c r="AR377" s="11">
        <v>-14094.750000000002</v>
      </c>
      <c r="AS377" s="11">
        <v>494.68790999999999</v>
      </c>
      <c r="AT377" s="11">
        <v>-0.78100000000000003</v>
      </c>
      <c r="AU377" s="11">
        <v>0</v>
      </c>
      <c r="AV377" s="11" t="s">
        <v>51</v>
      </c>
    </row>
    <row r="378" spans="1:49" customFormat="1" ht="14.5" hidden="1">
      <c r="A378" s="6">
        <v>379</v>
      </c>
      <c r="B378" s="7" t="s">
        <v>777</v>
      </c>
      <c r="C378" s="7" t="s">
        <v>49</v>
      </c>
      <c r="D378" s="6">
        <v>15370</v>
      </c>
      <c r="E378" s="6" t="s">
        <v>49</v>
      </c>
      <c r="F378" s="12"/>
      <c r="G378" s="8"/>
      <c r="H378" s="7" t="s">
        <v>49</v>
      </c>
      <c r="I378" s="7"/>
      <c r="J378" s="6" t="s">
        <v>49</v>
      </c>
      <c r="K378" s="9" t="s">
        <v>49</v>
      </c>
      <c r="L378" s="9" t="s">
        <v>49</v>
      </c>
      <c r="M378" s="12"/>
      <c r="N378" s="10">
        <v>42917</v>
      </c>
      <c r="O378" s="10">
        <v>43831</v>
      </c>
      <c r="P378" s="9" t="s">
        <v>49</v>
      </c>
      <c r="Q378" s="9" t="s">
        <v>49</v>
      </c>
      <c r="R378" s="12"/>
      <c r="S378" s="12"/>
      <c r="T378" s="12"/>
      <c r="U378" s="12"/>
      <c r="V378" s="9" t="s">
        <v>49</v>
      </c>
      <c r="W378" s="9" t="s">
        <v>49</v>
      </c>
      <c r="X378" s="12"/>
      <c r="Y378" s="8"/>
      <c r="Z378" s="12"/>
      <c r="AA378" s="8"/>
      <c r="AB378" s="12"/>
      <c r="AC378" s="12"/>
      <c r="AD378" s="12"/>
      <c r="AE378" s="12"/>
      <c r="AF378" s="8"/>
      <c r="AG378" s="12"/>
      <c r="AH378" s="7" t="s">
        <v>57</v>
      </c>
      <c r="AI378" s="6" t="s">
        <v>71</v>
      </c>
      <c r="AJ378" s="6" t="s">
        <v>49</v>
      </c>
      <c r="AK378" s="6" t="s">
        <v>49</v>
      </c>
      <c r="AL378" s="9" t="s">
        <v>213</v>
      </c>
      <c r="AM378" s="9" t="s">
        <v>49</v>
      </c>
      <c r="AN378" s="6" t="s">
        <v>210</v>
      </c>
      <c r="AO378" s="9" t="s">
        <v>49</v>
      </c>
      <c r="AP378" s="11">
        <v>7248.8885899999996</v>
      </c>
      <c r="AQ378" s="11">
        <v>0</v>
      </c>
      <c r="AR378" s="11">
        <v>0</v>
      </c>
      <c r="AS378" s="11">
        <v>41681.266040000002</v>
      </c>
      <c r="AT378" s="11">
        <v>50825.983</v>
      </c>
      <c r="AU378" s="11">
        <v>0</v>
      </c>
      <c r="AV378" s="11">
        <v>0</v>
      </c>
    </row>
    <row r="379" spans="1:49" customFormat="1" ht="14.5" hidden="1">
      <c r="A379" s="6">
        <v>380</v>
      </c>
      <c r="B379" s="7" t="s">
        <v>778</v>
      </c>
      <c r="C379" s="7" t="s">
        <v>81</v>
      </c>
      <c r="D379" s="6">
        <v>15370</v>
      </c>
      <c r="E379" s="6" t="s">
        <v>779</v>
      </c>
      <c r="F379" s="6">
        <v>65808</v>
      </c>
      <c r="G379" s="8"/>
      <c r="H379" s="7" t="s">
        <v>49</v>
      </c>
      <c r="I379" s="7"/>
      <c r="J379" s="6" t="s">
        <v>75</v>
      </c>
      <c r="K379" s="9" t="s">
        <v>89</v>
      </c>
      <c r="L379" s="9" t="s">
        <v>73</v>
      </c>
      <c r="M379" s="17">
        <v>136</v>
      </c>
      <c r="N379" s="10">
        <v>42917</v>
      </c>
      <c r="O379" s="10">
        <v>43831</v>
      </c>
      <c r="P379" s="9" t="s">
        <v>778</v>
      </c>
      <c r="Q379" s="9" t="s">
        <v>780</v>
      </c>
      <c r="R379" s="8"/>
      <c r="S379" s="8"/>
      <c r="T379" s="8"/>
      <c r="U379" s="8"/>
      <c r="V379" s="9" t="s">
        <v>49</v>
      </c>
      <c r="W379" s="9" t="s">
        <v>49</v>
      </c>
      <c r="X379" s="8"/>
      <c r="Y379" s="8"/>
      <c r="Z379" s="6">
        <v>0.13600000000000001</v>
      </c>
      <c r="AA379" s="8"/>
      <c r="AB379" s="6">
        <v>0.13600000000000001</v>
      </c>
      <c r="AC379" s="6">
        <v>1.0569999999999999</v>
      </c>
      <c r="AD379" s="6">
        <v>1.194</v>
      </c>
      <c r="AE379" s="6">
        <v>0.109</v>
      </c>
      <c r="AF379" s="8"/>
      <c r="AG379" s="6">
        <v>0.109</v>
      </c>
      <c r="AH379" s="7" t="s">
        <v>51</v>
      </c>
      <c r="AI379" s="6" t="s">
        <v>49</v>
      </c>
      <c r="AJ379" s="6" t="s">
        <v>49</v>
      </c>
      <c r="AK379" s="6" t="s">
        <v>49</v>
      </c>
      <c r="AL379" s="9" t="s">
        <v>49</v>
      </c>
      <c r="AM379" s="9" t="s">
        <v>213</v>
      </c>
      <c r="AN379" s="6" t="s">
        <v>73</v>
      </c>
      <c r="AO379" s="9" t="s">
        <v>213</v>
      </c>
      <c r="AP379" s="11">
        <v>8.6596900000000012</v>
      </c>
      <c r="AQ379" s="11">
        <v>14579.82</v>
      </c>
      <c r="AR379" s="11">
        <v>14579.802083333334</v>
      </c>
      <c r="AS379" s="11">
        <v>158.84165999999999</v>
      </c>
      <c r="AT379" s="11">
        <v>122.04</v>
      </c>
      <c r="AU379" s="11">
        <v>0</v>
      </c>
      <c r="AV379" s="11" t="s">
        <v>51</v>
      </c>
    </row>
    <row r="380" spans="1:49" customFormat="1" ht="14.5" hidden="1">
      <c r="A380" s="6">
        <v>381</v>
      </c>
      <c r="B380" s="7" t="s">
        <v>781</v>
      </c>
      <c r="C380" s="7" t="s">
        <v>49</v>
      </c>
      <c r="D380" s="6">
        <v>12584</v>
      </c>
      <c r="E380" s="6" t="s">
        <v>782</v>
      </c>
      <c r="F380" s="12"/>
      <c r="G380" s="8"/>
      <c r="H380" s="7" t="s">
        <v>49</v>
      </c>
      <c r="I380" s="7"/>
      <c r="J380" s="6" t="s">
        <v>49</v>
      </c>
      <c r="K380" s="9" t="s">
        <v>49</v>
      </c>
      <c r="L380" s="9" t="s">
        <v>49</v>
      </c>
      <c r="M380" s="12"/>
      <c r="N380" s="10">
        <v>43004</v>
      </c>
      <c r="O380" s="10">
        <v>43399</v>
      </c>
      <c r="P380" s="9" t="s">
        <v>49</v>
      </c>
      <c r="Q380" s="9" t="s">
        <v>49</v>
      </c>
      <c r="R380" s="8"/>
      <c r="S380" s="8"/>
      <c r="T380" s="8"/>
      <c r="U380" s="8"/>
      <c r="V380" s="9" t="s">
        <v>49</v>
      </c>
      <c r="W380" s="9" t="s">
        <v>49</v>
      </c>
      <c r="X380" s="12"/>
      <c r="Y380" s="8"/>
      <c r="Z380" s="12"/>
      <c r="AA380" s="8"/>
      <c r="AB380" s="12"/>
      <c r="AC380" s="8"/>
      <c r="AD380" s="12"/>
      <c r="AE380" s="12"/>
      <c r="AF380" s="8"/>
      <c r="AG380" s="12"/>
      <c r="AH380" s="7" t="s">
        <v>57</v>
      </c>
      <c r="AI380" s="6" t="s">
        <v>49</v>
      </c>
      <c r="AJ380" s="6" t="s">
        <v>49</v>
      </c>
      <c r="AK380" s="6" t="s">
        <v>49</v>
      </c>
      <c r="AL380" s="9" t="s">
        <v>49</v>
      </c>
      <c r="AM380" s="9" t="s">
        <v>236</v>
      </c>
      <c r="AN380" s="6" t="s">
        <v>49</v>
      </c>
      <c r="AO380" s="9" t="s">
        <v>99</v>
      </c>
      <c r="AP380" s="11">
        <v>0</v>
      </c>
      <c r="AQ380" s="11">
        <v>0</v>
      </c>
      <c r="AR380" s="11">
        <v>0</v>
      </c>
      <c r="AS380" s="11">
        <v>0</v>
      </c>
      <c r="AT380" s="11">
        <v>0</v>
      </c>
      <c r="AU380" s="11">
        <v>0</v>
      </c>
      <c r="AV380" s="11" t="s">
        <v>57</v>
      </c>
    </row>
    <row r="381" spans="1:49" customFormat="1" ht="14.5" hidden="1">
      <c r="A381" s="6">
        <v>382</v>
      </c>
      <c r="B381" s="7" t="s">
        <v>783</v>
      </c>
      <c r="C381" s="7" t="s">
        <v>337</v>
      </c>
      <c r="D381" s="6">
        <v>15374</v>
      </c>
      <c r="E381" s="6"/>
      <c r="F381" s="6">
        <v>83285</v>
      </c>
      <c r="G381" s="8"/>
      <c r="H381" s="7" t="s">
        <v>49</v>
      </c>
      <c r="I381" s="7"/>
      <c r="J381" s="6" t="s">
        <v>49</v>
      </c>
      <c r="K381" s="9" t="s">
        <v>49</v>
      </c>
      <c r="L381" s="9" t="s">
        <v>218</v>
      </c>
      <c r="M381" s="8"/>
      <c r="N381" s="10">
        <v>42401</v>
      </c>
      <c r="O381" s="10">
        <v>44561</v>
      </c>
      <c r="P381" s="9" t="s">
        <v>784</v>
      </c>
      <c r="Q381" s="9" t="s">
        <v>785</v>
      </c>
      <c r="R381" s="8"/>
      <c r="S381" s="8"/>
      <c r="T381" s="8"/>
      <c r="U381" s="8"/>
      <c r="V381" s="9" t="s">
        <v>49</v>
      </c>
      <c r="W381" s="9" t="s">
        <v>49</v>
      </c>
      <c r="X381" s="8"/>
      <c r="Y381" s="8"/>
      <c r="Z381" s="8"/>
      <c r="AA381" s="8"/>
      <c r="AB381" s="8"/>
      <c r="AC381" s="8"/>
      <c r="AD381" s="8"/>
      <c r="AE381" s="8"/>
      <c r="AF381" s="8"/>
      <c r="AG381" s="8"/>
      <c r="AH381" s="7" t="s">
        <v>57</v>
      </c>
      <c r="AI381" s="6" t="s">
        <v>71</v>
      </c>
      <c r="AJ381" s="6" t="s">
        <v>49</v>
      </c>
      <c r="AK381" s="6" t="s">
        <v>49</v>
      </c>
      <c r="AL381" s="9" t="s">
        <v>607</v>
      </c>
      <c r="AM381" s="9" t="s">
        <v>49</v>
      </c>
      <c r="AN381" s="6" t="s">
        <v>210</v>
      </c>
      <c r="AO381" s="9" t="s">
        <v>162</v>
      </c>
      <c r="AP381" s="11">
        <v>0</v>
      </c>
      <c r="AQ381" s="11">
        <v>0</v>
      </c>
      <c r="AR381" s="11">
        <v>0</v>
      </c>
      <c r="AS381" s="11">
        <v>0</v>
      </c>
      <c r="AT381" s="11">
        <v>0</v>
      </c>
      <c r="AU381" s="11">
        <v>0</v>
      </c>
      <c r="AV381" s="11">
        <v>0</v>
      </c>
    </row>
    <row r="382" spans="1:49" customFormat="1" ht="14.5" hidden="1">
      <c r="A382" s="6">
        <v>383</v>
      </c>
      <c r="B382" s="7" t="s">
        <v>786</v>
      </c>
      <c r="C382" s="7" t="s">
        <v>81</v>
      </c>
      <c r="D382" s="6">
        <v>15371</v>
      </c>
      <c r="E382" s="6" t="s">
        <v>49</v>
      </c>
      <c r="F382" s="12"/>
      <c r="G382" s="8"/>
      <c r="H382" s="7" t="s">
        <v>88</v>
      </c>
      <c r="I382" s="7" t="s">
        <v>217</v>
      </c>
      <c r="J382" s="6" t="s">
        <v>49</v>
      </c>
      <c r="K382" s="9" t="s">
        <v>49</v>
      </c>
      <c r="L382" s="9" t="s">
        <v>49</v>
      </c>
      <c r="M382" s="8"/>
      <c r="N382" s="10">
        <v>42918</v>
      </c>
      <c r="O382" s="10">
        <v>44012</v>
      </c>
      <c r="P382" s="9" t="s">
        <v>49</v>
      </c>
      <c r="Q382" s="9" t="s">
        <v>49</v>
      </c>
      <c r="R382" s="8"/>
      <c r="S382" s="8"/>
      <c r="T382" s="8"/>
      <c r="U382" s="8"/>
      <c r="V382" s="9" t="s">
        <v>49</v>
      </c>
      <c r="W382" s="9" t="s">
        <v>199</v>
      </c>
      <c r="X382" s="8"/>
      <c r="Y382" s="8"/>
      <c r="Z382" s="8"/>
      <c r="AA382" s="8"/>
      <c r="AB382" s="8"/>
      <c r="AC382" s="12"/>
      <c r="AD382" s="12"/>
      <c r="AE382" s="8"/>
      <c r="AF382" s="8"/>
      <c r="AG382" s="8"/>
      <c r="AH382" s="7" t="s">
        <v>57</v>
      </c>
      <c r="AI382" s="6" t="s">
        <v>71</v>
      </c>
      <c r="AJ382" s="6" t="s">
        <v>49</v>
      </c>
      <c r="AK382" s="6" t="s">
        <v>49</v>
      </c>
      <c r="AL382" s="9" t="s">
        <v>322</v>
      </c>
      <c r="AM382" s="9" t="s">
        <v>49</v>
      </c>
      <c r="AN382" s="6" t="s">
        <v>73</v>
      </c>
      <c r="AO382" s="9" t="s">
        <v>49</v>
      </c>
      <c r="AP382" s="11">
        <v>7248.8885899999996</v>
      </c>
      <c r="AQ382" s="11">
        <v>0</v>
      </c>
      <c r="AR382" s="11">
        <v>0</v>
      </c>
      <c r="AS382" s="11">
        <v>41681.266040000002</v>
      </c>
      <c r="AT382" s="11">
        <v>50825.983</v>
      </c>
      <c r="AU382" s="11"/>
      <c r="AV382" s="11">
        <v>0</v>
      </c>
    </row>
    <row r="383" spans="1:49" customFormat="1" ht="14.5" hidden="1">
      <c r="A383" s="6">
        <v>384</v>
      </c>
      <c r="B383" s="7" t="s">
        <v>786</v>
      </c>
      <c r="C383" s="7" t="s">
        <v>81</v>
      </c>
      <c r="D383" s="6">
        <v>15371</v>
      </c>
      <c r="E383" s="6" t="s">
        <v>787</v>
      </c>
      <c r="F383" s="6">
        <v>62044</v>
      </c>
      <c r="G383" s="8"/>
      <c r="H383" s="7" t="s">
        <v>88</v>
      </c>
      <c r="I383" s="7" t="s">
        <v>217</v>
      </c>
      <c r="J383" s="6" t="s">
        <v>75</v>
      </c>
      <c r="K383" s="9" t="s">
        <v>89</v>
      </c>
      <c r="L383" s="9" t="s">
        <v>73</v>
      </c>
      <c r="M383" s="17">
        <v>1656</v>
      </c>
      <c r="N383" s="10">
        <v>42918</v>
      </c>
      <c r="O383" s="10">
        <v>44012</v>
      </c>
      <c r="P383" s="9" t="s">
        <v>786</v>
      </c>
      <c r="Q383" s="9" t="s">
        <v>788</v>
      </c>
      <c r="R383" s="8"/>
      <c r="S383" s="8"/>
      <c r="T383" s="8"/>
      <c r="U383" s="8"/>
      <c r="V383" s="9" t="s">
        <v>49</v>
      </c>
      <c r="W383" s="9" t="s">
        <v>199</v>
      </c>
      <c r="X383" s="8"/>
      <c r="Y383" s="8"/>
      <c r="Z383" s="6">
        <v>1.6559999999999999</v>
      </c>
      <c r="AA383" s="8"/>
      <c r="AB383" s="6">
        <v>1.6559999999999999</v>
      </c>
      <c r="AC383" s="6">
        <v>0.64400000000000002</v>
      </c>
      <c r="AD383" s="6">
        <v>2.33</v>
      </c>
      <c r="AE383" s="6">
        <v>1.325</v>
      </c>
      <c r="AF383" s="8"/>
      <c r="AG383" s="6">
        <v>1.325</v>
      </c>
      <c r="AH383" s="7" t="s">
        <v>51</v>
      </c>
      <c r="AI383" s="6" t="s">
        <v>49</v>
      </c>
      <c r="AJ383" s="6" t="s">
        <v>49</v>
      </c>
      <c r="AK383" s="6" t="s">
        <v>49</v>
      </c>
      <c r="AL383" s="9" t="s">
        <v>49</v>
      </c>
      <c r="AM383" s="9" t="s">
        <v>322</v>
      </c>
      <c r="AN383" s="6" t="s">
        <v>73</v>
      </c>
      <c r="AO383" s="9" t="s">
        <v>322</v>
      </c>
      <c r="AP383" s="11">
        <v>189.44135999999997</v>
      </c>
      <c r="AQ383" s="11">
        <v>236698.36</v>
      </c>
      <c r="AR383" s="11">
        <v>236698.37166666667</v>
      </c>
      <c r="AS383" s="11">
        <v>1831.0536599999998</v>
      </c>
      <c r="AT383" s="11">
        <v>1431.441</v>
      </c>
      <c r="AU383" s="11">
        <v>0</v>
      </c>
      <c r="AV383" s="11" t="s">
        <v>51</v>
      </c>
    </row>
    <row r="384" spans="1:49" customFormat="1" ht="14.5" hidden="1">
      <c r="A384" s="6">
        <v>385</v>
      </c>
      <c r="B384" s="7" t="s">
        <v>789</v>
      </c>
      <c r="C384" s="7" t="s">
        <v>569</v>
      </c>
      <c r="D384" s="6">
        <v>15372</v>
      </c>
      <c r="E384" s="6" t="s">
        <v>49</v>
      </c>
      <c r="F384" s="8"/>
      <c r="G384" s="8"/>
      <c r="H384" s="7" t="s">
        <v>49</v>
      </c>
      <c r="I384" s="7"/>
      <c r="J384" s="6" t="s">
        <v>49</v>
      </c>
      <c r="K384" s="9" t="s">
        <v>49</v>
      </c>
      <c r="L384" s="9" t="s">
        <v>49</v>
      </c>
      <c r="M384" s="8"/>
      <c r="N384" s="10">
        <v>42917</v>
      </c>
      <c r="O384" s="10">
        <v>44196</v>
      </c>
      <c r="P384" s="9" t="s">
        <v>49</v>
      </c>
      <c r="Q384" s="9" t="s">
        <v>49</v>
      </c>
      <c r="R384" s="8"/>
      <c r="S384" s="8"/>
      <c r="T384" s="8"/>
      <c r="U384" s="8"/>
      <c r="V384" s="9" t="s">
        <v>49</v>
      </c>
      <c r="W384" s="9" t="s">
        <v>49</v>
      </c>
      <c r="X384" s="8"/>
      <c r="Y384" s="8"/>
      <c r="Z384" s="8"/>
      <c r="AA384" s="8"/>
      <c r="AB384" s="8"/>
      <c r="AC384" s="12"/>
      <c r="AD384" s="12"/>
      <c r="AE384" s="8"/>
      <c r="AF384" s="8"/>
      <c r="AG384" s="8"/>
      <c r="AH384" s="7" t="s">
        <v>57</v>
      </c>
      <c r="AI384" s="6" t="s">
        <v>71</v>
      </c>
      <c r="AJ384" s="6" t="s">
        <v>49</v>
      </c>
      <c r="AK384" s="6" t="s">
        <v>49</v>
      </c>
      <c r="AL384" s="9" t="s">
        <v>213</v>
      </c>
      <c r="AM384" s="9" t="s">
        <v>49</v>
      </c>
      <c r="AN384" s="6" t="s">
        <v>96</v>
      </c>
      <c r="AO384" s="9" t="s">
        <v>49</v>
      </c>
      <c r="AP384" s="11">
        <v>7248.8885899999996</v>
      </c>
      <c r="AQ384" s="11">
        <v>0</v>
      </c>
      <c r="AR384" s="11">
        <v>0</v>
      </c>
      <c r="AS384" s="11">
        <v>41681.266040000002</v>
      </c>
      <c r="AT384" s="11">
        <v>50825.983</v>
      </c>
      <c r="AU384" s="11">
        <v>0</v>
      </c>
      <c r="AV384" s="11">
        <v>0</v>
      </c>
    </row>
    <row r="385" spans="1:50" ht="13.5" customHeight="1">
      <c r="A385" s="64"/>
      <c r="B385" s="47" t="s">
        <v>918</v>
      </c>
      <c r="C385" s="64" t="s">
        <v>292</v>
      </c>
      <c r="D385" s="69" t="s">
        <v>104</v>
      </c>
      <c r="E385" s="6" t="s">
        <v>104</v>
      </c>
      <c r="F385" s="69"/>
      <c r="H385" s="64" t="s">
        <v>88</v>
      </c>
      <c r="I385" s="47" t="s">
        <v>217</v>
      </c>
      <c r="J385" s="64"/>
      <c r="K385" s="64"/>
      <c r="L385" s="69"/>
      <c r="M385" s="69"/>
      <c r="N385" s="69"/>
      <c r="O385" s="69"/>
      <c r="P385" s="69"/>
      <c r="Q385" s="69"/>
      <c r="R385" s="64">
        <v>4.93</v>
      </c>
      <c r="S385" s="64">
        <v>15.8</v>
      </c>
      <c r="T385" s="69">
        <v>21.2</v>
      </c>
      <c r="U385" s="77">
        <f>S385/R385</f>
        <v>3.2048681541582154</v>
      </c>
      <c r="V385" s="78">
        <v>0.63</v>
      </c>
      <c r="W385" s="69" t="s">
        <v>199</v>
      </c>
      <c r="X385" s="69"/>
      <c r="Z385" s="69"/>
      <c r="AB385" s="69"/>
      <c r="AC385" s="69"/>
      <c r="AD385" s="69"/>
      <c r="AE385" s="69"/>
      <c r="AG385" s="69"/>
      <c r="AH385" s="7" t="s">
        <v>51</v>
      </c>
      <c r="AI385" s="69"/>
      <c r="AJ385" s="69"/>
      <c r="AK385" s="69"/>
      <c r="AL385" s="69"/>
      <c r="AM385" s="69"/>
      <c r="AN385" s="69"/>
      <c r="AO385" s="69"/>
      <c r="AP385">
        <v>0</v>
      </c>
      <c r="AQ385" s="11">
        <v>0</v>
      </c>
      <c r="AR385" s="11">
        <v>0</v>
      </c>
      <c r="AS385">
        <v>0</v>
      </c>
      <c r="AT385">
        <v>300</v>
      </c>
      <c r="AU385">
        <v>0</v>
      </c>
      <c r="AV385" s="11">
        <v>0</v>
      </c>
      <c r="AX385" s="61" t="s">
        <v>918</v>
      </c>
    </row>
    <row r="386" spans="1:50" customFormat="1" ht="14.5" hidden="1">
      <c r="A386" s="6">
        <v>387</v>
      </c>
      <c r="B386" s="7" t="s">
        <v>794</v>
      </c>
      <c r="C386" s="7" t="s">
        <v>569</v>
      </c>
      <c r="D386" s="6">
        <v>16025</v>
      </c>
      <c r="E386" s="6" t="s">
        <v>795</v>
      </c>
      <c r="F386" s="6">
        <v>82740</v>
      </c>
      <c r="G386" s="8"/>
      <c r="H386" s="7" t="s">
        <v>245</v>
      </c>
      <c r="I386" s="7"/>
      <c r="J386" s="6" t="s">
        <v>75</v>
      </c>
      <c r="K386" s="9" t="s">
        <v>89</v>
      </c>
      <c r="L386" s="9" t="s">
        <v>73</v>
      </c>
      <c r="M386" s="28">
        <v>1102</v>
      </c>
      <c r="N386" s="10">
        <v>43472</v>
      </c>
      <c r="O386" s="10">
        <v>43860</v>
      </c>
      <c r="P386" s="9" t="s">
        <v>791</v>
      </c>
      <c r="Q386" s="9" t="s">
        <v>677</v>
      </c>
      <c r="R386" s="8"/>
      <c r="S386" s="8"/>
      <c r="T386" s="8"/>
      <c r="U386" s="8"/>
      <c r="V386" s="9" t="s">
        <v>49</v>
      </c>
      <c r="W386" s="9" t="s">
        <v>49</v>
      </c>
      <c r="X386" s="6">
        <v>0.60299999999999998</v>
      </c>
      <c r="Y386" s="8"/>
      <c r="Z386" s="6">
        <v>0.499</v>
      </c>
      <c r="AA386" s="8"/>
      <c r="AB386" s="6">
        <v>1.1020000000000001</v>
      </c>
      <c r="AC386" s="8"/>
      <c r="AD386" s="6">
        <v>1.1020000000000001</v>
      </c>
      <c r="AE386" s="6">
        <v>0.88100000000000001</v>
      </c>
      <c r="AF386" s="8"/>
      <c r="AG386" s="6">
        <v>0.88100000000000001</v>
      </c>
      <c r="AH386" s="7" t="s">
        <v>57</v>
      </c>
      <c r="AI386" s="6" t="s">
        <v>49</v>
      </c>
      <c r="AJ386" s="6" t="s">
        <v>49</v>
      </c>
      <c r="AK386" s="6" t="s">
        <v>49</v>
      </c>
      <c r="AL386" s="9" t="s">
        <v>49</v>
      </c>
      <c r="AM386" s="9" t="s">
        <v>122</v>
      </c>
      <c r="AN386" s="6" t="s">
        <v>49</v>
      </c>
      <c r="AO386" s="9" t="s">
        <v>122</v>
      </c>
      <c r="AP386" s="11">
        <v>157.65294</v>
      </c>
      <c r="AQ386" s="11">
        <v>211156.96</v>
      </c>
      <c r="AR386" s="11">
        <v>211156.96583333338</v>
      </c>
      <c r="AS386" s="11">
        <v>215.64103</v>
      </c>
      <c r="AT386" s="11">
        <v>157.65299999999999</v>
      </c>
      <c r="AU386" s="11">
        <v>572</v>
      </c>
      <c r="AV386" s="11" t="s">
        <v>57</v>
      </c>
      <c r="AW386" t="s">
        <v>306</v>
      </c>
    </row>
    <row r="387" spans="1:50" customFormat="1" ht="14.5" hidden="1">
      <c r="A387" s="6">
        <v>388</v>
      </c>
      <c r="B387" s="7" t="s">
        <v>796</v>
      </c>
      <c r="C387" s="7" t="s">
        <v>81</v>
      </c>
      <c r="D387" s="6">
        <v>15373</v>
      </c>
      <c r="E387" s="6" t="s">
        <v>797</v>
      </c>
      <c r="F387" s="6">
        <v>66435</v>
      </c>
      <c r="G387" s="8"/>
      <c r="H387" s="7" t="s">
        <v>245</v>
      </c>
      <c r="I387" s="7"/>
      <c r="J387" s="6" t="s">
        <v>75</v>
      </c>
      <c r="K387" s="9" t="s">
        <v>89</v>
      </c>
      <c r="L387" s="9" t="s">
        <v>73</v>
      </c>
      <c r="M387" s="8"/>
      <c r="N387" s="10">
        <v>42919</v>
      </c>
      <c r="O387" s="10">
        <v>44196</v>
      </c>
      <c r="P387" s="9" t="s">
        <v>798</v>
      </c>
      <c r="Q387" s="9" t="s">
        <v>799</v>
      </c>
      <c r="R387" s="8"/>
      <c r="S387" s="8"/>
      <c r="T387" s="8"/>
      <c r="U387" s="12"/>
      <c r="V387" s="9" t="s">
        <v>49</v>
      </c>
      <c r="W387" s="9" t="s">
        <v>49</v>
      </c>
      <c r="X387" s="8"/>
      <c r="Y387" s="8"/>
      <c r="Z387" s="8"/>
      <c r="AA387" s="8"/>
      <c r="AB387" s="8"/>
      <c r="AC387" s="6">
        <v>2.6709999999999998</v>
      </c>
      <c r="AD387" s="6">
        <v>2.6709999999999998</v>
      </c>
      <c r="AE387" s="8"/>
      <c r="AF387" s="8"/>
      <c r="AG387" s="8"/>
      <c r="AH387" s="7" t="s">
        <v>51</v>
      </c>
      <c r="AI387" s="6" t="s">
        <v>49</v>
      </c>
      <c r="AJ387" s="6" t="s">
        <v>49</v>
      </c>
      <c r="AK387" s="6" t="s">
        <v>49</v>
      </c>
      <c r="AL387" s="9" t="s">
        <v>49</v>
      </c>
      <c r="AM387" s="9" t="s">
        <v>769</v>
      </c>
      <c r="AN387" s="6" t="s">
        <v>49</v>
      </c>
      <c r="AO387" s="9" t="s">
        <v>769</v>
      </c>
      <c r="AP387" s="11">
        <v>0</v>
      </c>
      <c r="AQ387" s="11">
        <v>0</v>
      </c>
      <c r="AR387" s="11">
        <v>0</v>
      </c>
      <c r="AS387" s="11">
        <v>0</v>
      </c>
      <c r="AT387" s="11">
        <v>0</v>
      </c>
      <c r="AU387" s="11">
        <v>0</v>
      </c>
      <c r="AV387" s="11" t="s">
        <v>51</v>
      </c>
    </row>
    <row r="388" spans="1:50" customFormat="1" ht="14.5" hidden="1">
      <c r="A388" s="6">
        <v>389</v>
      </c>
      <c r="B388" s="7" t="s">
        <v>798</v>
      </c>
      <c r="C388" s="7" t="s">
        <v>81</v>
      </c>
      <c r="D388" s="6">
        <v>15373</v>
      </c>
      <c r="E388" s="6" t="s">
        <v>49</v>
      </c>
      <c r="F388" s="8"/>
      <c r="G388" s="8"/>
      <c r="H388" s="7" t="s">
        <v>49</v>
      </c>
      <c r="I388" s="7"/>
      <c r="J388" s="6" t="s">
        <v>49</v>
      </c>
      <c r="K388" s="9" t="s">
        <v>49</v>
      </c>
      <c r="L388" s="9" t="s">
        <v>49</v>
      </c>
      <c r="M388" s="8"/>
      <c r="N388" s="10">
        <v>42919</v>
      </c>
      <c r="O388" s="10">
        <v>44196</v>
      </c>
      <c r="P388" s="9" t="s">
        <v>49</v>
      </c>
      <c r="Q388" s="9" t="s">
        <v>49</v>
      </c>
      <c r="R388" s="8"/>
      <c r="S388" s="8"/>
      <c r="T388" s="8"/>
      <c r="U388" s="8"/>
      <c r="V388" s="9" t="s">
        <v>49</v>
      </c>
      <c r="W388" s="9" t="s">
        <v>49</v>
      </c>
      <c r="X388" s="8"/>
      <c r="Y388" s="8"/>
      <c r="Z388" s="8"/>
      <c r="AA388" s="8"/>
      <c r="AB388" s="8"/>
      <c r="AC388" s="6">
        <v>4</v>
      </c>
      <c r="AD388" s="6">
        <v>4</v>
      </c>
      <c r="AE388" s="8"/>
      <c r="AF388" s="8"/>
      <c r="AG388" s="8"/>
      <c r="AH388" s="7" t="s">
        <v>57</v>
      </c>
      <c r="AI388" s="6" t="s">
        <v>71</v>
      </c>
      <c r="AJ388" s="6" t="s">
        <v>49</v>
      </c>
      <c r="AK388" s="6" t="s">
        <v>49</v>
      </c>
      <c r="AL388" s="9" t="s">
        <v>769</v>
      </c>
      <c r="AM388" s="9" t="s">
        <v>49</v>
      </c>
      <c r="AN388" s="6" t="s">
        <v>73</v>
      </c>
      <c r="AO388" s="9" t="s">
        <v>49</v>
      </c>
      <c r="AP388" s="11">
        <v>7248.8885899999996</v>
      </c>
      <c r="AQ388" s="11">
        <v>0</v>
      </c>
      <c r="AR388" s="11">
        <v>0</v>
      </c>
      <c r="AS388" s="11">
        <v>41681.266040000002</v>
      </c>
      <c r="AT388" s="11">
        <v>50825.983</v>
      </c>
      <c r="AU388" s="11">
        <v>0</v>
      </c>
      <c r="AV388" s="11">
        <v>0</v>
      </c>
    </row>
    <row r="389" spans="1:50" customFormat="1" ht="14.5" hidden="1">
      <c r="A389" s="6">
        <v>390</v>
      </c>
      <c r="B389" s="7" t="s">
        <v>800</v>
      </c>
      <c r="C389" s="7" t="s">
        <v>569</v>
      </c>
      <c r="D389" s="6">
        <v>15374</v>
      </c>
      <c r="E389" s="6" t="s">
        <v>801</v>
      </c>
      <c r="F389" s="6">
        <v>33106</v>
      </c>
      <c r="G389" s="8"/>
      <c r="H389" s="7" t="s">
        <v>49</v>
      </c>
      <c r="I389" s="7"/>
      <c r="J389" s="6" t="s">
        <v>49</v>
      </c>
      <c r="K389" s="9" t="s">
        <v>49</v>
      </c>
      <c r="L389" s="9" t="s">
        <v>73</v>
      </c>
      <c r="M389" s="8"/>
      <c r="N389" s="10">
        <v>42401</v>
      </c>
      <c r="O389" s="10">
        <v>44196</v>
      </c>
      <c r="P389" s="9" t="s">
        <v>802</v>
      </c>
      <c r="Q389" s="9" t="s">
        <v>764</v>
      </c>
      <c r="R389" s="8"/>
      <c r="S389" s="8"/>
      <c r="T389" s="8"/>
      <c r="U389" s="6">
        <v>55</v>
      </c>
      <c r="V389" s="9" t="s">
        <v>49</v>
      </c>
      <c r="W389" s="9" t="s">
        <v>108</v>
      </c>
      <c r="X389" s="8"/>
      <c r="Y389" s="8"/>
      <c r="Z389" s="8"/>
      <c r="AA389" s="8"/>
      <c r="AB389" s="8"/>
      <c r="AC389" s="8"/>
      <c r="AD389" s="8"/>
      <c r="AE389" s="8"/>
      <c r="AF389" s="8"/>
      <c r="AG389" s="8"/>
      <c r="AH389" s="7" t="s">
        <v>51</v>
      </c>
      <c r="AI389" s="6" t="s">
        <v>49</v>
      </c>
      <c r="AJ389" s="6" t="s">
        <v>49</v>
      </c>
      <c r="AK389" s="6" t="s">
        <v>49</v>
      </c>
      <c r="AL389" s="9" t="s">
        <v>49</v>
      </c>
      <c r="AM389" s="9" t="s">
        <v>607</v>
      </c>
      <c r="AN389" s="6" t="s">
        <v>49</v>
      </c>
      <c r="AO389" s="9" t="s">
        <v>162</v>
      </c>
      <c r="AP389" s="11">
        <v>2.0704600000000002</v>
      </c>
      <c r="AQ389" s="11">
        <v>12281.76</v>
      </c>
      <c r="AR389" s="11">
        <v>12281.760416666675</v>
      </c>
      <c r="AS389" s="11">
        <v>507.09330999999997</v>
      </c>
      <c r="AT389" s="11">
        <v>2.0699999999999998</v>
      </c>
      <c r="AU389" s="11">
        <v>0</v>
      </c>
      <c r="AV389" s="11" t="s">
        <v>51</v>
      </c>
    </row>
    <row r="390" spans="1:50" customFormat="1" ht="14.5" hidden="1">
      <c r="A390" s="6">
        <v>391</v>
      </c>
      <c r="B390" s="7" t="s">
        <v>803</v>
      </c>
      <c r="C390" s="7" t="s">
        <v>49</v>
      </c>
      <c r="D390" s="6">
        <v>15644</v>
      </c>
      <c r="E390" s="6" t="s">
        <v>49</v>
      </c>
      <c r="F390" s="8"/>
      <c r="G390" s="8"/>
      <c r="H390" s="7" t="s">
        <v>49</v>
      </c>
      <c r="I390" s="7"/>
      <c r="J390" s="6" t="s">
        <v>49</v>
      </c>
      <c r="K390" s="9" t="s">
        <v>49</v>
      </c>
      <c r="L390" s="9" t="s">
        <v>49</v>
      </c>
      <c r="M390" s="8"/>
      <c r="N390" s="12"/>
      <c r="O390" s="12"/>
      <c r="P390" s="9" t="s">
        <v>49</v>
      </c>
      <c r="Q390" s="9" t="s">
        <v>49</v>
      </c>
      <c r="R390" s="8"/>
      <c r="S390" s="8"/>
      <c r="T390" s="8"/>
      <c r="U390" s="8"/>
      <c r="V390" s="9" t="s">
        <v>49</v>
      </c>
      <c r="W390" s="9" t="s">
        <v>49</v>
      </c>
      <c r="X390" s="8"/>
      <c r="Y390" s="8"/>
      <c r="Z390" s="8"/>
      <c r="AA390" s="8"/>
      <c r="AB390" s="8"/>
      <c r="AC390" s="8"/>
      <c r="AD390" s="8"/>
      <c r="AE390" s="8"/>
      <c r="AF390" s="8"/>
      <c r="AG390" s="8"/>
      <c r="AH390" s="7" t="s">
        <v>79</v>
      </c>
      <c r="AI390" s="6" t="s">
        <v>110</v>
      </c>
      <c r="AJ390" s="6" t="s">
        <v>49</v>
      </c>
      <c r="AK390" s="6" t="s">
        <v>49</v>
      </c>
      <c r="AL390" s="9" t="s">
        <v>111</v>
      </c>
      <c r="AM390" s="9" t="s">
        <v>49</v>
      </c>
      <c r="AN390" s="6" t="s">
        <v>82</v>
      </c>
      <c r="AO390" s="9" t="s">
        <v>49</v>
      </c>
      <c r="AP390" s="11">
        <v>7248.8885899999996</v>
      </c>
      <c r="AQ390" s="11">
        <v>0</v>
      </c>
      <c r="AR390" s="11">
        <v>0</v>
      </c>
      <c r="AS390" s="11">
        <v>41681.266040000002</v>
      </c>
      <c r="AT390" s="11">
        <v>50825.983</v>
      </c>
      <c r="AU390" s="11">
        <v>0</v>
      </c>
      <c r="AV390" s="11">
        <v>0</v>
      </c>
    </row>
    <row r="391" spans="1:50" customFormat="1" ht="14.5" hidden="1">
      <c r="A391" s="6">
        <v>392</v>
      </c>
      <c r="B391" s="7" t="s">
        <v>804</v>
      </c>
      <c r="C391" s="7" t="s">
        <v>49</v>
      </c>
      <c r="D391" s="6">
        <v>15367</v>
      </c>
      <c r="E391" s="6" t="s">
        <v>805</v>
      </c>
      <c r="F391" s="8"/>
      <c r="G391" s="8"/>
      <c r="H391" s="7" t="s">
        <v>49</v>
      </c>
      <c r="I391" s="7"/>
      <c r="J391" s="6" t="s">
        <v>49</v>
      </c>
      <c r="K391" s="9" t="s">
        <v>49</v>
      </c>
      <c r="L391" s="9" t="s">
        <v>49</v>
      </c>
      <c r="M391" s="8"/>
      <c r="N391" s="10">
        <v>43556</v>
      </c>
      <c r="O391" s="10">
        <v>45994</v>
      </c>
      <c r="P391" s="9" t="s">
        <v>49</v>
      </c>
      <c r="Q391" s="9" t="s">
        <v>49</v>
      </c>
      <c r="R391" s="8"/>
      <c r="S391" s="8"/>
      <c r="T391" s="8"/>
      <c r="U391" s="8"/>
      <c r="V391" s="9" t="s">
        <v>49</v>
      </c>
      <c r="W391" s="9" t="s">
        <v>49</v>
      </c>
      <c r="X391" s="8"/>
      <c r="Y391" s="8"/>
      <c r="Z391" s="8"/>
      <c r="AA391" s="8"/>
      <c r="AB391" s="8"/>
      <c r="AC391" s="8"/>
      <c r="AD391" s="8"/>
      <c r="AE391" s="8"/>
      <c r="AF391" s="8"/>
      <c r="AG391" s="8"/>
      <c r="AH391" s="7" t="s">
        <v>57</v>
      </c>
      <c r="AI391" s="6" t="s">
        <v>49</v>
      </c>
      <c r="AJ391" s="6" t="s">
        <v>49</v>
      </c>
      <c r="AK391" s="6" t="s">
        <v>49</v>
      </c>
      <c r="AL391" s="9" t="s">
        <v>49</v>
      </c>
      <c r="AM391" s="9" t="s">
        <v>122</v>
      </c>
      <c r="AN391" s="6" t="s">
        <v>49</v>
      </c>
      <c r="AO391" s="9" t="s">
        <v>122</v>
      </c>
      <c r="AP391" s="11">
        <v>0</v>
      </c>
      <c r="AQ391" s="11">
        <v>0</v>
      </c>
      <c r="AR391" s="11">
        <v>0</v>
      </c>
      <c r="AS391" s="11">
        <v>0</v>
      </c>
      <c r="AT391" s="11">
        <v>0</v>
      </c>
      <c r="AU391" s="11">
        <v>0</v>
      </c>
      <c r="AV391" s="11" t="s">
        <v>57</v>
      </c>
    </row>
    <row r="392" spans="1:50" customFormat="1" ht="14.5" hidden="1">
      <c r="A392" s="6">
        <v>393</v>
      </c>
      <c r="B392" s="7" t="s">
        <v>806</v>
      </c>
      <c r="C392" s="7" t="s">
        <v>49</v>
      </c>
      <c r="D392" s="6">
        <v>15289</v>
      </c>
      <c r="E392" s="6" t="s">
        <v>807</v>
      </c>
      <c r="F392" s="8"/>
      <c r="G392" s="8"/>
      <c r="H392" s="7" t="s">
        <v>49</v>
      </c>
      <c r="I392" s="7"/>
      <c r="J392" s="6" t="s">
        <v>49</v>
      </c>
      <c r="K392" s="9" t="s">
        <v>49</v>
      </c>
      <c r="L392" s="9" t="s">
        <v>49</v>
      </c>
      <c r="M392" s="8"/>
      <c r="N392" s="10">
        <v>43131</v>
      </c>
      <c r="O392" s="10">
        <v>43858</v>
      </c>
      <c r="P392" s="9" t="s">
        <v>49</v>
      </c>
      <c r="Q392" s="9" t="s">
        <v>49</v>
      </c>
      <c r="R392" s="8"/>
      <c r="S392" s="8"/>
      <c r="T392" s="8"/>
      <c r="U392" s="8"/>
      <c r="V392" s="9" t="s">
        <v>49</v>
      </c>
      <c r="W392" s="9" t="s">
        <v>49</v>
      </c>
      <c r="X392" s="8"/>
      <c r="Y392" s="8"/>
      <c r="Z392" s="8"/>
      <c r="AA392" s="8"/>
      <c r="AB392" s="8"/>
      <c r="AC392" s="8"/>
      <c r="AD392" s="8"/>
      <c r="AE392" s="8"/>
      <c r="AF392" s="8"/>
      <c r="AG392" s="8"/>
      <c r="AH392" s="7" t="s">
        <v>51</v>
      </c>
      <c r="AI392" s="6" t="s">
        <v>49</v>
      </c>
      <c r="AJ392" s="6" t="s">
        <v>49</v>
      </c>
      <c r="AK392" s="6" t="s">
        <v>49</v>
      </c>
      <c r="AL392" s="9" t="s">
        <v>49</v>
      </c>
      <c r="AM392" s="9" t="s">
        <v>200</v>
      </c>
      <c r="AN392" s="6" t="s">
        <v>49</v>
      </c>
      <c r="AO392" s="9" t="s">
        <v>200</v>
      </c>
      <c r="AP392" s="11">
        <v>0</v>
      </c>
      <c r="AQ392" s="11">
        <v>0</v>
      </c>
      <c r="AR392" s="11">
        <v>0</v>
      </c>
      <c r="AS392" s="11">
        <v>0</v>
      </c>
      <c r="AT392" s="11">
        <v>0</v>
      </c>
      <c r="AU392" s="11">
        <v>0</v>
      </c>
      <c r="AV392" s="11" t="s">
        <v>51</v>
      </c>
    </row>
    <row r="393" spans="1:50" customFormat="1" ht="14.5" hidden="1">
      <c r="A393" s="6">
        <v>394</v>
      </c>
      <c r="B393" s="7" t="s">
        <v>808</v>
      </c>
      <c r="C393" s="7" t="s">
        <v>49</v>
      </c>
      <c r="D393" s="6">
        <v>15289</v>
      </c>
      <c r="E393" s="6" t="s">
        <v>49</v>
      </c>
      <c r="F393" s="8"/>
      <c r="G393" s="8"/>
      <c r="H393" s="7" t="s">
        <v>49</v>
      </c>
      <c r="I393" s="7"/>
      <c r="J393" s="6" t="s">
        <v>49</v>
      </c>
      <c r="K393" s="9" t="s">
        <v>49</v>
      </c>
      <c r="L393" s="9" t="s">
        <v>49</v>
      </c>
      <c r="M393" s="8"/>
      <c r="N393" s="10">
        <v>43131</v>
      </c>
      <c r="O393" s="10">
        <v>43858</v>
      </c>
      <c r="P393" s="9" t="s">
        <v>49</v>
      </c>
      <c r="Q393" s="9" t="s">
        <v>49</v>
      </c>
      <c r="R393" s="8"/>
      <c r="S393" s="8"/>
      <c r="T393" s="8"/>
      <c r="U393" s="8"/>
      <c r="V393" s="9" t="s">
        <v>49</v>
      </c>
      <c r="W393" s="9" t="s">
        <v>49</v>
      </c>
      <c r="X393" s="8"/>
      <c r="Y393" s="8"/>
      <c r="Z393" s="8"/>
      <c r="AA393" s="8"/>
      <c r="AB393" s="8"/>
      <c r="AC393" s="8"/>
      <c r="AD393" s="8"/>
      <c r="AE393" s="8"/>
      <c r="AF393" s="8"/>
      <c r="AG393" s="8"/>
      <c r="AH393" s="7" t="s">
        <v>51</v>
      </c>
      <c r="AI393" s="6" t="s">
        <v>71</v>
      </c>
      <c r="AJ393" s="6" t="s">
        <v>49</v>
      </c>
      <c r="AK393" s="6" t="s">
        <v>49</v>
      </c>
      <c r="AL393" s="9" t="s">
        <v>200</v>
      </c>
      <c r="AM393" s="9" t="s">
        <v>49</v>
      </c>
      <c r="AN393" s="6" t="s">
        <v>96</v>
      </c>
      <c r="AO393" s="9" t="s">
        <v>49</v>
      </c>
      <c r="AP393" s="11">
        <v>7248.8885899999996</v>
      </c>
      <c r="AQ393" s="11">
        <v>0</v>
      </c>
      <c r="AR393" s="11">
        <v>0</v>
      </c>
      <c r="AS393" s="11">
        <v>41681.266040000002</v>
      </c>
      <c r="AT393" s="11">
        <v>50825.983</v>
      </c>
      <c r="AU393" s="11">
        <v>0</v>
      </c>
      <c r="AV393" s="11">
        <v>0</v>
      </c>
    </row>
    <row r="394" spans="1:50" customFormat="1" ht="14.5" hidden="1">
      <c r="A394" s="6">
        <v>395</v>
      </c>
      <c r="B394" s="7" t="s">
        <v>809</v>
      </c>
      <c r="C394" s="7" t="s">
        <v>49</v>
      </c>
      <c r="D394" s="6">
        <v>15508</v>
      </c>
      <c r="E394" s="6" t="s">
        <v>49</v>
      </c>
      <c r="F394" s="8"/>
      <c r="G394" s="8"/>
      <c r="H394" s="7" t="s">
        <v>49</v>
      </c>
      <c r="I394" s="7"/>
      <c r="J394" s="6" t="s">
        <v>49</v>
      </c>
      <c r="K394" s="9" t="s">
        <v>49</v>
      </c>
      <c r="L394" s="9" t="s">
        <v>49</v>
      </c>
      <c r="M394" s="8"/>
      <c r="N394" s="10">
        <v>43536</v>
      </c>
      <c r="O394" s="10">
        <v>43879</v>
      </c>
      <c r="P394" s="9" t="s">
        <v>49</v>
      </c>
      <c r="Q394" s="9" t="s">
        <v>49</v>
      </c>
      <c r="R394" s="8"/>
      <c r="S394" s="8"/>
      <c r="T394" s="8"/>
      <c r="U394" s="8"/>
      <c r="V394" s="9" t="s">
        <v>49</v>
      </c>
      <c r="W394" s="9" t="s">
        <v>49</v>
      </c>
      <c r="X394" s="8"/>
      <c r="Y394" s="8"/>
      <c r="Z394" s="8"/>
      <c r="AA394" s="8"/>
      <c r="AB394" s="8"/>
      <c r="AC394" s="8"/>
      <c r="AD394" s="8"/>
      <c r="AE394" s="8"/>
      <c r="AF394" s="8"/>
      <c r="AG394" s="8"/>
      <c r="AH394" s="7" t="s">
        <v>79</v>
      </c>
      <c r="AI394" s="6" t="s">
        <v>810</v>
      </c>
      <c r="AJ394" s="6" t="s">
        <v>49</v>
      </c>
      <c r="AK394" s="6" t="s">
        <v>49</v>
      </c>
      <c r="AL394" s="9" t="s">
        <v>811</v>
      </c>
      <c r="AM394" s="9" t="s">
        <v>49</v>
      </c>
      <c r="AN394" s="6" t="s">
        <v>812</v>
      </c>
      <c r="AO394" s="9" t="s">
        <v>49</v>
      </c>
      <c r="AP394" s="11">
        <v>7248.8885899999996</v>
      </c>
      <c r="AQ394" s="11">
        <v>0</v>
      </c>
      <c r="AR394" s="11">
        <v>0</v>
      </c>
      <c r="AS394" s="11">
        <v>41681.266040000002</v>
      </c>
      <c r="AT394" s="11">
        <v>50825.983</v>
      </c>
      <c r="AU394" s="11">
        <v>0</v>
      </c>
      <c r="AV394" s="11">
        <v>0</v>
      </c>
    </row>
    <row r="395" spans="1:50" customFormat="1" ht="14.5" hidden="1">
      <c r="A395" s="6">
        <v>396</v>
      </c>
      <c r="B395" s="7" t="s">
        <v>809</v>
      </c>
      <c r="C395" s="7" t="s">
        <v>49</v>
      </c>
      <c r="D395" s="6">
        <v>15508</v>
      </c>
      <c r="E395" s="6" t="s">
        <v>813</v>
      </c>
      <c r="F395" s="8"/>
      <c r="G395" s="8"/>
      <c r="H395" s="7" t="s">
        <v>49</v>
      </c>
      <c r="I395" s="7"/>
      <c r="J395" s="6" t="s">
        <v>49</v>
      </c>
      <c r="K395" s="9" t="s">
        <v>49</v>
      </c>
      <c r="L395" s="9" t="s">
        <v>49</v>
      </c>
      <c r="M395" s="8"/>
      <c r="N395" s="10">
        <v>43536</v>
      </c>
      <c r="O395" s="10">
        <v>43879</v>
      </c>
      <c r="P395" s="9" t="s">
        <v>49</v>
      </c>
      <c r="Q395" s="9" t="s">
        <v>49</v>
      </c>
      <c r="R395" s="8"/>
      <c r="S395" s="8"/>
      <c r="T395" s="8"/>
      <c r="U395" s="8"/>
      <c r="V395" s="9" t="s">
        <v>49</v>
      </c>
      <c r="W395" s="9" t="s">
        <v>49</v>
      </c>
      <c r="X395" s="8"/>
      <c r="Y395" s="8"/>
      <c r="Z395" s="8"/>
      <c r="AA395" s="8"/>
      <c r="AB395" s="8"/>
      <c r="AC395" s="8"/>
      <c r="AD395" s="8"/>
      <c r="AE395" s="8"/>
      <c r="AF395" s="8"/>
      <c r="AG395" s="8"/>
      <c r="AH395" s="7" t="s">
        <v>57</v>
      </c>
      <c r="AI395" s="6" t="s">
        <v>49</v>
      </c>
      <c r="AJ395" s="6" t="s">
        <v>49</v>
      </c>
      <c r="AK395" s="6" t="s">
        <v>49</v>
      </c>
      <c r="AL395" s="9" t="s">
        <v>49</v>
      </c>
      <c r="AM395" s="9" t="s">
        <v>811</v>
      </c>
      <c r="AN395" s="6" t="s">
        <v>49</v>
      </c>
      <c r="AO395" s="9" t="s">
        <v>811</v>
      </c>
      <c r="AP395" s="11">
        <v>0</v>
      </c>
      <c r="AQ395" s="11">
        <v>0</v>
      </c>
      <c r="AR395" s="11">
        <v>0</v>
      </c>
      <c r="AS395" s="11">
        <v>0</v>
      </c>
      <c r="AT395" s="11">
        <v>0</v>
      </c>
      <c r="AU395" s="11">
        <v>0</v>
      </c>
      <c r="AV395" s="11" t="s">
        <v>57</v>
      </c>
    </row>
    <row r="396" spans="1:50" customFormat="1" ht="14.5" hidden="1">
      <c r="A396" s="6">
        <v>397</v>
      </c>
      <c r="B396" s="7" t="s">
        <v>814</v>
      </c>
      <c r="C396" s="7" t="s">
        <v>49</v>
      </c>
      <c r="D396" s="6">
        <v>15490</v>
      </c>
      <c r="E396" s="6" t="s">
        <v>49</v>
      </c>
      <c r="F396" s="8"/>
      <c r="G396" s="8"/>
      <c r="H396" s="7" t="s">
        <v>49</v>
      </c>
      <c r="I396" s="7"/>
      <c r="J396" s="6" t="s">
        <v>49</v>
      </c>
      <c r="K396" s="9" t="s">
        <v>49</v>
      </c>
      <c r="L396" s="9" t="s">
        <v>49</v>
      </c>
      <c r="M396" s="8"/>
      <c r="N396" s="8"/>
      <c r="O396" s="10">
        <v>43525</v>
      </c>
      <c r="P396" s="9" t="s">
        <v>49</v>
      </c>
      <c r="Q396" s="9" t="s">
        <v>49</v>
      </c>
      <c r="R396" s="8"/>
      <c r="S396" s="8"/>
      <c r="T396" s="8"/>
      <c r="U396" s="8"/>
      <c r="V396" s="9" t="s">
        <v>49</v>
      </c>
      <c r="W396" s="9" t="s">
        <v>49</v>
      </c>
      <c r="X396" s="8"/>
      <c r="Y396" s="8"/>
      <c r="Z396" s="8"/>
      <c r="AA396" s="8"/>
      <c r="AB396" s="8"/>
      <c r="AC396" s="8"/>
      <c r="AD396" s="8"/>
      <c r="AE396" s="8"/>
      <c r="AF396" s="8"/>
      <c r="AG396" s="8"/>
      <c r="AH396" s="7" t="s">
        <v>57</v>
      </c>
      <c r="AI396" s="6" t="s">
        <v>71</v>
      </c>
      <c r="AJ396" s="6" t="s">
        <v>49</v>
      </c>
      <c r="AK396" s="6" t="s">
        <v>49</v>
      </c>
      <c r="AL396" s="9" t="s">
        <v>67</v>
      </c>
      <c r="AM396" s="9" t="s">
        <v>49</v>
      </c>
      <c r="AN396" s="6" t="s">
        <v>85</v>
      </c>
      <c r="AO396" s="9" t="s">
        <v>49</v>
      </c>
      <c r="AP396" s="11">
        <v>7248.8885899999996</v>
      </c>
      <c r="AQ396" s="11">
        <v>0</v>
      </c>
      <c r="AR396" s="11">
        <v>0</v>
      </c>
      <c r="AS396" s="11">
        <v>41681.266040000002</v>
      </c>
      <c r="AT396" s="11">
        <v>50825.983</v>
      </c>
      <c r="AU396" s="11">
        <v>0</v>
      </c>
      <c r="AV396" s="11">
        <v>0</v>
      </c>
    </row>
    <row r="397" spans="1:50" customFormat="1" ht="14.5" hidden="1">
      <c r="A397" s="6">
        <v>398</v>
      </c>
      <c r="B397" s="7" t="s">
        <v>815</v>
      </c>
      <c r="C397" s="7" t="s">
        <v>49</v>
      </c>
      <c r="D397" s="6">
        <v>15490</v>
      </c>
      <c r="E397" s="6" t="s">
        <v>816</v>
      </c>
      <c r="F397" s="8"/>
      <c r="G397" s="8"/>
      <c r="H397" s="7" t="s">
        <v>49</v>
      </c>
      <c r="I397" s="7"/>
      <c r="J397" s="6" t="s">
        <v>49</v>
      </c>
      <c r="K397" s="9" t="s">
        <v>49</v>
      </c>
      <c r="L397" s="9" t="s">
        <v>49</v>
      </c>
      <c r="M397" s="8"/>
      <c r="N397" s="12"/>
      <c r="O397" s="10">
        <v>43525</v>
      </c>
      <c r="P397" s="9" t="s">
        <v>49</v>
      </c>
      <c r="Q397" s="9" t="s">
        <v>49</v>
      </c>
      <c r="R397" s="8"/>
      <c r="S397" s="8"/>
      <c r="T397" s="8"/>
      <c r="U397" s="8"/>
      <c r="V397" s="9" t="s">
        <v>49</v>
      </c>
      <c r="W397" s="9" t="s">
        <v>49</v>
      </c>
      <c r="X397" s="8"/>
      <c r="Y397" s="8"/>
      <c r="Z397" s="8"/>
      <c r="AA397" s="8"/>
      <c r="AB397" s="8"/>
      <c r="AC397" s="8"/>
      <c r="AD397" s="8"/>
      <c r="AE397" s="8"/>
      <c r="AF397" s="8"/>
      <c r="AG397" s="8"/>
      <c r="AH397" s="7" t="s">
        <v>57</v>
      </c>
      <c r="AI397" s="6" t="s">
        <v>49</v>
      </c>
      <c r="AJ397" s="6" t="s">
        <v>49</v>
      </c>
      <c r="AK397" s="6" t="s">
        <v>49</v>
      </c>
      <c r="AL397" s="9" t="s">
        <v>49</v>
      </c>
      <c r="AM397" s="9" t="s">
        <v>67</v>
      </c>
      <c r="AN397" s="6" t="s">
        <v>49</v>
      </c>
      <c r="AO397" s="9" t="s">
        <v>67</v>
      </c>
      <c r="AP397" s="11">
        <v>0</v>
      </c>
      <c r="AQ397" s="11">
        <v>0</v>
      </c>
      <c r="AR397" s="11">
        <v>0</v>
      </c>
      <c r="AS397" s="11">
        <v>0</v>
      </c>
      <c r="AT397" s="11">
        <v>0</v>
      </c>
      <c r="AU397" s="11">
        <v>0</v>
      </c>
      <c r="AV397" s="11" t="s">
        <v>57</v>
      </c>
    </row>
    <row r="398" spans="1:50" customFormat="1" ht="14.5" hidden="1">
      <c r="A398" s="6">
        <v>399</v>
      </c>
      <c r="B398" s="7" t="s">
        <v>817</v>
      </c>
      <c r="C398" s="7" t="s">
        <v>49</v>
      </c>
      <c r="D398" s="6">
        <v>12511</v>
      </c>
      <c r="E398" s="6" t="s">
        <v>49</v>
      </c>
      <c r="F398" s="8"/>
      <c r="G398" s="8"/>
      <c r="H398" s="7" t="s">
        <v>49</v>
      </c>
      <c r="I398" s="7"/>
      <c r="J398" s="6" t="s">
        <v>49</v>
      </c>
      <c r="K398" s="9" t="s">
        <v>49</v>
      </c>
      <c r="L398" s="9" t="s">
        <v>49</v>
      </c>
      <c r="M398" s="8"/>
      <c r="N398" s="10">
        <v>42942</v>
      </c>
      <c r="O398" s="10">
        <v>44285</v>
      </c>
      <c r="P398" s="9" t="s">
        <v>49</v>
      </c>
      <c r="Q398" s="9" t="s">
        <v>49</v>
      </c>
      <c r="R398" s="8"/>
      <c r="S398" s="8"/>
      <c r="T398" s="8"/>
      <c r="U398" s="8"/>
      <c r="V398" s="9" t="s">
        <v>49</v>
      </c>
      <c r="W398" s="9" t="s">
        <v>49</v>
      </c>
      <c r="X398" s="8"/>
      <c r="Y398" s="8"/>
      <c r="Z398" s="8"/>
      <c r="AA398" s="8"/>
      <c r="AB398" s="8"/>
      <c r="AC398" s="8"/>
      <c r="AD398" s="8"/>
      <c r="AE398" s="8"/>
      <c r="AF398" s="8"/>
      <c r="AG398" s="8"/>
      <c r="AH398" s="7" t="s">
        <v>51</v>
      </c>
      <c r="AI398" s="6" t="s">
        <v>71</v>
      </c>
      <c r="AJ398" s="6" t="s">
        <v>49</v>
      </c>
      <c r="AK398" s="6" t="s">
        <v>118</v>
      </c>
      <c r="AL398" s="9" t="s">
        <v>455</v>
      </c>
      <c r="AM398" s="9" t="s">
        <v>49</v>
      </c>
      <c r="AN398" s="6" t="s">
        <v>96</v>
      </c>
      <c r="AO398" s="9" t="s">
        <v>49</v>
      </c>
      <c r="AP398" s="11">
        <v>7248.8885899999996</v>
      </c>
      <c r="AQ398" s="11">
        <v>0</v>
      </c>
      <c r="AR398" s="11">
        <v>0</v>
      </c>
      <c r="AS398" s="11">
        <v>41681.266040000002</v>
      </c>
      <c r="AT398" s="11">
        <v>50825.983</v>
      </c>
      <c r="AU398" s="11">
        <v>0</v>
      </c>
      <c r="AV398" s="11">
        <v>0</v>
      </c>
    </row>
    <row r="399" spans="1:50" customFormat="1" ht="14.5" hidden="1">
      <c r="A399" s="6">
        <v>400</v>
      </c>
      <c r="B399" s="7" t="s">
        <v>818</v>
      </c>
      <c r="C399" s="7" t="s">
        <v>49</v>
      </c>
      <c r="D399" s="6">
        <v>12511</v>
      </c>
      <c r="E399" s="6" t="s">
        <v>819</v>
      </c>
      <c r="F399" s="8"/>
      <c r="G399" s="8"/>
      <c r="H399" s="7" t="s">
        <v>49</v>
      </c>
      <c r="I399" s="7"/>
      <c r="J399" s="6" t="s">
        <v>49</v>
      </c>
      <c r="K399" s="9" t="s">
        <v>49</v>
      </c>
      <c r="L399" s="9" t="s">
        <v>49</v>
      </c>
      <c r="M399" s="8"/>
      <c r="N399" s="10">
        <v>42942</v>
      </c>
      <c r="O399" s="10">
        <v>44285</v>
      </c>
      <c r="P399" s="9" t="s">
        <v>49</v>
      </c>
      <c r="Q399" s="9" t="s">
        <v>49</v>
      </c>
      <c r="R399" s="8"/>
      <c r="S399" s="8"/>
      <c r="T399" s="8"/>
      <c r="U399" s="8"/>
      <c r="V399" s="9" t="s">
        <v>49</v>
      </c>
      <c r="W399" s="9" t="s">
        <v>49</v>
      </c>
      <c r="X399" s="8"/>
      <c r="Y399" s="8"/>
      <c r="Z399" s="8"/>
      <c r="AA399" s="8"/>
      <c r="AB399" s="8"/>
      <c r="AC399" s="8"/>
      <c r="AD399" s="8"/>
      <c r="AE399" s="8"/>
      <c r="AF399" s="8"/>
      <c r="AG399" s="8"/>
      <c r="AH399" s="7" t="s">
        <v>51</v>
      </c>
      <c r="AI399" s="6" t="s">
        <v>49</v>
      </c>
      <c r="AJ399" s="6" t="s">
        <v>49</v>
      </c>
      <c r="AK399" s="6" t="s">
        <v>49</v>
      </c>
      <c r="AL399" s="9" t="s">
        <v>49</v>
      </c>
      <c r="AM399" s="9" t="s">
        <v>455</v>
      </c>
      <c r="AN399" s="6" t="s">
        <v>49</v>
      </c>
      <c r="AO399" s="9" t="s">
        <v>242</v>
      </c>
      <c r="AP399" s="11">
        <v>0</v>
      </c>
      <c r="AQ399" s="11">
        <v>0</v>
      </c>
      <c r="AR399" s="11">
        <v>0</v>
      </c>
      <c r="AS399" s="11">
        <v>0</v>
      </c>
      <c r="AT399" s="11">
        <v>0</v>
      </c>
      <c r="AU399" s="11">
        <v>0</v>
      </c>
      <c r="AV399" s="11" t="s">
        <v>51</v>
      </c>
    </row>
    <row r="400" spans="1:50" customFormat="1" ht="14.5" hidden="1">
      <c r="A400" s="6">
        <v>401</v>
      </c>
      <c r="B400" s="7" t="s">
        <v>820</v>
      </c>
      <c r="C400" s="7" t="s">
        <v>49</v>
      </c>
      <c r="D400" s="6">
        <v>15439</v>
      </c>
      <c r="E400" s="6" t="s">
        <v>49</v>
      </c>
      <c r="F400" s="8"/>
      <c r="G400" s="8"/>
      <c r="H400" s="7" t="s">
        <v>49</v>
      </c>
      <c r="I400" s="7"/>
      <c r="J400" s="6" t="s">
        <v>49</v>
      </c>
      <c r="K400" s="9" t="s">
        <v>49</v>
      </c>
      <c r="L400" s="9" t="s">
        <v>49</v>
      </c>
      <c r="M400" s="8"/>
      <c r="N400" s="10">
        <v>43676</v>
      </c>
      <c r="O400" s="10">
        <v>43860</v>
      </c>
      <c r="P400" s="9" t="s">
        <v>49</v>
      </c>
      <c r="Q400" s="9" t="s">
        <v>49</v>
      </c>
      <c r="R400" s="8"/>
      <c r="S400" s="8"/>
      <c r="T400" s="8"/>
      <c r="U400" s="8"/>
      <c r="V400" s="9" t="s">
        <v>49</v>
      </c>
      <c r="W400" s="9" t="s">
        <v>49</v>
      </c>
      <c r="X400" s="8"/>
      <c r="Y400" s="8"/>
      <c r="Z400" s="8"/>
      <c r="AA400" s="8"/>
      <c r="AB400" s="8"/>
      <c r="AC400" s="8"/>
      <c r="AD400" s="8"/>
      <c r="AE400" s="8"/>
      <c r="AF400" s="8"/>
      <c r="AG400" s="8"/>
      <c r="AH400" s="7" t="s">
        <v>57</v>
      </c>
      <c r="AI400" s="6" t="s">
        <v>71</v>
      </c>
      <c r="AJ400" s="6" t="s">
        <v>49</v>
      </c>
      <c r="AK400" s="6" t="s">
        <v>49</v>
      </c>
      <c r="AL400" s="9" t="s">
        <v>213</v>
      </c>
      <c r="AM400" s="9" t="s">
        <v>49</v>
      </c>
      <c r="AN400" s="6" t="s">
        <v>96</v>
      </c>
      <c r="AO400" s="9" t="s">
        <v>49</v>
      </c>
      <c r="AP400" s="11">
        <v>7248.8885899999996</v>
      </c>
      <c r="AQ400" s="11">
        <v>0</v>
      </c>
      <c r="AR400" s="11">
        <v>0</v>
      </c>
      <c r="AS400" s="11">
        <v>41681.266040000002</v>
      </c>
      <c r="AT400" s="11">
        <v>50825.983</v>
      </c>
      <c r="AU400" s="11">
        <v>0</v>
      </c>
      <c r="AV400" s="11">
        <v>0</v>
      </c>
    </row>
    <row r="401" spans="1:50" customFormat="1" ht="14.5" hidden="1">
      <c r="A401" s="6">
        <v>402</v>
      </c>
      <c r="B401" s="7" t="s">
        <v>821</v>
      </c>
      <c r="C401" s="7" t="s">
        <v>49</v>
      </c>
      <c r="D401" s="6">
        <v>15439</v>
      </c>
      <c r="E401" s="6" t="s">
        <v>822</v>
      </c>
      <c r="F401" s="8"/>
      <c r="G401" s="8"/>
      <c r="H401" s="7" t="s">
        <v>49</v>
      </c>
      <c r="I401" s="7"/>
      <c r="J401" s="6" t="s">
        <v>49</v>
      </c>
      <c r="K401" s="9" t="s">
        <v>49</v>
      </c>
      <c r="L401" s="9" t="s">
        <v>49</v>
      </c>
      <c r="M401" s="8"/>
      <c r="N401" s="10">
        <v>43676</v>
      </c>
      <c r="O401" s="10">
        <v>43860</v>
      </c>
      <c r="P401" s="9" t="s">
        <v>49</v>
      </c>
      <c r="Q401" s="9" t="s">
        <v>49</v>
      </c>
      <c r="R401" s="8"/>
      <c r="S401" s="8"/>
      <c r="T401" s="8"/>
      <c r="U401" s="8"/>
      <c r="V401" s="9" t="s">
        <v>49</v>
      </c>
      <c r="W401" s="9" t="s">
        <v>49</v>
      </c>
      <c r="X401" s="8"/>
      <c r="Y401" s="8"/>
      <c r="Z401" s="8"/>
      <c r="AA401" s="8"/>
      <c r="AB401" s="8"/>
      <c r="AC401" s="8"/>
      <c r="AD401" s="8"/>
      <c r="AE401" s="8"/>
      <c r="AF401" s="8"/>
      <c r="AG401" s="8"/>
      <c r="AH401" s="7" t="s">
        <v>57</v>
      </c>
      <c r="AI401" s="6" t="s">
        <v>49</v>
      </c>
      <c r="AJ401" s="6" t="s">
        <v>49</v>
      </c>
      <c r="AK401" s="6" t="s">
        <v>49</v>
      </c>
      <c r="AL401" s="9" t="s">
        <v>49</v>
      </c>
      <c r="AM401" s="9" t="s">
        <v>823</v>
      </c>
      <c r="AN401" s="6" t="s">
        <v>49</v>
      </c>
      <c r="AO401" s="9" t="s">
        <v>201</v>
      </c>
      <c r="AP401" s="11">
        <v>0</v>
      </c>
      <c r="AQ401" s="11">
        <v>0</v>
      </c>
      <c r="AR401" s="11">
        <v>0</v>
      </c>
      <c r="AS401" s="11">
        <v>0</v>
      </c>
      <c r="AT401" s="11">
        <v>1300</v>
      </c>
      <c r="AU401" s="11">
        <v>0</v>
      </c>
      <c r="AV401" s="11" t="s">
        <v>57</v>
      </c>
    </row>
    <row r="402" spans="1:50" customFormat="1" ht="14.5" hidden="1">
      <c r="A402" s="6">
        <v>403</v>
      </c>
      <c r="B402" s="7" t="s">
        <v>824</v>
      </c>
      <c r="C402" s="7" t="s">
        <v>49</v>
      </c>
      <c r="D402" s="6">
        <v>15644</v>
      </c>
      <c r="E402" s="6" t="s">
        <v>49</v>
      </c>
      <c r="F402" s="8"/>
      <c r="G402" s="8"/>
      <c r="H402" s="7" t="s">
        <v>49</v>
      </c>
      <c r="I402" s="7"/>
      <c r="J402" s="6" t="s">
        <v>49</v>
      </c>
      <c r="K402" s="9" t="s">
        <v>49</v>
      </c>
      <c r="L402" s="9" t="s">
        <v>49</v>
      </c>
      <c r="M402" s="8"/>
      <c r="N402" s="8"/>
      <c r="O402" s="8"/>
      <c r="P402" s="9" t="s">
        <v>49</v>
      </c>
      <c r="Q402" s="9" t="s">
        <v>49</v>
      </c>
      <c r="R402" s="8"/>
      <c r="S402" s="8"/>
      <c r="T402" s="8"/>
      <c r="U402" s="8"/>
      <c r="V402" s="9" t="s">
        <v>49</v>
      </c>
      <c r="W402" s="9" t="s">
        <v>49</v>
      </c>
      <c r="X402" s="8"/>
      <c r="Y402" s="8"/>
      <c r="Z402" s="8"/>
      <c r="AA402" s="8"/>
      <c r="AB402" s="8"/>
      <c r="AC402" s="8"/>
      <c r="AD402" s="8"/>
      <c r="AE402" s="8"/>
      <c r="AF402" s="8"/>
      <c r="AG402" s="8"/>
      <c r="AH402" s="7" t="s">
        <v>79</v>
      </c>
      <c r="AI402" s="6" t="s">
        <v>110</v>
      </c>
      <c r="AJ402" s="6" t="s">
        <v>49</v>
      </c>
      <c r="AK402" s="6" t="s">
        <v>49</v>
      </c>
      <c r="AL402" s="9" t="s">
        <v>111</v>
      </c>
      <c r="AM402" s="9" t="s">
        <v>49</v>
      </c>
      <c r="AN402" s="6" t="s">
        <v>82</v>
      </c>
      <c r="AO402" s="9" t="s">
        <v>49</v>
      </c>
      <c r="AP402" s="11">
        <v>7248.8885899999996</v>
      </c>
      <c r="AQ402" s="11">
        <v>0</v>
      </c>
      <c r="AR402" s="11">
        <v>0</v>
      </c>
      <c r="AS402" s="11">
        <v>41681.266040000002</v>
      </c>
      <c r="AT402" s="11">
        <v>50825.983</v>
      </c>
      <c r="AU402" s="11">
        <v>0</v>
      </c>
      <c r="AV402" s="11">
        <v>0</v>
      </c>
    </row>
    <row r="403" spans="1:50" customFormat="1" ht="14.5" hidden="1">
      <c r="A403" s="6">
        <v>404</v>
      </c>
      <c r="B403" s="7" t="s">
        <v>825</v>
      </c>
      <c r="C403" s="7" t="s">
        <v>49</v>
      </c>
      <c r="D403" s="6">
        <v>15644</v>
      </c>
      <c r="E403" s="6" t="s">
        <v>49</v>
      </c>
      <c r="F403" s="8"/>
      <c r="G403" s="8"/>
      <c r="H403" s="7" t="s">
        <v>49</v>
      </c>
      <c r="I403" s="7"/>
      <c r="J403" s="6" t="s">
        <v>49</v>
      </c>
      <c r="K403" s="9" t="s">
        <v>49</v>
      </c>
      <c r="L403" s="9" t="s">
        <v>49</v>
      </c>
      <c r="M403" s="8"/>
      <c r="N403" s="12"/>
      <c r="O403" s="12"/>
      <c r="P403" s="9" t="s">
        <v>49</v>
      </c>
      <c r="Q403" s="9" t="s">
        <v>49</v>
      </c>
      <c r="R403" s="8"/>
      <c r="S403" s="8"/>
      <c r="T403" s="8"/>
      <c r="U403" s="8"/>
      <c r="V403" s="9" t="s">
        <v>49</v>
      </c>
      <c r="W403" s="9" t="s">
        <v>49</v>
      </c>
      <c r="X403" s="8"/>
      <c r="Y403" s="8"/>
      <c r="Z403" s="8"/>
      <c r="AA403" s="8"/>
      <c r="AB403" s="8"/>
      <c r="AC403" s="8"/>
      <c r="AD403" s="8"/>
      <c r="AE403" s="8"/>
      <c r="AF403" s="8"/>
      <c r="AG403" s="8"/>
      <c r="AH403" s="7" t="s">
        <v>79</v>
      </c>
      <c r="AI403" s="6" t="s">
        <v>110</v>
      </c>
      <c r="AJ403" s="6" t="s">
        <v>49</v>
      </c>
      <c r="AK403" s="6" t="s">
        <v>49</v>
      </c>
      <c r="AL403" s="9" t="s">
        <v>111</v>
      </c>
      <c r="AM403" s="9" t="s">
        <v>49</v>
      </c>
      <c r="AN403" s="6" t="s">
        <v>82</v>
      </c>
      <c r="AO403" s="9" t="s">
        <v>49</v>
      </c>
      <c r="AP403" s="11">
        <v>7248.8885899999996</v>
      </c>
      <c r="AQ403" s="11">
        <v>0</v>
      </c>
      <c r="AR403" s="11">
        <v>0</v>
      </c>
      <c r="AS403" s="11">
        <v>41681.266040000002</v>
      </c>
      <c r="AT403" s="11">
        <v>50825.983</v>
      </c>
      <c r="AU403" s="11">
        <v>0</v>
      </c>
      <c r="AV403" s="11">
        <v>0</v>
      </c>
    </row>
    <row r="404" spans="1:50" customFormat="1" ht="14.5" hidden="1">
      <c r="A404" s="6">
        <v>405</v>
      </c>
      <c r="B404" s="7" t="s">
        <v>826</v>
      </c>
      <c r="C404" s="7" t="s">
        <v>49</v>
      </c>
      <c r="D404" s="6">
        <v>15221</v>
      </c>
      <c r="E404" s="6" t="s">
        <v>49</v>
      </c>
      <c r="F404" s="8"/>
      <c r="G404" s="8"/>
      <c r="H404" s="7" t="s">
        <v>49</v>
      </c>
      <c r="I404" s="7"/>
      <c r="J404" s="6" t="s">
        <v>49</v>
      </c>
      <c r="K404" s="9" t="s">
        <v>49</v>
      </c>
      <c r="L404" s="9" t="s">
        <v>49</v>
      </c>
      <c r="M404" s="8"/>
      <c r="N404" s="10">
        <v>42887</v>
      </c>
      <c r="O404" s="10">
        <v>44196</v>
      </c>
      <c r="P404" s="9" t="s">
        <v>49</v>
      </c>
      <c r="Q404" s="9" t="s">
        <v>49</v>
      </c>
      <c r="R404" s="8"/>
      <c r="S404" s="8"/>
      <c r="T404" s="8"/>
      <c r="U404" s="8"/>
      <c r="V404" s="9" t="s">
        <v>49</v>
      </c>
      <c r="W404" s="9" t="s">
        <v>49</v>
      </c>
      <c r="X404" s="8"/>
      <c r="Y404" s="8"/>
      <c r="Z404" s="8"/>
      <c r="AA404" s="8"/>
      <c r="AB404" s="8"/>
      <c r="AC404" s="8"/>
      <c r="AD404" s="8"/>
      <c r="AE404" s="8"/>
      <c r="AF404" s="8"/>
      <c r="AG404" s="8"/>
      <c r="AH404" s="7" t="s">
        <v>51</v>
      </c>
      <c r="AI404" s="6" t="s">
        <v>71</v>
      </c>
      <c r="AJ404" s="6" t="s">
        <v>49</v>
      </c>
      <c r="AK404" s="6" t="s">
        <v>49</v>
      </c>
      <c r="AL404" s="9" t="s">
        <v>236</v>
      </c>
      <c r="AM404" s="9" t="s">
        <v>49</v>
      </c>
      <c r="AN404" s="6" t="s">
        <v>96</v>
      </c>
      <c r="AO404" s="9" t="s">
        <v>49</v>
      </c>
      <c r="AP404" s="11">
        <v>7248.8885899999996</v>
      </c>
      <c r="AQ404" s="11">
        <v>0</v>
      </c>
      <c r="AR404" s="11">
        <v>0</v>
      </c>
      <c r="AS404" s="11">
        <v>41681.266040000002</v>
      </c>
      <c r="AT404" s="11">
        <v>50825.983</v>
      </c>
      <c r="AU404" s="11">
        <v>0</v>
      </c>
      <c r="AV404" s="11">
        <v>0</v>
      </c>
    </row>
    <row r="405" spans="1:50" customFormat="1" ht="14.5" hidden="1">
      <c r="A405" s="6">
        <v>406</v>
      </c>
      <c r="B405" s="7" t="s">
        <v>827</v>
      </c>
      <c r="C405" s="7" t="s">
        <v>49</v>
      </c>
      <c r="D405" s="6">
        <v>15221</v>
      </c>
      <c r="E405" s="6" t="s">
        <v>828</v>
      </c>
      <c r="F405" s="8"/>
      <c r="G405" s="8"/>
      <c r="H405" s="7" t="s">
        <v>49</v>
      </c>
      <c r="I405" s="7"/>
      <c r="J405" s="6" t="s">
        <v>49</v>
      </c>
      <c r="K405" s="9" t="s">
        <v>49</v>
      </c>
      <c r="L405" s="9" t="s">
        <v>49</v>
      </c>
      <c r="M405" s="8"/>
      <c r="N405" s="10">
        <v>42887</v>
      </c>
      <c r="O405" s="10">
        <v>44196</v>
      </c>
      <c r="P405" s="9" t="s">
        <v>49</v>
      </c>
      <c r="Q405" s="9" t="s">
        <v>49</v>
      </c>
      <c r="R405" s="8"/>
      <c r="S405" s="8"/>
      <c r="T405" s="8"/>
      <c r="U405" s="8"/>
      <c r="V405" s="9" t="s">
        <v>49</v>
      </c>
      <c r="W405" s="9" t="s">
        <v>49</v>
      </c>
      <c r="X405" s="8"/>
      <c r="Y405" s="8"/>
      <c r="Z405" s="8"/>
      <c r="AA405" s="8"/>
      <c r="AB405" s="8"/>
      <c r="AC405" s="8"/>
      <c r="AD405" s="8"/>
      <c r="AE405" s="8"/>
      <c r="AF405" s="8"/>
      <c r="AG405" s="8"/>
      <c r="AH405" s="7" t="s">
        <v>51</v>
      </c>
      <c r="AI405" s="6" t="s">
        <v>49</v>
      </c>
      <c r="AJ405" s="6" t="s">
        <v>49</v>
      </c>
      <c r="AK405" s="6" t="s">
        <v>49</v>
      </c>
      <c r="AL405" s="9" t="s">
        <v>49</v>
      </c>
      <c r="AM405" s="9" t="s">
        <v>236</v>
      </c>
      <c r="AN405" s="6" t="s">
        <v>49</v>
      </c>
      <c r="AO405" s="9" t="s">
        <v>236</v>
      </c>
      <c r="AP405" s="11">
        <v>0</v>
      </c>
      <c r="AQ405" s="11">
        <v>0</v>
      </c>
      <c r="AR405" s="11">
        <v>0</v>
      </c>
      <c r="AS405" s="11">
        <v>0</v>
      </c>
      <c r="AT405" s="11">
        <v>0</v>
      </c>
      <c r="AU405" s="11">
        <v>0</v>
      </c>
      <c r="AV405" s="11" t="s">
        <v>51</v>
      </c>
    </row>
    <row r="406" spans="1:50" customFormat="1" ht="14.5" hidden="1">
      <c r="A406" s="6">
        <v>407</v>
      </c>
      <c r="B406" s="7" t="s">
        <v>829</v>
      </c>
      <c r="C406" s="7" t="s">
        <v>49</v>
      </c>
      <c r="D406" s="6">
        <v>15221</v>
      </c>
      <c r="E406" s="6" t="s">
        <v>830</v>
      </c>
      <c r="F406" s="8"/>
      <c r="G406" s="8"/>
      <c r="H406" s="7" t="s">
        <v>49</v>
      </c>
      <c r="I406" s="7"/>
      <c r="J406" s="6" t="s">
        <v>49</v>
      </c>
      <c r="K406" s="9" t="s">
        <v>49</v>
      </c>
      <c r="L406" s="9" t="s">
        <v>49</v>
      </c>
      <c r="M406" s="8"/>
      <c r="N406" s="10">
        <v>42916</v>
      </c>
      <c r="O406" s="10">
        <v>44196</v>
      </c>
      <c r="P406" s="9" t="s">
        <v>49</v>
      </c>
      <c r="Q406" s="9" t="s">
        <v>49</v>
      </c>
      <c r="R406" s="8"/>
      <c r="S406" s="8"/>
      <c r="T406" s="8"/>
      <c r="U406" s="8"/>
      <c r="V406" s="9" t="s">
        <v>49</v>
      </c>
      <c r="W406" s="9" t="s">
        <v>49</v>
      </c>
      <c r="X406" s="8"/>
      <c r="Y406" s="8"/>
      <c r="Z406" s="8"/>
      <c r="AA406" s="8"/>
      <c r="AB406" s="8"/>
      <c r="AC406" s="8"/>
      <c r="AD406" s="8"/>
      <c r="AE406" s="8"/>
      <c r="AF406" s="8"/>
      <c r="AG406" s="8"/>
      <c r="AH406" s="7" t="s">
        <v>51</v>
      </c>
      <c r="AI406" s="6" t="s">
        <v>49</v>
      </c>
      <c r="AJ406" s="6" t="s">
        <v>49</v>
      </c>
      <c r="AK406" s="6" t="s">
        <v>49</v>
      </c>
      <c r="AL406" s="9" t="s">
        <v>49</v>
      </c>
      <c r="AM406" s="9" t="s">
        <v>236</v>
      </c>
      <c r="AN406" s="6" t="s">
        <v>49</v>
      </c>
      <c r="AO406" s="9" t="s">
        <v>236</v>
      </c>
      <c r="AP406" s="11">
        <v>0</v>
      </c>
      <c r="AQ406" s="11">
        <v>0</v>
      </c>
      <c r="AR406" s="11">
        <v>0</v>
      </c>
      <c r="AS406" s="11">
        <v>0</v>
      </c>
      <c r="AT406" s="11">
        <v>0</v>
      </c>
      <c r="AU406" s="11">
        <v>0</v>
      </c>
      <c r="AV406" s="11" t="s">
        <v>51</v>
      </c>
    </row>
    <row r="407" spans="1:50" customFormat="1" ht="14.5" hidden="1">
      <c r="A407" s="6">
        <v>408</v>
      </c>
      <c r="B407" s="7" t="s">
        <v>831</v>
      </c>
      <c r="C407" s="7" t="s">
        <v>49</v>
      </c>
      <c r="D407" s="6">
        <v>15070</v>
      </c>
      <c r="E407" s="6" t="s">
        <v>832</v>
      </c>
      <c r="F407" s="12"/>
      <c r="G407" s="8"/>
      <c r="H407" s="7" t="s">
        <v>49</v>
      </c>
      <c r="I407" s="7"/>
      <c r="J407" s="6" t="s">
        <v>49</v>
      </c>
      <c r="K407" s="9" t="s">
        <v>49</v>
      </c>
      <c r="L407" s="9" t="s">
        <v>49</v>
      </c>
      <c r="M407" s="8"/>
      <c r="N407" s="12"/>
      <c r="O407" s="10">
        <v>43830</v>
      </c>
      <c r="P407" s="9" t="s">
        <v>49</v>
      </c>
      <c r="Q407" s="9" t="s">
        <v>49</v>
      </c>
      <c r="R407" s="8"/>
      <c r="S407" s="8"/>
      <c r="T407" s="8"/>
      <c r="U407" s="8"/>
      <c r="V407" s="9" t="s">
        <v>49</v>
      </c>
      <c r="W407" s="9" t="s">
        <v>49</v>
      </c>
      <c r="X407" s="8"/>
      <c r="Y407" s="8"/>
      <c r="Z407" s="8"/>
      <c r="AA407" s="8"/>
      <c r="AB407" s="8"/>
      <c r="AC407" s="8"/>
      <c r="AD407" s="8"/>
      <c r="AE407" s="8"/>
      <c r="AF407" s="8"/>
      <c r="AG407" s="8"/>
      <c r="AH407" s="7" t="s">
        <v>57</v>
      </c>
      <c r="AI407" s="6" t="s">
        <v>49</v>
      </c>
      <c r="AJ407" s="6" t="s">
        <v>49</v>
      </c>
      <c r="AK407" s="6" t="s">
        <v>49</v>
      </c>
      <c r="AL407" s="9" t="s">
        <v>49</v>
      </c>
      <c r="AM407" s="9" t="s">
        <v>134</v>
      </c>
      <c r="AN407" s="6" t="s">
        <v>49</v>
      </c>
      <c r="AO407" s="9" t="s">
        <v>134</v>
      </c>
      <c r="AP407" s="11">
        <v>0</v>
      </c>
      <c r="AQ407" s="11">
        <v>0</v>
      </c>
      <c r="AR407" s="11">
        <v>0</v>
      </c>
      <c r="AS407" s="11">
        <v>0</v>
      </c>
      <c r="AT407" s="11">
        <v>0</v>
      </c>
      <c r="AU407" s="11">
        <v>0</v>
      </c>
      <c r="AV407" s="11" t="s">
        <v>57</v>
      </c>
    </row>
    <row r="408" spans="1:50" customFormat="1" ht="14.5" hidden="1">
      <c r="A408" s="6">
        <v>409</v>
      </c>
      <c r="B408" s="7" t="s">
        <v>833</v>
      </c>
      <c r="C408" s="7" t="s">
        <v>49</v>
      </c>
      <c r="D408" s="6">
        <v>16026</v>
      </c>
      <c r="E408" s="6" t="s">
        <v>834</v>
      </c>
      <c r="F408" s="6">
        <v>83551</v>
      </c>
      <c r="G408" s="8"/>
      <c r="H408" s="7" t="s">
        <v>49</v>
      </c>
      <c r="I408" s="7"/>
      <c r="J408" s="6" t="s">
        <v>49</v>
      </c>
      <c r="K408" s="9" t="s">
        <v>49</v>
      </c>
      <c r="L408" s="9" t="s">
        <v>73</v>
      </c>
      <c r="M408" s="8"/>
      <c r="N408" s="10">
        <v>42949</v>
      </c>
      <c r="O408" s="10">
        <v>44196</v>
      </c>
      <c r="P408" s="9" t="s">
        <v>835</v>
      </c>
      <c r="Q408" s="9" t="s">
        <v>836</v>
      </c>
      <c r="R408" s="8"/>
      <c r="S408" s="8"/>
      <c r="T408" s="8"/>
      <c r="U408" s="8"/>
      <c r="V408" s="9" t="s">
        <v>49</v>
      </c>
      <c r="W408" s="9" t="s">
        <v>49</v>
      </c>
      <c r="X408" s="8"/>
      <c r="Y408" s="8"/>
      <c r="Z408" s="8"/>
      <c r="AA408" s="8"/>
      <c r="AB408" s="8"/>
      <c r="AC408" s="8"/>
      <c r="AD408" s="8"/>
      <c r="AE408" s="8"/>
      <c r="AF408" s="8"/>
      <c r="AG408" s="8"/>
      <c r="AH408" s="7" t="s">
        <v>51</v>
      </c>
      <c r="AI408" s="6" t="s">
        <v>49</v>
      </c>
      <c r="AJ408" s="6" t="s">
        <v>49</v>
      </c>
      <c r="AK408" s="6" t="s">
        <v>49</v>
      </c>
      <c r="AL408" s="9" t="s">
        <v>49</v>
      </c>
      <c r="AM408" s="9" t="s">
        <v>134</v>
      </c>
      <c r="AN408" s="6" t="s">
        <v>49</v>
      </c>
      <c r="AO408" s="9" t="s">
        <v>837</v>
      </c>
      <c r="AP408" s="11">
        <v>0</v>
      </c>
      <c r="AQ408" s="11">
        <v>0</v>
      </c>
      <c r="AR408" s="11">
        <v>0</v>
      </c>
      <c r="AS408" s="11">
        <v>0</v>
      </c>
      <c r="AT408" s="11">
        <v>0</v>
      </c>
      <c r="AU408" s="11">
        <v>0</v>
      </c>
      <c r="AV408" s="11" t="s">
        <v>51</v>
      </c>
    </row>
    <row r="409" spans="1:50" customFormat="1" ht="14.5" hidden="1">
      <c r="A409" s="6">
        <v>410</v>
      </c>
      <c r="B409" s="7" t="s">
        <v>838</v>
      </c>
      <c r="C409" s="7" t="s">
        <v>49</v>
      </c>
      <c r="D409" s="6">
        <v>15070</v>
      </c>
      <c r="E409" s="6" t="s">
        <v>839</v>
      </c>
      <c r="F409" s="12"/>
      <c r="G409" s="8"/>
      <c r="H409" s="7" t="s">
        <v>49</v>
      </c>
      <c r="I409" s="7"/>
      <c r="J409" s="6" t="s">
        <v>49</v>
      </c>
      <c r="K409" s="9" t="s">
        <v>49</v>
      </c>
      <c r="L409" s="9" t="s">
        <v>49</v>
      </c>
      <c r="M409" s="8"/>
      <c r="N409" s="12"/>
      <c r="O409" s="10">
        <v>44155</v>
      </c>
      <c r="P409" s="9" t="s">
        <v>49</v>
      </c>
      <c r="Q409" s="9" t="s">
        <v>49</v>
      </c>
      <c r="R409" s="8"/>
      <c r="S409" s="8"/>
      <c r="T409" s="8"/>
      <c r="U409" s="8"/>
      <c r="V409" s="9" t="s">
        <v>49</v>
      </c>
      <c r="W409" s="9" t="s">
        <v>49</v>
      </c>
      <c r="X409" s="8"/>
      <c r="Y409" s="8"/>
      <c r="Z409" s="8"/>
      <c r="AA409" s="8"/>
      <c r="AB409" s="8"/>
      <c r="AC409" s="8"/>
      <c r="AD409" s="8"/>
      <c r="AE409" s="8"/>
      <c r="AF409" s="8"/>
      <c r="AG409" s="8"/>
      <c r="AH409" s="7" t="s">
        <v>57</v>
      </c>
      <c r="AI409" s="6" t="s">
        <v>49</v>
      </c>
      <c r="AJ409" s="6" t="s">
        <v>49</v>
      </c>
      <c r="AK409" s="6" t="s">
        <v>49</v>
      </c>
      <c r="AL409" s="9" t="s">
        <v>49</v>
      </c>
      <c r="AM409" s="9" t="s">
        <v>134</v>
      </c>
      <c r="AN409" s="6" t="s">
        <v>49</v>
      </c>
      <c r="AO409" s="9" t="s">
        <v>134</v>
      </c>
      <c r="AP409" s="11">
        <v>0</v>
      </c>
      <c r="AQ409" s="11">
        <v>0</v>
      </c>
      <c r="AR409" s="11">
        <v>0</v>
      </c>
      <c r="AS409" s="11">
        <v>0</v>
      </c>
      <c r="AT409" s="11">
        <v>0</v>
      </c>
      <c r="AU409" s="11">
        <v>0</v>
      </c>
      <c r="AV409" s="11" t="s">
        <v>57</v>
      </c>
    </row>
    <row r="410" spans="1:50" customFormat="1" ht="14.5" hidden="1">
      <c r="A410" s="6">
        <v>411</v>
      </c>
      <c r="B410" s="7" t="s">
        <v>840</v>
      </c>
      <c r="C410" s="7" t="s">
        <v>131</v>
      </c>
      <c r="D410" s="6">
        <v>15070</v>
      </c>
      <c r="E410" s="6" t="s">
        <v>841</v>
      </c>
      <c r="F410" s="6">
        <v>84581</v>
      </c>
      <c r="G410" s="8"/>
      <c r="H410" s="7" t="s">
        <v>49</v>
      </c>
      <c r="I410" s="7"/>
      <c r="J410" s="6" t="s">
        <v>49</v>
      </c>
      <c r="K410" s="9" t="s">
        <v>49</v>
      </c>
      <c r="L410" s="9" t="s">
        <v>73</v>
      </c>
      <c r="M410" s="12"/>
      <c r="N410" s="10">
        <v>43627</v>
      </c>
      <c r="O410" s="10">
        <v>44196</v>
      </c>
      <c r="P410" s="9" t="s">
        <v>403</v>
      </c>
      <c r="Q410" s="9" t="s">
        <v>842</v>
      </c>
      <c r="R410" s="8"/>
      <c r="S410" s="8"/>
      <c r="T410" s="8"/>
      <c r="U410" s="8"/>
      <c r="V410" s="9" t="s">
        <v>49</v>
      </c>
      <c r="W410" s="9" t="s">
        <v>49</v>
      </c>
      <c r="X410" s="8"/>
      <c r="Y410" s="8"/>
      <c r="Z410" s="12"/>
      <c r="AA410" s="12"/>
      <c r="AB410" s="12"/>
      <c r="AC410" s="8"/>
      <c r="AD410" s="12"/>
      <c r="AE410" s="12"/>
      <c r="AF410" s="12"/>
      <c r="AG410" s="12"/>
      <c r="AH410" s="7" t="s">
        <v>57</v>
      </c>
      <c r="AI410" s="6" t="s">
        <v>49</v>
      </c>
      <c r="AJ410" s="6" t="s">
        <v>49</v>
      </c>
      <c r="AK410" s="6" t="s">
        <v>49</v>
      </c>
      <c r="AL410" s="9" t="s">
        <v>49</v>
      </c>
      <c r="AM410" s="9" t="s">
        <v>134</v>
      </c>
      <c r="AN410" s="6" t="s">
        <v>49</v>
      </c>
      <c r="AO410" s="9" t="s">
        <v>134</v>
      </c>
      <c r="AP410" s="11">
        <v>0</v>
      </c>
      <c r="AQ410" s="11">
        <v>0</v>
      </c>
      <c r="AR410" s="11">
        <v>0</v>
      </c>
      <c r="AS410" s="11">
        <v>0</v>
      </c>
      <c r="AT410" s="11">
        <v>0</v>
      </c>
      <c r="AU410" s="11">
        <v>0</v>
      </c>
      <c r="AV410" s="11" t="s">
        <v>57</v>
      </c>
    </row>
    <row r="411" spans="1:50" customFormat="1" ht="14.5" hidden="1">
      <c r="A411" s="6">
        <v>412</v>
      </c>
      <c r="B411" s="7" t="s">
        <v>843</v>
      </c>
      <c r="C411" s="7" t="s">
        <v>131</v>
      </c>
      <c r="D411" s="12"/>
      <c r="E411" s="6" t="s">
        <v>104</v>
      </c>
      <c r="F411" s="6">
        <v>87456</v>
      </c>
      <c r="G411" s="8"/>
      <c r="H411" s="7" t="s">
        <v>88</v>
      </c>
      <c r="I411" s="7" t="s">
        <v>217</v>
      </c>
      <c r="J411" s="6" t="s">
        <v>105</v>
      </c>
      <c r="K411" s="9" t="s">
        <v>106</v>
      </c>
      <c r="L411" s="9" t="s">
        <v>73</v>
      </c>
      <c r="M411" s="20">
        <v>347</v>
      </c>
      <c r="N411" s="8"/>
      <c r="O411" s="12"/>
      <c r="P411" s="9" t="s">
        <v>843</v>
      </c>
      <c r="Q411" s="9" t="s">
        <v>844</v>
      </c>
      <c r="R411" s="8"/>
      <c r="S411" s="8"/>
      <c r="T411" s="8"/>
      <c r="U411" s="8"/>
      <c r="V411" s="9" t="s">
        <v>49</v>
      </c>
      <c r="W411" s="9" t="s">
        <v>132</v>
      </c>
      <c r="X411" s="8"/>
      <c r="Y411" s="8"/>
      <c r="Z411" s="6">
        <v>0.34699999999999998</v>
      </c>
      <c r="AA411" s="6">
        <v>0.2</v>
      </c>
      <c r="AB411" s="6">
        <v>0.54700000000000004</v>
      </c>
      <c r="AC411" s="8"/>
      <c r="AD411" s="6">
        <v>0.54700000000000004</v>
      </c>
      <c r="AE411" s="6">
        <v>0.33</v>
      </c>
      <c r="AF411" s="6">
        <v>0.15</v>
      </c>
      <c r="AG411" s="6">
        <v>0.48</v>
      </c>
      <c r="AH411" s="7" t="s">
        <v>49</v>
      </c>
      <c r="AI411" s="6" t="s">
        <v>49</v>
      </c>
      <c r="AJ411" s="6" t="s">
        <v>49</v>
      </c>
      <c r="AK411" s="6" t="s">
        <v>49</v>
      </c>
      <c r="AL411" s="9" t="s">
        <v>49</v>
      </c>
      <c r="AM411" s="9" t="s">
        <v>49</v>
      </c>
      <c r="AN411" s="6" t="s">
        <v>49</v>
      </c>
      <c r="AO411" s="9" t="s">
        <v>49</v>
      </c>
      <c r="AP411" s="11">
        <v>0</v>
      </c>
      <c r="AQ411" s="11">
        <v>0</v>
      </c>
      <c r="AR411" s="11">
        <v>0</v>
      </c>
      <c r="AS411" s="11">
        <v>0</v>
      </c>
      <c r="AT411" s="11">
        <v>0</v>
      </c>
      <c r="AU411" s="11">
        <v>200.066</v>
      </c>
      <c r="AV411" s="11">
        <v>0</v>
      </c>
    </row>
    <row r="412" spans="1:50" customFormat="1" ht="14.5" hidden="1">
      <c r="A412" s="6">
        <v>413</v>
      </c>
      <c r="B412" s="7" t="s">
        <v>845</v>
      </c>
      <c r="C412" s="7" t="s">
        <v>49</v>
      </c>
      <c r="D412" s="6">
        <v>16026</v>
      </c>
      <c r="E412" s="6" t="s">
        <v>846</v>
      </c>
      <c r="F412" s="12"/>
      <c r="G412" s="8"/>
      <c r="H412" s="7" t="s">
        <v>49</v>
      </c>
      <c r="I412" s="7"/>
      <c r="J412" s="6" t="s">
        <v>49</v>
      </c>
      <c r="K412" s="9" t="s">
        <v>49</v>
      </c>
      <c r="L412" s="9" t="s">
        <v>49</v>
      </c>
      <c r="M412" s="8"/>
      <c r="N412" s="12"/>
      <c r="O412" s="10">
        <v>43811</v>
      </c>
      <c r="P412" s="9" t="s">
        <v>49</v>
      </c>
      <c r="Q412" s="9" t="s">
        <v>49</v>
      </c>
      <c r="R412" s="8"/>
      <c r="S412" s="8"/>
      <c r="T412" s="8"/>
      <c r="U412" s="12"/>
      <c r="V412" s="9" t="s">
        <v>49</v>
      </c>
      <c r="W412" s="9" t="s">
        <v>49</v>
      </c>
      <c r="X412" s="8"/>
      <c r="Y412" s="8"/>
      <c r="Z412" s="8"/>
      <c r="AA412" s="8"/>
      <c r="AB412" s="8"/>
      <c r="AC412" s="8"/>
      <c r="AD412" s="8"/>
      <c r="AE412" s="8"/>
      <c r="AF412" s="8"/>
      <c r="AG412" s="8"/>
      <c r="AH412" s="7" t="s">
        <v>57</v>
      </c>
      <c r="AI412" s="6" t="s">
        <v>49</v>
      </c>
      <c r="AJ412" s="6" t="s">
        <v>49</v>
      </c>
      <c r="AK412" s="6" t="s">
        <v>49</v>
      </c>
      <c r="AL412" s="9" t="s">
        <v>49</v>
      </c>
      <c r="AM412" s="9" t="s">
        <v>134</v>
      </c>
      <c r="AN412" s="6" t="s">
        <v>49</v>
      </c>
      <c r="AO412" s="9" t="s">
        <v>134</v>
      </c>
      <c r="AP412" s="11">
        <v>0</v>
      </c>
      <c r="AQ412" s="11">
        <v>0</v>
      </c>
      <c r="AR412" s="11">
        <v>0</v>
      </c>
      <c r="AS412" s="11">
        <v>0</v>
      </c>
      <c r="AT412" s="11">
        <v>0</v>
      </c>
      <c r="AU412" s="11">
        <v>0</v>
      </c>
      <c r="AV412" s="11" t="s">
        <v>57</v>
      </c>
    </row>
    <row r="413" spans="1:50" customFormat="1" ht="14.5" hidden="1">
      <c r="A413" s="6">
        <v>414</v>
      </c>
      <c r="B413" s="7" t="s">
        <v>403</v>
      </c>
      <c r="C413" s="7" t="s">
        <v>131</v>
      </c>
      <c r="D413" s="6">
        <v>15070</v>
      </c>
      <c r="E413" s="6"/>
      <c r="F413" s="6"/>
      <c r="G413" s="8"/>
      <c r="H413" s="7" t="s">
        <v>49</v>
      </c>
      <c r="I413" s="7"/>
      <c r="J413" s="6" t="s">
        <v>49</v>
      </c>
      <c r="K413" s="9" t="s">
        <v>49</v>
      </c>
      <c r="L413" s="9" t="s">
        <v>73</v>
      </c>
      <c r="M413" s="8"/>
      <c r="N413" s="10">
        <v>42919</v>
      </c>
      <c r="O413" s="10">
        <v>44925</v>
      </c>
      <c r="P413" s="9" t="s">
        <v>847</v>
      </c>
      <c r="Q413" s="9" t="s">
        <v>848</v>
      </c>
      <c r="R413" s="8"/>
      <c r="S413" s="8"/>
      <c r="T413" s="8"/>
      <c r="U413" s="6">
        <v>17.7</v>
      </c>
      <c r="V413" s="9" t="s">
        <v>49</v>
      </c>
      <c r="W413" s="9" t="s">
        <v>132</v>
      </c>
      <c r="X413" s="8"/>
      <c r="Y413" s="8"/>
      <c r="Z413" s="8"/>
      <c r="AA413" s="8"/>
      <c r="AB413" s="8"/>
      <c r="AC413" s="8"/>
      <c r="AD413" s="8"/>
      <c r="AE413" s="8"/>
      <c r="AF413" s="8"/>
      <c r="AG413" s="8"/>
      <c r="AH413" s="7" t="s">
        <v>51</v>
      </c>
      <c r="AI413" s="6" t="s">
        <v>71</v>
      </c>
      <c r="AJ413" s="6" t="s">
        <v>49</v>
      </c>
      <c r="AK413" s="6" t="s">
        <v>49</v>
      </c>
      <c r="AL413" s="9" t="s">
        <v>134</v>
      </c>
      <c r="AM413" s="9" t="s">
        <v>49</v>
      </c>
      <c r="AN413" s="6" t="s">
        <v>82</v>
      </c>
      <c r="AO413" s="9" t="s">
        <v>134</v>
      </c>
      <c r="AP413" s="11">
        <v>0</v>
      </c>
      <c r="AQ413" s="11">
        <v>0</v>
      </c>
      <c r="AR413" s="11">
        <v>0</v>
      </c>
      <c r="AS413" s="11">
        <v>0</v>
      </c>
      <c r="AT413" s="11">
        <v>0</v>
      </c>
      <c r="AU413" s="11">
        <v>1750</v>
      </c>
      <c r="AV413" s="11">
        <v>0</v>
      </c>
    </row>
    <row r="414" spans="1:50" ht="13.5" customHeight="1">
      <c r="A414" s="46">
        <v>354</v>
      </c>
      <c r="B414" s="47" t="s">
        <v>733</v>
      </c>
      <c r="C414" s="47" t="s">
        <v>86</v>
      </c>
      <c r="D414" s="6">
        <v>15383</v>
      </c>
      <c r="E414" s="6" t="s">
        <v>734</v>
      </c>
      <c r="F414" s="6">
        <v>72239</v>
      </c>
      <c r="G414" s="8"/>
      <c r="H414" s="47" t="s">
        <v>88</v>
      </c>
      <c r="I414" s="47"/>
      <c r="J414" s="46" t="s">
        <v>75</v>
      </c>
      <c r="K414" s="48" t="s">
        <v>76</v>
      </c>
      <c r="L414" s="9" t="s">
        <v>73</v>
      </c>
      <c r="M414" s="14">
        <v>350</v>
      </c>
      <c r="N414" s="10">
        <v>43768</v>
      </c>
      <c r="O414" s="10">
        <v>44196</v>
      </c>
      <c r="P414" s="9" t="s">
        <v>735</v>
      </c>
      <c r="Q414" s="9" t="s">
        <v>736</v>
      </c>
      <c r="R414" s="46">
        <v>4.46</v>
      </c>
      <c r="S414" s="46">
        <v>10.3</v>
      </c>
      <c r="T414" s="6">
        <v>12.4</v>
      </c>
      <c r="U414" s="46">
        <v>2.6</v>
      </c>
      <c r="V414" s="48" t="s">
        <v>737</v>
      </c>
      <c r="W414" s="9" t="s">
        <v>108</v>
      </c>
      <c r="X414" s="8"/>
      <c r="Y414" s="8"/>
      <c r="Z414" s="6">
        <v>0.35</v>
      </c>
      <c r="AA414" s="8"/>
      <c r="AB414" s="6">
        <v>0.35</v>
      </c>
      <c r="AC414" s="38">
        <v>1.355</v>
      </c>
      <c r="AD414" s="6">
        <v>1.7050000000000001</v>
      </c>
      <c r="AE414" s="6">
        <v>0.28000000000000003</v>
      </c>
      <c r="AF414" s="8"/>
      <c r="AG414" s="6">
        <v>0.28000000000000003</v>
      </c>
      <c r="AH414" s="7" t="s">
        <v>51</v>
      </c>
      <c r="AI414" s="6" t="s">
        <v>49</v>
      </c>
      <c r="AJ414" s="6" t="s">
        <v>49</v>
      </c>
      <c r="AK414" s="6" t="s">
        <v>49</v>
      </c>
      <c r="AL414" s="9" t="s">
        <v>49</v>
      </c>
      <c r="AM414" s="9" t="s">
        <v>92</v>
      </c>
      <c r="AN414" s="6" t="s">
        <v>73</v>
      </c>
      <c r="AO414" s="9" t="s">
        <v>92</v>
      </c>
      <c r="AP414" s="11">
        <v>23.52927</v>
      </c>
      <c r="AQ414" s="11">
        <v>40162.21</v>
      </c>
      <c r="AR414" s="11">
        <v>40162.197916666672</v>
      </c>
      <c r="AS414" s="11">
        <v>365.91237999999998</v>
      </c>
      <c r="AT414" s="11">
        <v>353.82400000000001</v>
      </c>
      <c r="AU414" s="11">
        <v>0</v>
      </c>
      <c r="AV414" s="11" t="s">
        <v>51</v>
      </c>
      <c r="AX414" s="58" t="s">
        <v>735</v>
      </c>
    </row>
    <row r="415" spans="1:50" customFormat="1" ht="14.5" hidden="1">
      <c r="A415" s="6">
        <v>416</v>
      </c>
      <c r="B415" s="7" t="s">
        <v>853</v>
      </c>
      <c r="C415" s="7" t="s">
        <v>49</v>
      </c>
      <c r="D415" s="6">
        <v>16026</v>
      </c>
      <c r="E415" s="6" t="s">
        <v>854</v>
      </c>
      <c r="F415" s="8"/>
      <c r="G415" s="8"/>
      <c r="H415" s="7" t="s">
        <v>49</v>
      </c>
      <c r="I415" s="7"/>
      <c r="J415" s="6" t="s">
        <v>49</v>
      </c>
      <c r="K415" s="9" t="s">
        <v>49</v>
      </c>
      <c r="L415" s="9" t="s">
        <v>49</v>
      </c>
      <c r="M415" s="8"/>
      <c r="N415" s="8"/>
      <c r="O415" s="10">
        <v>43685</v>
      </c>
      <c r="P415" s="9" t="s">
        <v>49</v>
      </c>
      <c r="Q415" s="9" t="s">
        <v>49</v>
      </c>
      <c r="R415" s="8"/>
      <c r="S415" s="8"/>
      <c r="T415" s="8"/>
      <c r="U415" s="8"/>
      <c r="V415" s="9" t="s">
        <v>49</v>
      </c>
      <c r="W415" s="9" t="s">
        <v>49</v>
      </c>
      <c r="X415" s="8"/>
      <c r="Y415" s="8"/>
      <c r="Z415" s="8"/>
      <c r="AA415" s="8"/>
      <c r="AB415" s="8"/>
      <c r="AC415" s="8"/>
      <c r="AD415" s="8"/>
      <c r="AE415" s="8"/>
      <c r="AF415" s="8"/>
      <c r="AG415" s="8"/>
      <c r="AH415" s="7" t="s">
        <v>57</v>
      </c>
      <c r="AI415" s="6" t="s">
        <v>49</v>
      </c>
      <c r="AJ415" s="6" t="s">
        <v>49</v>
      </c>
      <c r="AK415" s="6" t="s">
        <v>49</v>
      </c>
      <c r="AL415" s="9" t="s">
        <v>49</v>
      </c>
      <c r="AM415" s="9" t="s">
        <v>134</v>
      </c>
      <c r="AN415" s="6" t="s">
        <v>49</v>
      </c>
      <c r="AO415" s="9" t="s">
        <v>134</v>
      </c>
      <c r="AP415" s="11">
        <v>0</v>
      </c>
      <c r="AQ415" s="11">
        <v>0</v>
      </c>
      <c r="AR415" s="11">
        <v>0</v>
      </c>
      <c r="AS415" s="11">
        <v>0</v>
      </c>
      <c r="AT415" s="11">
        <v>0</v>
      </c>
      <c r="AU415" s="11">
        <v>0</v>
      </c>
      <c r="AV415" s="11" t="s">
        <v>57</v>
      </c>
    </row>
    <row r="416" spans="1:50" customFormat="1" ht="14.5" hidden="1">
      <c r="A416" s="6">
        <v>417</v>
      </c>
      <c r="B416" s="7" t="s">
        <v>855</v>
      </c>
      <c r="C416" s="7" t="s">
        <v>49</v>
      </c>
      <c r="D416" s="6">
        <v>15070</v>
      </c>
      <c r="E416" s="6" t="s">
        <v>856</v>
      </c>
      <c r="F416" s="8"/>
      <c r="G416" s="8"/>
      <c r="H416" s="7" t="s">
        <v>49</v>
      </c>
      <c r="I416" s="7"/>
      <c r="J416" s="6" t="s">
        <v>49</v>
      </c>
      <c r="K416" s="9" t="s">
        <v>49</v>
      </c>
      <c r="L416" s="9" t="s">
        <v>49</v>
      </c>
      <c r="M416" s="8"/>
      <c r="N416" s="10">
        <v>43650</v>
      </c>
      <c r="O416" s="10">
        <v>44925</v>
      </c>
      <c r="P416" s="9" t="s">
        <v>49</v>
      </c>
      <c r="Q416" s="9" t="s">
        <v>49</v>
      </c>
      <c r="R416" s="8"/>
      <c r="S416" s="8"/>
      <c r="T416" s="8"/>
      <c r="U416" s="8"/>
      <c r="V416" s="9" t="s">
        <v>49</v>
      </c>
      <c r="W416" s="9" t="s">
        <v>49</v>
      </c>
      <c r="X416" s="8"/>
      <c r="Y416" s="8"/>
      <c r="Z416" s="8"/>
      <c r="AA416" s="8"/>
      <c r="AB416" s="8"/>
      <c r="AC416" s="8"/>
      <c r="AD416" s="8"/>
      <c r="AE416" s="8"/>
      <c r="AF416" s="8"/>
      <c r="AG416" s="8"/>
      <c r="AH416" s="7" t="s">
        <v>57</v>
      </c>
      <c r="AI416" s="6" t="s">
        <v>49</v>
      </c>
      <c r="AJ416" s="6" t="s">
        <v>49</v>
      </c>
      <c r="AK416" s="6" t="s">
        <v>49</v>
      </c>
      <c r="AL416" s="9" t="s">
        <v>49</v>
      </c>
      <c r="AM416" s="9" t="s">
        <v>134</v>
      </c>
      <c r="AN416" s="6" t="s">
        <v>49</v>
      </c>
      <c r="AO416" s="9" t="s">
        <v>134</v>
      </c>
      <c r="AP416" s="11">
        <v>0</v>
      </c>
      <c r="AQ416" s="11">
        <v>0</v>
      </c>
      <c r="AR416" s="11">
        <v>0</v>
      </c>
      <c r="AS416" s="11">
        <v>0</v>
      </c>
      <c r="AT416" s="11">
        <v>0</v>
      </c>
      <c r="AU416" s="11">
        <v>0</v>
      </c>
      <c r="AV416" s="11" t="s">
        <v>57</v>
      </c>
    </row>
    <row r="417" spans="1:50" customFormat="1" ht="14.5" hidden="1">
      <c r="A417" s="6">
        <v>418</v>
      </c>
      <c r="B417" s="7" t="s">
        <v>472</v>
      </c>
      <c r="C417" s="7" t="s">
        <v>131</v>
      </c>
      <c r="D417" s="6">
        <v>12528</v>
      </c>
      <c r="E417" s="19" t="s">
        <v>396</v>
      </c>
      <c r="F417" s="8"/>
      <c r="G417" s="8"/>
      <c r="H417" s="7" t="s">
        <v>49</v>
      </c>
      <c r="I417" s="7"/>
      <c r="J417" s="6" t="s">
        <v>49</v>
      </c>
      <c r="K417" s="9" t="s">
        <v>49</v>
      </c>
      <c r="L417" s="9" t="s">
        <v>49</v>
      </c>
      <c r="M417" s="20">
        <v>1938</v>
      </c>
      <c r="N417" s="10">
        <v>41639</v>
      </c>
      <c r="O417" s="10">
        <v>44196</v>
      </c>
      <c r="P417" s="9" t="s">
        <v>49</v>
      </c>
      <c r="Q417" s="9" t="s">
        <v>49</v>
      </c>
      <c r="R417" s="8"/>
      <c r="S417" s="8"/>
      <c r="T417" s="8"/>
      <c r="U417" s="8"/>
      <c r="V417" s="9" t="s">
        <v>49</v>
      </c>
      <c r="W417" s="9" t="s">
        <v>49</v>
      </c>
      <c r="X417" s="8"/>
      <c r="Y417" s="8"/>
      <c r="Z417" s="8"/>
      <c r="AA417" s="8"/>
      <c r="AB417" s="8"/>
      <c r="AC417" s="8"/>
      <c r="AD417" s="8"/>
      <c r="AE417" s="8"/>
      <c r="AF417" s="8"/>
      <c r="AG417" s="8"/>
      <c r="AH417" s="7" t="s">
        <v>51</v>
      </c>
      <c r="AI417" s="6" t="s">
        <v>71</v>
      </c>
      <c r="AJ417" s="6" t="s">
        <v>49</v>
      </c>
      <c r="AK417" s="6" t="s">
        <v>118</v>
      </c>
      <c r="AL417" s="9" t="s">
        <v>134</v>
      </c>
      <c r="AM417" s="9" t="s">
        <v>49</v>
      </c>
      <c r="AN417" s="6" t="s">
        <v>96</v>
      </c>
      <c r="AO417" s="9" t="s">
        <v>49</v>
      </c>
      <c r="AP417" s="11">
        <v>0</v>
      </c>
      <c r="AQ417" s="11">
        <v>0</v>
      </c>
      <c r="AR417" s="11">
        <v>0</v>
      </c>
      <c r="AS417" s="11">
        <v>0</v>
      </c>
      <c r="AT417" s="11">
        <v>0</v>
      </c>
      <c r="AU417" s="11">
        <v>1479.5170000000001</v>
      </c>
      <c r="AV417" s="11" t="s">
        <v>57</v>
      </c>
    </row>
    <row r="418" spans="1:50" customFormat="1" ht="14.5" hidden="1">
      <c r="A418" s="6">
        <v>419</v>
      </c>
      <c r="B418" s="7" t="s">
        <v>857</v>
      </c>
      <c r="C418" s="7" t="s">
        <v>49</v>
      </c>
      <c r="D418" s="6">
        <v>12528</v>
      </c>
      <c r="E418" s="6" t="s">
        <v>858</v>
      </c>
      <c r="F418" s="8"/>
      <c r="G418" s="8"/>
      <c r="H418" s="7" t="s">
        <v>49</v>
      </c>
      <c r="I418" s="7"/>
      <c r="J418" s="6" t="s">
        <v>49</v>
      </c>
      <c r="K418" s="9" t="s">
        <v>49</v>
      </c>
      <c r="L418" s="9" t="s">
        <v>49</v>
      </c>
      <c r="M418" s="8"/>
      <c r="N418" s="10">
        <v>43497</v>
      </c>
      <c r="O418" s="10">
        <v>43843</v>
      </c>
      <c r="P418" s="9" t="s">
        <v>49</v>
      </c>
      <c r="Q418" s="9" t="s">
        <v>49</v>
      </c>
      <c r="R418" s="8"/>
      <c r="S418" s="8"/>
      <c r="T418" s="8"/>
      <c r="U418" s="8"/>
      <c r="V418" s="9" t="s">
        <v>49</v>
      </c>
      <c r="W418" s="9" t="s">
        <v>49</v>
      </c>
      <c r="X418" s="8"/>
      <c r="Y418" s="8"/>
      <c r="Z418" s="8"/>
      <c r="AA418" s="8"/>
      <c r="AB418" s="8"/>
      <c r="AC418" s="8"/>
      <c r="AD418" s="8"/>
      <c r="AE418" s="8"/>
      <c r="AF418" s="8"/>
      <c r="AG418" s="8"/>
      <c r="AH418" s="7" t="s">
        <v>57</v>
      </c>
      <c r="AI418" s="6" t="s">
        <v>49</v>
      </c>
      <c r="AJ418" s="6" t="s">
        <v>49</v>
      </c>
      <c r="AK418" s="6" t="s">
        <v>49</v>
      </c>
      <c r="AL418" s="9" t="s">
        <v>49</v>
      </c>
      <c r="AM418" s="9" t="s">
        <v>134</v>
      </c>
      <c r="AN418" s="6" t="s">
        <v>49</v>
      </c>
      <c r="AO418" s="9" t="s">
        <v>134</v>
      </c>
      <c r="AP418" s="11">
        <v>0</v>
      </c>
      <c r="AQ418" s="11">
        <v>0</v>
      </c>
      <c r="AR418" s="11">
        <v>0</v>
      </c>
      <c r="AS418" s="11">
        <v>0</v>
      </c>
      <c r="AT418" s="11">
        <v>0</v>
      </c>
      <c r="AU418" s="11">
        <v>0</v>
      </c>
      <c r="AV418" s="11" t="s">
        <v>57</v>
      </c>
    </row>
    <row r="419" spans="1:50" customFormat="1" ht="14.5" hidden="1">
      <c r="A419" s="6">
        <v>420</v>
      </c>
      <c r="B419" s="7" t="s">
        <v>835</v>
      </c>
      <c r="C419" s="7" t="s">
        <v>131</v>
      </c>
      <c r="D419" s="6">
        <v>16026</v>
      </c>
      <c r="E419" s="6" t="s">
        <v>49</v>
      </c>
      <c r="F419" s="8"/>
      <c r="G419" s="8"/>
      <c r="H419" s="7" t="s">
        <v>49</v>
      </c>
      <c r="I419" s="7"/>
      <c r="J419" s="6" t="s">
        <v>49</v>
      </c>
      <c r="K419" s="9" t="s">
        <v>49</v>
      </c>
      <c r="L419" s="9" t="s">
        <v>49</v>
      </c>
      <c r="M419" s="8"/>
      <c r="N419" s="10">
        <v>42949</v>
      </c>
      <c r="O419" s="10">
        <v>44196</v>
      </c>
      <c r="P419" s="9" t="s">
        <v>49</v>
      </c>
      <c r="Q419" s="9" t="s">
        <v>49</v>
      </c>
      <c r="R419" s="8"/>
      <c r="S419" s="8"/>
      <c r="T419" s="8"/>
      <c r="U419" s="8"/>
      <c r="V419" s="9" t="s">
        <v>49</v>
      </c>
      <c r="W419" s="9" t="s">
        <v>49</v>
      </c>
      <c r="X419" s="8"/>
      <c r="Y419" s="8"/>
      <c r="Z419" s="8"/>
      <c r="AA419" s="8"/>
      <c r="AB419" s="8"/>
      <c r="AC419" s="8"/>
      <c r="AD419" s="8"/>
      <c r="AE419" s="8"/>
      <c r="AF419" s="8"/>
      <c r="AG419" s="8"/>
      <c r="AH419" s="7" t="s">
        <v>57</v>
      </c>
      <c r="AI419" s="6" t="s">
        <v>71</v>
      </c>
      <c r="AJ419" s="6" t="s">
        <v>49</v>
      </c>
      <c r="AK419" s="6" t="s">
        <v>49</v>
      </c>
      <c r="AL419" s="9" t="s">
        <v>134</v>
      </c>
      <c r="AM419" s="9" t="s">
        <v>49</v>
      </c>
      <c r="AN419" s="6" t="s">
        <v>812</v>
      </c>
      <c r="AO419" s="9" t="s">
        <v>49</v>
      </c>
      <c r="AP419" s="11">
        <v>7248.8885899999996</v>
      </c>
      <c r="AQ419" s="11">
        <v>0</v>
      </c>
      <c r="AR419" s="11">
        <v>0</v>
      </c>
      <c r="AS419" s="11">
        <v>41681.266040000002</v>
      </c>
      <c r="AT419" s="11">
        <v>50825.983</v>
      </c>
      <c r="AU419" s="11"/>
      <c r="AV419" s="11">
        <v>0</v>
      </c>
    </row>
    <row r="420" spans="1:50" ht="13.5" hidden="1" customHeight="1">
      <c r="A420" s="46">
        <v>421</v>
      </c>
      <c r="B420" s="57" t="s">
        <v>859</v>
      </c>
      <c r="C420" s="47" t="s">
        <v>131</v>
      </c>
      <c r="D420" s="6">
        <v>16026</v>
      </c>
      <c r="E420" s="6" t="s">
        <v>860</v>
      </c>
      <c r="F420" s="6">
        <v>83614</v>
      </c>
      <c r="G420" s="8"/>
      <c r="H420" s="57" t="s">
        <v>245</v>
      </c>
      <c r="I420" s="47"/>
      <c r="J420" s="46" t="s">
        <v>75</v>
      </c>
      <c r="K420" s="48" t="s">
        <v>89</v>
      </c>
      <c r="L420" s="9" t="s">
        <v>73</v>
      </c>
      <c r="M420" s="20">
        <v>679</v>
      </c>
      <c r="N420" s="10">
        <v>43481</v>
      </c>
      <c r="O420" s="10">
        <v>43860</v>
      </c>
      <c r="P420" s="9" t="s">
        <v>835</v>
      </c>
      <c r="Q420" s="9" t="s">
        <v>861</v>
      </c>
      <c r="R420" s="46">
        <v>-0.77</v>
      </c>
      <c r="S420" s="46">
        <v>-0.1</v>
      </c>
      <c r="T420" s="6">
        <v>0</v>
      </c>
      <c r="U420" s="46">
        <v>0.1</v>
      </c>
      <c r="V420" s="48" t="s">
        <v>305</v>
      </c>
      <c r="W420" s="9" t="s">
        <v>132</v>
      </c>
      <c r="X420" s="8"/>
      <c r="Y420" s="8"/>
      <c r="Z420" s="6">
        <v>0.106</v>
      </c>
      <c r="AA420" s="8"/>
      <c r="AB420" s="6">
        <v>0.106</v>
      </c>
      <c r="AC420" s="8"/>
      <c r="AD420" s="6">
        <v>0.106</v>
      </c>
      <c r="AE420" s="6">
        <v>0.1</v>
      </c>
      <c r="AF420" s="8"/>
      <c r="AG420" s="6">
        <v>0.1</v>
      </c>
      <c r="AH420" s="7" t="s">
        <v>51</v>
      </c>
      <c r="AI420" s="6" t="s">
        <v>49</v>
      </c>
      <c r="AJ420" s="6" t="s">
        <v>49</v>
      </c>
      <c r="AK420" s="6" t="s">
        <v>49</v>
      </c>
      <c r="AL420" s="9" t="s">
        <v>49</v>
      </c>
      <c r="AM420" s="9" t="s">
        <v>134</v>
      </c>
      <c r="AN420" s="6" t="s">
        <v>218</v>
      </c>
      <c r="AO420" s="9" t="s">
        <v>134</v>
      </c>
      <c r="AP420" s="11">
        <v>76.105789999999999</v>
      </c>
      <c r="AQ420" s="11">
        <v>151301.76000000001</v>
      </c>
      <c r="AR420" s="11">
        <v>151301.75875000004</v>
      </c>
      <c r="AS420" s="11">
        <v>610.13436000000002</v>
      </c>
      <c r="AT420" s="11">
        <v>738.25400000000002</v>
      </c>
      <c r="AU420" s="11">
        <v>447</v>
      </c>
      <c r="AV420" s="11" t="s">
        <v>51</v>
      </c>
      <c r="AW420" t="s">
        <v>862</v>
      </c>
    </row>
    <row r="421" spans="1:50" customFormat="1" ht="14.5" hidden="1">
      <c r="A421" s="6">
        <v>422</v>
      </c>
      <c r="B421" s="7" t="s">
        <v>863</v>
      </c>
      <c r="C421" s="7" t="s">
        <v>49</v>
      </c>
      <c r="D421" s="6">
        <v>15070</v>
      </c>
      <c r="E421" s="6" t="s">
        <v>864</v>
      </c>
      <c r="F421" s="12"/>
      <c r="G421" s="8"/>
      <c r="H421" s="7" t="s">
        <v>49</v>
      </c>
      <c r="I421" s="7"/>
      <c r="J421" s="6" t="s">
        <v>49</v>
      </c>
      <c r="K421" s="9" t="s">
        <v>49</v>
      </c>
      <c r="L421" s="9" t="s">
        <v>49</v>
      </c>
      <c r="M421" s="12"/>
      <c r="N421" s="10">
        <v>43640</v>
      </c>
      <c r="O421" s="10">
        <v>43860</v>
      </c>
      <c r="P421" s="9" t="s">
        <v>49</v>
      </c>
      <c r="Q421" s="9" t="s">
        <v>49</v>
      </c>
      <c r="R421" s="12"/>
      <c r="S421" s="12"/>
      <c r="T421" s="12"/>
      <c r="U421" s="12"/>
      <c r="V421" s="9" t="s">
        <v>49</v>
      </c>
      <c r="W421" s="9" t="s">
        <v>49</v>
      </c>
      <c r="X421" s="8"/>
      <c r="Y421" s="8"/>
      <c r="Z421" s="12"/>
      <c r="AA421" s="8"/>
      <c r="AB421" s="12"/>
      <c r="AC421" s="8"/>
      <c r="AD421" s="12"/>
      <c r="AE421" s="12"/>
      <c r="AF421" s="8"/>
      <c r="AG421" s="12"/>
      <c r="AH421" s="7" t="s">
        <v>57</v>
      </c>
      <c r="AI421" s="6" t="s">
        <v>49</v>
      </c>
      <c r="AJ421" s="6" t="s">
        <v>49</v>
      </c>
      <c r="AK421" s="6" t="s">
        <v>49</v>
      </c>
      <c r="AL421" s="9" t="s">
        <v>49</v>
      </c>
      <c r="AM421" s="9" t="s">
        <v>134</v>
      </c>
      <c r="AN421" s="6" t="s">
        <v>49</v>
      </c>
      <c r="AO421" s="9" t="s">
        <v>134</v>
      </c>
      <c r="AP421" s="11">
        <v>0</v>
      </c>
      <c r="AQ421" s="11">
        <v>0</v>
      </c>
      <c r="AR421" s="11">
        <v>0</v>
      </c>
      <c r="AS421" s="11">
        <v>0</v>
      </c>
      <c r="AT421" s="11">
        <v>0</v>
      </c>
      <c r="AU421" s="11">
        <v>0</v>
      </c>
      <c r="AV421" s="11" t="s">
        <v>57</v>
      </c>
    </row>
    <row r="422" spans="1:50" customFormat="1" ht="14.5" hidden="1">
      <c r="A422" s="6">
        <v>423</v>
      </c>
      <c r="B422" s="7" t="s">
        <v>863</v>
      </c>
      <c r="C422" s="7" t="s">
        <v>131</v>
      </c>
      <c r="D422" s="6">
        <v>16026</v>
      </c>
      <c r="E422" s="6" t="s">
        <v>864</v>
      </c>
      <c r="F422" s="8"/>
      <c r="G422" s="8"/>
      <c r="H422" s="7" t="s">
        <v>49</v>
      </c>
      <c r="I422" s="7"/>
      <c r="J422" s="6" t="s">
        <v>49</v>
      </c>
      <c r="K422" s="9" t="s">
        <v>49</v>
      </c>
      <c r="L422" s="9" t="s">
        <v>73</v>
      </c>
      <c r="M422" s="8"/>
      <c r="N422" s="10">
        <v>43640</v>
      </c>
      <c r="O422" s="10">
        <v>43860</v>
      </c>
      <c r="P422" s="9" t="s">
        <v>49</v>
      </c>
      <c r="Q422" s="9" t="s">
        <v>49</v>
      </c>
      <c r="R422" s="8"/>
      <c r="S422" s="8"/>
      <c r="T422" s="8"/>
      <c r="U422" s="8"/>
      <c r="V422" s="9" t="s">
        <v>49</v>
      </c>
      <c r="W422" s="9" t="s">
        <v>132</v>
      </c>
      <c r="X422" s="8"/>
      <c r="Y422" s="8"/>
      <c r="Z422" s="8"/>
      <c r="AA422" s="8"/>
      <c r="AB422" s="8"/>
      <c r="AC422" s="8"/>
      <c r="AD422" s="8"/>
      <c r="AE422" s="8"/>
      <c r="AF422" s="8"/>
      <c r="AG422" s="8"/>
      <c r="AH422" s="7" t="s">
        <v>57</v>
      </c>
      <c r="AI422" s="6" t="s">
        <v>49</v>
      </c>
      <c r="AJ422" s="6" t="s">
        <v>49</v>
      </c>
      <c r="AK422" s="6" t="s">
        <v>49</v>
      </c>
      <c r="AL422" s="9" t="s">
        <v>49</v>
      </c>
      <c r="AM422" s="9" t="s">
        <v>134</v>
      </c>
      <c r="AN422" s="6" t="s">
        <v>49</v>
      </c>
      <c r="AO422" s="9" t="s">
        <v>134</v>
      </c>
      <c r="AP422" s="11">
        <v>0</v>
      </c>
      <c r="AQ422" s="11">
        <v>0</v>
      </c>
      <c r="AR422" s="11">
        <v>0</v>
      </c>
      <c r="AS422" s="11">
        <v>0</v>
      </c>
      <c r="AT422" s="11">
        <v>0</v>
      </c>
      <c r="AU422" s="11">
        <v>0</v>
      </c>
      <c r="AV422" s="11" t="s">
        <v>57</v>
      </c>
    </row>
    <row r="423" spans="1:50" customFormat="1" ht="14.5" hidden="1">
      <c r="A423" s="6">
        <v>424</v>
      </c>
      <c r="B423" s="7" t="s">
        <v>865</v>
      </c>
      <c r="C423" s="7" t="s">
        <v>131</v>
      </c>
      <c r="D423" s="6">
        <v>15378</v>
      </c>
      <c r="E423" s="6" t="s">
        <v>866</v>
      </c>
      <c r="F423" s="8"/>
      <c r="G423" s="8"/>
      <c r="H423" s="7" t="s">
        <v>49</v>
      </c>
      <c r="I423" s="7"/>
      <c r="J423" s="6" t="s">
        <v>49</v>
      </c>
      <c r="K423" s="9" t="s">
        <v>49</v>
      </c>
      <c r="L423" s="9" t="s">
        <v>49</v>
      </c>
      <c r="M423" s="8"/>
      <c r="N423" s="10">
        <v>43318</v>
      </c>
      <c r="O423" s="10">
        <v>44897</v>
      </c>
      <c r="P423" s="9" t="s">
        <v>49</v>
      </c>
      <c r="Q423" s="9" t="s">
        <v>49</v>
      </c>
      <c r="R423" s="8"/>
      <c r="S423" s="8"/>
      <c r="T423" s="8"/>
      <c r="U423" s="8"/>
      <c r="V423" s="9" t="s">
        <v>49</v>
      </c>
      <c r="W423" s="9" t="s">
        <v>132</v>
      </c>
      <c r="X423" s="8"/>
      <c r="Y423" s="8"/>
      <c r="Z423" s="8"/>
      <c r="AA423" s="8"/>
      <c r="AB423" s="8"/>
      <c r="AC423" s="8"/>
      <c r="AD423" s="8"/>
      <c r="AE423" s="8"/>
      <c r="AF423" s="8"/>
      <c r="AG423" s="8"/>
      <c r="AH423" s="7" t="s">
        <v>51</v>
      </c>
      <c r="AI423" s="6" t="s">
        <v>49</v>
      </c>
      <c r="AJ423" s="6" t="s">
        <v>49</v>
      </c>
      <c r="AK423" s="6" t="s">
        <v>49</v>
      </c>
      <c r="AL423" s="9" t="s">
        <v>49</v>
      </c>
      <c r="AM423" s="9" t="s">
        <v>134</v>
      </c>
      <c r="AN423" s="6" t="s">
        <v>73</v>
      </c>
      <c r="AO423" s="9" t="s">
        <v>134</v>
      </c>
      <c r="AP423" s="11">
        <v>95.278880000000001</v>
      </c>
      <c r="AQ423" s="11">
        <v>95278.88</v>
      </c>
      <c r="AR423" s="11">
        <v>95278.873749999999</v>
      </c>
      <c r="AS423" s="11">
        <v>973.12765000000002</v>
      </c>
      <c r="AT423" s="11">
        <v>857.09900000000005</v>
      </c>
      <c r="AU423" s="11">
        <v>0</v>
      </c>
      <c r="AV423" s="11" t="s">
        <v>51</v>
      </c>
    </row>
    <row r="424" spans="1:50" customFormat="1" ht="14.5" hidden="1">
      <c r="A424" s="6">
        <v>425</v>
      </c>
      <c r="B424" s="7" t="s">
        <v>867</v>
      </c>
      <c r="C424" s="7" t="s">
        <v>49</v>
      </c>
      <c r="D424" s="6">
        <v>12539</v>
      </c>
      <c r="E424" s="6" t="s">
        <v>868</v>
      </c>
      <c r="F424" s="8"/>
      <c r="G424" s="8"/>
      <c r="H424" s="7" t="s">
        <v>49</v>
      </c>
      <c r="I424" s="7"/>
      <c r="J424" s="6" t="s">
        <v>49</v>
      </c>
      <c r="K424" s="9" t="s">
        <v>49</v>
      </c>
      <c r="L424" s="9" t="s">
        <v>49</v>
      </c>
      <c r="M424" s="8"/>
      <c r="N424" s="10">
        <v>43570</v>
      </c>
      <c r="O424" s="10">
        <v>43832</v>
      </c>
      <c r="P424" s="9" t="s">
        <v>49</v>
      </c>
      <c r="Q424" s="9" t="s">
        <v>49</v>
      </c>
      <c r="R424" s="8"/>
      <c r="S424" s="8"/>
      <c r="T424" s="8"/>
      <c r="U424" s="8"/>
      <c r="V424" s="9" t="s">
        <v>49</v>
      </c>
      <c r="W424" s="9" t="s">
        <v>49</v>
      </c>
      <c r="X424" s="8"/>
      <c r="Y424" s="8"/>
      <c r="Z424" s="8"/>
      <c r="AA424" s="8"/>
      <c r="AB424" s="8"/>
      <c r="AC424" s="8"/>
      <c r="AD424" s="8"/>
      <c r="AE424" s="8"/>
      <c r="AF424" s="8"/>
      <c r="AG424" s="8"/>
      <c r="AH424" s="7" t="s">
        <v>57</v>
      </c>
      <c r="AI424" s="6" t="s">
        <v>49</v>
      </c>
      <c r="AJ424" s="6" t="s">
        <v>49</v>
      </c>
      <c r="AK424" s="6" t="s">
        <v>49</v>
      </c>
      <c r="AL424" s="9" t="s">
        <v>49</v>
      </c>
      <c r="AM424" s="9" t="s">
        <v>134</v>
      </c>
      <c r="AN424" s="6" t="s">
        <v>49</v>
      </c>
      <c r="AO424" s="9" t="s">
        <v>134</v>
      </c>
      <c r="AP424" s="11">
        <v>0</v>
      </c>
      <c r="AQ424" s="11">
        <v>0</v>
      </c>
      <c r="AR424" s="11">
        <v>0</v>
      </c>
      <c r="AS424" s="11">
        <v>0</v>
      </c>
      <c r="AT424" s="11">
        <v>0</v>
      </c>
      <c r="AU424" s="11">
        <v>0</v>
      </c>
      <c r="AV424" s="11" t="s">
        <v>57</v>
      </c>
    </row>
    <row r="425" spans="1:50" customFormat="1" ht="14.5" hidden="1">
      <c r="A425" s="6">
        <v>426</v>
      </c>
      <c r="B425" s="7" t="s">
        <v>869</v>
      </c>
      <c r="C425" s="7" t="s">
        <v>49</v>
      </c>
      <c r="D425" s="6">
        <v>15644</v>
      </c>
      <c r="E425" s="6" t="s">
        <v>49</v>
      </c>
      <c r="F425" s="8"/>
      <c r="G425" s="8"/>
      <c r="H425" s="7" t="s">
        <v>49</v>
      </c>
      <c r="I425" s="7"/>
      <c r="J425" s="6" t="s">
        <v>49</v>
      </c>
      <c r="K425" s="9" t="s">
        <v>49</v>
      </c>
      <c r="L425" s="9" t="s">
        <v>49</v>
      </c>
      <c r="M425" s="8"/>
      <c r="N425" s="12"/>
      <c r="O425" s="12"/>
      <c r="P425" s="9" t="s">
        <v>49</v>
      </c>
      <c r="Q425" s="9" t="s">
        <v>49</v>
      </c>
      <c r="R425" s="8"/>
      <c r="S425" s="8"/>
      <c r="T425" s="8"/>
      <c r="U425" s="8"/>
      <c r="V425" s="9" t="s">
        <v>49</v>
      </c>
      <c r="W425" s="9" t="s">
        <v>49</v>
      </c>
      <c r="X425" s="8"/>
      <c r="Y425" s="8"/>
      <c r="Z425" s="8"/>
      <c r="AA425" s="8"/>
      <c r="AB425" s="8"/>
      <c r="AC425" s="8"/>
      <c r="AD425" s="8"/>
      <c r="AE425" s="8"/>
      <c r="AF425" s="8"/>
      <c r="AG425" s="8"/>
      <c r="AH425" s="7" t="s">
        <v>79</v>
      </c>
      <c r="AI425" s="6" t="s">
        <v>110</v>
      </c>
      <c r="AJ425" s="6" t="s">
        <v>49</v>
      </c>
      <c r="AK425" s="6" t="s">
        <v>49</v>
      </c>
      <c r="AL425" s="9" t="s">
        <v>111</v>
      </c>
      <c r="AM425" s="9" t="s">
        <v>49</v>
      </c>
      <c r="AN425" s="6" t="s">
        <v>82</v>
      </c>
      <c r="AO425" s="9" t="s">
        <v>49</v>
      </c>
      <c r="AP425" s="11">
        <v>7248.8885899999996</v>
      </c>
      <c r="AQ425" s="11">
        <v>0</v>
      </c>
      <c r="AR425" s="11">
        <v>0</v>
      </c>
      <c r="AS425" s="11">
        <v>41681.266040000002</v>
      </c>
      <c r="AT425" s="11">
        <v>50825.983</v>
      </c>
      <c r="AU425" s="11">
        <v>0</v>
      </c>
      <c r="AV425" s="11">
        <v>0</v>
      </c>
    </row>
    <row r="426" spans="1:50" customFormat="1" ht="14.5" hidden="1">
      <c r="A426" s="6">
        <v>427</v>
      </c>
      <c r="B426" s="7" t="s">
        <v>870</v>
      </c>
      <c r="C426" s="7" t="s">
        <v>49</v>
      </c>
      <c r="D426" s="6">
        <v>16026</v>
      </c>
      <c r="E426" s="6" t="s">
        <v>871</v>
      </c>
      <c r="F426" s="8"/>
      <c r="G426" s="8"/>
      <c r="H426" s="7" t="s">
        <v>49</v>
      </c>
      <c r="I426" s="7"/>
      <c r="J426" s="6" t="s">
        <v>49</v>
      </c>
      <c r="K426" s="9" t="s">
        <v>49</v>
      </c>
      <c r="L426" s="9" t="s">
        <v>49</v>
      </c>
      <c r="M426" s="8"/>
      <c r="N426" s="12"/>
      <c r="O426" s="10">
        <v>43830</v>
      </c>
      <c r="P426" s="9" t="s">
        <v>49</v>
      </c>
      <c r="Q426" s="9" t="s">
        <v>49</v>
      </c>
      <c r="R426" s="8"/>
      <c r="S426" s="8"/>
      <c r="T426" s="8"/>
      <c r="U426" s="8"/>
      <c r="V426" s="9" t="s">
        <v>49</v>
      </c>
      <c r="W426" s="9" t="s">
        <v>49</v>
      </c>
      <c r="X426" s="8"/>
      <c r="Y426" s="8"/>
      <c r="Z426" s="8"/>
      <c r="AA426" s="8"/>
      <c r="AB426" s="8"/>
      <c r="AC426" s="8"/>
      <c r="AD426" s="8"/>
      <c r="AE426" s="8"/>
      <c r="AF426" s="8"/>
      <c r="AG426" s="8"/>
      <c r="AH426" s="7" t="s">
        <v>57</v>
      </c>
      <c r="AI426" s="6" t="s">
        <v>49</v>
      </c>
      <c r="AJ426" s="6" t="s">
        <v>49</v>
      </c>
      <c r="AK426" s="6" t="s">
        <v>49</v>
      </c>
      <c r="AL426" s="9" t="s">
        <v>49</v>
      </c>
      <c r="AM426" s="9" t="s">
        <v>134</v>
      </c>
      <c r="AN426" s="6" t="s">
        <v>49</v>
      </c>
      <c r="AO426" s="9" t="s">
        <v>134</v>
      </c>
      <c r="AP426" s="11">
        <v>0</v>
      </c>
      <c r="AQ426" s="11">
        <v>0</v>
      </c>
      <c r="AR426" s="11">
        <v>0</v>
      </c>
      <c r="AS426" s="11">
        <v>0</v>
      </c>
      <c r="AT426" s="11">
        <v>0</v>
      </c>
      <c r="AU426" s="11">
        <v>0</v>
      </c>
      <c r="AV426" s="11" t="s">
        <v>57</v>
      </c>
    </row>
    <row r="427" spans="1:50" customFormat="1" ht="14.5" hidden="1">
      <c r="A427" s="6">
        <v>428</v>
      </c>
      <c r="B427" s="7" t="s">
        <v>872</v>
      </c>
      <c r="C427" s="7" t="s">
        <v>49</v>
      </c>
      <c r="D427" s="6">
        <v>12539</v>
      </c>
      <c r="E427" s="6" t="s">
        <v>873</v>
      </c>
      <c r="F427" s="8"/>
      <c r="G427" s="8"/>
      <c r="H427" s="7" t="s">
        <v>49</v>
      </c>
      <c r="I427" s="7"/>
      <c r="J427" s="6" t="s">
        <v>49</v>
      </c>
      <c r="K427" s="9" t="s">
        <v>49</v>
      </c>
      <c r="L427" s="9" t="s">
        <v>49</v>
      </c>
      <c r="M427" s="8"/>
      <c r="N427" s="8"/>
      <c r="O427" s="10">
        <v>44196</v>
      </c>
      <c r="P427" s="9" t="s">
        <v>49</v>
      </c>
      <c r="Q427" s="9" t="s">
        <v>49</v>
      </c>
      <c r="R427" s="8"/>
      <c r="S427" s="8"/>
      <c r="T427" s="8"/>
      <c r="U427" s="8"/>
      <c r="V427" s="9" t="s">
        <v>49</v>
      </c>
      <c r="W427" s="9" t="s">
        <v>49</v>
      </c>
      <c r="X427" s="8"/>
      <c r="Y427" s="8"/>
      <c r="Z427" s="8"/>
      <c r="AA427" s="8"/>
      <c r="AB427" s="8"/>
      <c r="AC427" s="8"/>
      <c r="AD427" s="8"/>
      <c r="AE427" s="8"/>
      <c r="AF427" s="8"/>
      <c r="AG427" s="8"/>
      <c r="AH427" s="7" t="s">
        <v>57</v>
      </c>
      <c r="AI427" s="6" t="s">
        <v>49</v>
      </c>
      <c r="AJ427" s="6" t="s">
        <v>49</v>
      </c>
      <c r="AK427" s="6" t="s">
        <v>49</v>
      </c>
      <c r="AL427" s="9" t="s">
        <v>49</v>
      </c>
      <c r="AM427" s="9" t="s">
        <v>134</v>
      </c>
      <c r="AN427" s="6" t="s">
        <v>49</v>
      </c>
      <c r="AO427" s="9" t="s">
        <v>134</v>
      </c>
      <c r="AP427" s="11">
        <v>0</v>
      </c>
      <c r="AQ427" s="11">
        <v>0</v>
      </c>
      <c r="AR427" s="11">
        <v>0</v>
      </c>
      <c r="AS427" s="11">
        <v>0</v>
      </c>
      <c r="AT427" s="11">
        <v>0</v>
      </c>
      <c r="AU427" s="11">
        <v>0</v>
      </c>
      <c r="AV427" s="11" t="s">
        <v>57</v>
      </c>
    </row>
    <row r="428" spans="1:50" customFormat="1" ht="14.5" hidden="1">
      <c r="A428" s="6">
        <v>429</v>
      </c>
      <c r="B428" s="7" t="s">
        <v>874</v>
      </c>
      <c r="C428" s="7" t="s">
        <v>86</v>
      </c>
      <c r="D428" s="6">
        <v>16023</v>
      </c>
      <c r="E428" s="6" t="s">
        <v>49</v>
      </c>
      <c r="F428" s="8"/>
      <c r="G428" s="8"/>
      <c r="H428" s="7" t="s">
        <v>245</v>
      </c>
      <c r="I428" s="7"/>
      <c r="J428" s="6" t="s">
        <v>49</v>
      </c>
      <c r="K428" s="9" t="s">
        <v>49</v>
      </c>
      <c r="L428" s="9" t="s">
        <v>49</v>
      </c>
      <c r="M428" s="8"/>
      <c r="N428" s="8"/>
      <c r="O428" s="10">
        <v>43830</v>
      </c>
      <c r="P428" s="9" t="s">
        <v>49</v>
      </c>
      <c r="Q428" s="9" t="s">
        <v>49</v>
      </c>
      <c r="R428" s="8"/>
      <c r="S428" s="8"/>
      <c r="T428" s="8"/>
      <c r="U428" s="8"/>
      <c r="V428" s="9" t="s">
        <v>49</v>
      </c>
      <c r="W428" s="9" t="s">
        <v>108</v>
      </c>
      <c r="X428" s="8"/>
      <c r="Y428" s="8"/>
      <c r="Z428" s="8"/>
      <c r="AA428" s="8"/>
      <c r="AB428" s="8"/>
      <c r="AC428" s="8"/>
      <c r="AD428" s="8"/>
      <c r="AE428" s="8"/>
      <c r="AF428" s="8"/>
      <c r="AG428" s="8"/>
      <c r="AH428" s="7" t="s">
        <v>57</v>
      </c>
      <c r="AI428" s="6" t="s">
        <v>71</v>
      </c>
      <c r="AJ428" s="6" t="s">
        <v>49</v>
      </c>
      <c r="AK428" s="6" t="s">
        <v>49</v>
      </c>
      <c r="AL428" s="9" t="s">
        <v>52</v>
      </c>
      <c r="AM428" s="9" t="s">
        <v>49</v>
      </c>
      <c r="AN428" s="6" t="s">
        <v>218</v>
      </c>
      <c r="AO428" s="9" t="s">
        <v>49</v>
      </c>
      <c r="AP428" s="11">
        <v>7248.8885899999996</v>
      </c>
      <c r="AQ428" s="11">
        <v>0</v>
      </c>
      <c r="AR428" s="11">
        <v>0</v>
      </c>
      <c r="AS428" s="11">
        <v>41681.266040000002</v>
      </c>
      <c r="AT428" s="11">
        <v>50825.983</v>
      </c>
      <c r="AU428" s="11"/>
      <c r="AV428" s="11">
        <v>0</v>
      </c>
    </row>
    <row r="429" spans="1:50" customFormat="1" ht="14.5" hidden="1">
      <c r="A429" s="6">
        <v>430</v>
      </c>
      <c r="B429" s="7" t="s">
        <v>874</v>
      </c>
      <c r="C429" s="7" t="s">
        <v>86</v>
      </c>
      <c r="D429" s="6">
        <v>16023</v>
      </c>
      <c r="E429" s="6" t="s">
        <v>875</v>
      </c>
      <c r="F429" s="6">
        <v>83306</v>
      </c>
      <c r="G429" s="8"/>
      <c r="H429" s="7" t="s">
        <v>245</v>
      </c>
      <c r="I429" s="7"/>
      <c r="J429" s="6" t="s">
        <v>75</v>
      </c>
      <c r="K429" s="9" t="s">
        <v>89</v>
      </c>
      <c r="L429" s="9" t="s">
        <v>218</v>
      </c>
      <c r="M429" s="14">
        <v>257</v>
      </c>
      <c r="N429" s="12"/>
      <c r="O429" s="10">
        <v>43830</v>
      </c>
      <c r="P429" s="9" t="s">
        <v>874</v>
      </c>
      <c r="Q429" s="9" t="s">
        <v>876</v>
      </c>
      <c r="R429" s="8"/>
      <c r="S429" s="8"/>
      <c r="T429" s="8"/>
      <c r="U429" s="8"/>
      <c r="V429" s="9" t="s">
        <v>49</v>
      </c>
      <c r="W429" s="9" t="s">
        <v>108</v>
      </c>
      <c r="X429" s="8"/>
      <c r="Y429" s="8"/>
      <c r="Z429" s="8"/>
      <c r="AA429" s="6">
        <v>0.25700000000000001</v>
      </c>
      <c r="AB429" s="6">
        <v>0.25700000000000001</v>
      </c>
      <c r="AC429" s="8"/>
      <c r="AD429" s="6">
        <v>0.25700000000000001</v>
      </c>
      <c r="AE429" s="8"/>
      <c r="AF429" s="6">
        <v>0.20599999999999999</v>
      </c>
      <c r="AG429" s="6">
        <v>0.20599999999999999</v>
      </c>
      <c r="AH429" s="7" t="s">
        <v>51</v>
      </c>
      <c r="AI429" s="6" t="s">
        <v>49</v>
      </c>
      <c r="AJ429" s="6" t="s">
        <v>49</v>
      </c>
      <c r="AK429" s="6" t="s">
        <v>49</v>
      </c>
      <c r="AL429" s="9" t="s">
        <v>49</v>
      </c>
      <c r="AM429" s="9" t="s">
        <v>92</v>
      </c>
      <c r="AN429" s="6" t="s">
        <v>218</v>
      </c>
      <c r="AO429" s="9" t="s">
        <v>92</v>
      </c>
      <c r="AP429" s="11">
        <v>62.295720000000003</v>
      </c>
      <c r="AQ429" s="11">
        <v>102122.82</v>
      </c>
      <c r="AR429" s="11">
        <v>102122.82166666668</v>
      </c>
      <c r="AS429" s="11">
        <v>62.295720000000003</v>
      </c>
      <c r="AT429" s="11">
        <v>195.59200000000001</v>
      </c>
      <c r="AU429" s="11">
        <v>0</v>
      </c>
      <c r="AV429" s="11" t="s">
        <v>51</v>
      </c>
    </row>
    <row r="430" spans="1:50" customFormat="1" ht="14.5" hidden="1">
      <c r="A430" s="6">
        <v>431</v>
      </c>
      <c r="B430" s="7" t="s">
        <v>877</v>
      </c>
      <c r="C430" s="7" t="s">
        <v>49</v>
      </c>
      <c r="D430" s="6">
        <v>12527</v>
      </c>
      <c r="E430" s="6" t="s">
        <v>49</v>
      </c>
      <c r="F430" s="8"/>
      <c r="G430" s="8"/>
      <c r="H430" s="7" t="s">
        <v>49</v>
      </c>
      <c r="I430" s="7"/>
      <c r="J430" s="6" t="s">
        <v>49</v>
      </c>
      <c r="K430" s="9" t="s">
        <v>49</v>
      </c>
      <c r="L430" s="9" t="s">
        <v>49</v>
      </c>
      <c r="M430" s="8"/>
      <c r="N430" s="10">
        <v>42933</v>
      </c>
      <c r="O430" s="10">
        <v>43980</v>
      </c>
      <c r="P430" s="9" t="s">
        <v>49</v>
      </c>
      <c r="Q430" s="9" t="s">
        <v>49</v>
      </c>
      <c r="R430" s="8"/>
      <c r="S430" s="8"/>
      <c r="T430" s="8"/>
      <c r="U430" s="8"/>
      <c r="V430" s="9" t="s">
        <v>49</v>
      </c>
      <c r="W430" s="9" t="s">
        <v>49</v>
      </c>
      <c r="X430" s="8"/>
      <c r="Y430" s="8"/>
      <c r="Z430" s="8"/>
      <c r="AA430" s="8"/>
      <c r="AB430" s="8"/>
      <c r="AC430" s="8"/>
      <c r="AD430" s="8"/>
      <c r="AE430" s="8"/>
      <c r="AF430" s="8"/>
      <c r="AG430" s="8"/>
      <c r="AH430" s="7" t="s">
        <v>51</v>
      </c>
      <c r="AI430" s="6" t="s">
        <v>71</v>
      </c>
      <c r="AJ430" s="6" t="s">
        <v>49</v>
      </c>
      <c r="AK430" s="6" t="s">
        <v>118</v>
      </c>
      <c r="AL430" s="9" t="s">
        <v>274</v>
      </c>
      <c r="AM430" s="9" t="s">
        <v>49</v>
      </c>
      <c r="AN430" s="6" t="s">
        <v>96</v>
      </c>
      <c r="AO430" s="9" t="s">
        <v>49</v>
      </c>
      <c r="AP430" s="11">
        <v>7248.8885899999996</v>
      </c>
      <c r="AQ430" s="11">
        <v>0</v>
      </c>
      <c r="AR430" s="11">
        <v>0</v>
      </c>
      <c r="AS430" s="11">
        <v>41681.266040000002</v>
      </c>
      <c r="AT430" s="11">
        <v>50825.983</v>
      </c>
      <c r="AU430" s="11">
        <v>0</v>
      </c>
      <c r="AV430" s="11">
        <v>0</v>
      </c>
    </row>
    <row r="431" spans="1:50" ht="13.5" customHeight="1">
      <c r="A431" s="46">
        <v>265</v>
      </c>
      <c r="B431" s="47" t="s">
        <v>613</v>
      </c>
      <c r="C431" s="47" t="s">
        <v>292</v>
      </c>
      <c r="D431" s="6">
        <v>15706</v>
      </c>
      <c r="E431" s="6" t="s">
        <v>614</v>
      </c>
      <c r="F431" s="6">
        <v>88968</v>
      </c>
      <c r="G431" s="8"/>
      <c r="H431" s="47" t="s">
        <v>88</v>
      </c>
      <c r="I431" s="47" t="s">
        <v>217</v>
      </c>
      <c r="J431" s="46" t="s">
        <v>196</v>
      </c>
      <c r="K431" s="48" t="s">
        <v>106</v>
      </c>
      <c r="L431" s="9" t="s">
        <v>218</v>
      </c>
      <c r="M431" s="6">
        <v>0</v>
      </c>
      <c r="N431" s="68"/>
      <c r="O431" s="10">
        <v>44042</v>
      </c>
      <c r="P431" s="9" t="s">
        <v>49</v>
      </c>
      <c r="Q431" s="9" t="s">
        <v>49</v>
      </c>
      <c r="R431" s="46">
        <v>4.32</v>
      </c>
      <c r="S431" s="46">
        <v>4.5</v>
      </c>
      <c r="T431" s="6">
        <v>10.9</v>
      </c>
      <c r="U431" s="46">
        <v>1</v>
      </c>
      <c r="V431" s="48" t="s">
        <v>269</v>
      </c>
      <c r="W431" s="9" t="s">
        <v>49</v>
      </c>
      <c r="X431" s="68"/>
      <c r="Y431" s="8"/>
      <c r="Z431" s="8"/>
      <c r="AA431" s="8"/>
      <c r="AB431" s="68"/>
      <c r="AC431" s="8"/>
      <c r="AD431" s="68"/>
      <c r="AE431" s="68"/>
      <c r="AF431" s="8"/>
      <c r="AG431" s="68"/>
      <c r="AH431" s="7" t="s">
        <v>51</v>
      </c>
      <c r="AI431" s="6" t="s">
        <v>49</v>
      </c>
      <c r="AJ431" s="6" t="s">
        <v>49</v>
      </c>
      <c r="AK431" s="6" t="s">
        <v>49</v>
      </c>
      <c r="AL431" s="9" t="s">
        <v>49</v>
      </c>
      <c r="AM431" s="9" t="s">
        <v>52</v>
      </c>
      <c r="AN431" s="6" t="s">
        <v>49</v>
      </c>
      <c r="AO431" s="9" t="s">
        <v>52</v>
      </c>
      <c r="AP431" s="11">
        <v>0</v>
      </c>
      <c r="AQ431" s="11">
        <v>28000.01</v>
      </c>
      <c r="AR431" s="11">
        <v>0</v>
      </c>
      <c r="AS431" s="11">
        <v>0</v>
      </c>
      <c r="AT431" s="11">
        <v>253.00001</v>
      </c>
      <c r="AU431" s="11">
        <v>300</v>
      </c>
      <c r="AV431" s="11" t="s">
        <v>51</v>
      </c>
      <c r="AW431" t="s">
        <v>93</v>
      </c>
      <c r="AX431" s="58" t="s">
        <v>613</v>
      </c>
    </row>
    <row r="432" spans="1:50" customFormat="1" ht="14.5" hidden="1">
      <c r="A432" s="6">
        <v>433</v>
      </c>
      <c r="B432" s="7" t="s">
        <v>881</v>
      </c>
      <c r="C432" s="7" t="s">
        <v>131</v>
      </c>
      <c r="D432" s="6">
        <v>15070</v>
      </c>
      <c r="E432" s="6" t="s">
        <v>882</v>
      </c>
      <c r="F432" s="6">
        <v>86042</v>
      </c>
      <c r="G432" s="8"/>
      <c r="H432" s="7" t="s">
        <v>49</v>
      </c>
      <c r="I432" s="7"/>
      <c r="J432" s="6" t="s">
        <v>49</v>
      </c>
      <c r="K432" s="9" t="s">
        <v>49</v>
      </c>
      <c r="L432" s="9" t="s">
        <v>73</v>
      </c>
      <c r="M432" s="8"/>
      <c r="N432" s="10">
        <v>43048</v>
      </c>
      <c r="O432" s="10">
        <v>43831</v>
      </c>
      <c r="P432" s="9" t="s">
        <v>403</v>
      </c>
      <c r="Q432" s="9" t="s">
        <v>848</v>
      </c>
      <c r="R432" s="8"/>
      <c r="S432" s="8"/>
      <c r="T432" s="8"/>
      <c r="U432" s="6">
        <v>1.2</v>
      </c>
      <c r="V432" s="9" t="s">
        <v>49</v>
      </c>
      <c r="W432" s="9" t="s">
        <v>132</v>
      </c>
      <c r="X432" s="8"/>
      <c r="Y432" s="8"/>
      <c r="Z432" s="8"/>
      <c r="AA432" s="8"/>
      <c r="AB432" s="8"/>
      <c r="AC432" s="8"/>
      <c r="AD432" s="8"/>
      <c r="AE432" s="8"/>
      <c r="AF432" s="8"/>
      <c r="AG432" s="8"/>
      <c r="AH432" s="7" t="s">
        <v>51</v>
      </c>
      <c r="AI432" s="6" t="s">
        <v>49</v>
      </c>
      <c r="AJ432" s="6" t="s">
        <v>49</v>
      </c>
      <c r="AK432" s="6" t="s">
        <v>49</v>
      </c>
      <c r="AL432" s="9" t="s">
        <v>49</v>
      </c>
      <c r="AM432" s="9" t="s">
        <v>134</v>
      </c>
      <c r="AN432" s="6" t="s">
        <v>218</v>
      </c>
      <c r="AO432" s="9" t="s">
        <v>134</v>
      </c>
      <c r="AP432" s="11">
        <v>92.052679999999995</v>
      </c>
      <c r="AQ432" s="11">
        <v>248643.58</v>
      </c>
      <c r="AR432" s="11">
        <v>248643.58</v>
      </c>
      <c r="AS432" s="11">
        <v>2070.3841899999998</v>
      </c>
      <c r="AT432" s="11">
        <v>5270.0529999999999</v>
      </c>
      <c r="AU432" s="11">
        <v>0</v>
      </c>
      <c r="AV432" s="11" t="s">
        <v>51</v>
      </c>
    </row>
    <row r="433" spans="1:53" ht="13.5" customHeight="1">
      <c r="A433" s="46">
        <v>130</v>
      </c>
      <c r="B433" s="47" t="s">
        <v>351</v>
      </c>
      <c r="C433" s="47" t="s">
        <v>101</v>
      </c>
      <c r="D433" s="6">
        <v>16021</v>
      </c>
      <c r="E433" s="6" t="s">
        <v>352</v>
      </c>
      <c r="F433" s="6">
        <v>83355</v>
      </c>
      <c r="G433" s="8"/>
      <c r="H433" s="47" t="s">
        <v>88</v>
      </c>
      <c r="I433" s="47" t="s">
        <v>217</v>
      </c>
      <c r="J433" s="46" t="s">
        <v>75</v>
      </c>
      <c r="K433" s="48" t="s">
        <v>76</v>
      </c>
      <c r="L433" s="9" t="s">
        <v>73</v>
      </c>
      <c r="M433" s="15">
        <v>140</v>
      </c>
      <c r="N433" s="10">
        <v>43500</v>
      </c>
      <c r="O433" s="10">
        <v>44196</v>
      </c>
      <c r="P433" s="9" t="s">
        <v>349</v>
      </c>
      <c r="Q433" s="9" t="s">
        <v>353</v>
      </c>
      <c r="R433" s="46">
        <v>3.23</v>
      </c>
      <c r="S433" s="46">
        <v>0.3</v>
      </c>
      <c r="T433" s="6">
        <v>1.4</v>
      </c>
      <c r="U433" s="46">
        <v>0.7</v>
      </c>
      <c r="V433" s="48" t="s">
        <v>354</v>
      </c>
      <c r="W433" s="9" t="s">
        <v>108</v>
      </c>
      <c r="X433" s="68"/>
      <c r="Y433" s="68"/>
      <c r="Z433" s="6">
        <v>0.14000000000000001</v>
      </c>
      <c r="AA433" s="68"/>
      <c r="AB433" s="6">
        <v>0.14000000000000001</v>
      </c>
      <c r="AC433" s="6">
        <v>0.91500000000000004</v>
      </c>
      <c r="AD433" s="6">
        <v>1.0549999999999999</v>
      </c>
      <c r="AE433" s="6">
        <v>0.112</v>
      </c>
      <c r="AF433" s="8"/>
      <c r="AG433" s="6">
        <v>0.112</v>
      </c>
      <c r="AH433" s="7" t="s">
        <v>57</v>
      </c>
      <c r="AI433" s="6" t="s">
        <v>49</v>
      </c>
      <c r="AJ433" s="6" t="s">
        <v>49</v>
      </c>
      <c r="AK433" s="6" t="s">
        <v>49</v>
      </c>
      <c r="AL433" s="9" t="s">
        <v>49</v>
      </c>
      <c r="AM433" s="9" t="s">
        <v>221</v>
      </c>
      <c r="AN433" s="6" t="s">
        <v>73</v>
      </c>
      <c r="AO433" s="9" t="s">
        <v>221</v>
      </c>
      <c r="AP433" s="11">
        <v>0</v>
      </c>
      <c r="AQ433" s="11">
        <v>0</v>
      </c>
      <c r="AR433" s="11">
        <v>0</v>
      </c>
      <c r="AS433" s="11">
        <v>0</v>
      </c>
      <c r="AT433" s="11">
        <v>0</v>
      </c>
      <c r="AU433" s="11">
        <v>140</v>
      </c>
      <c r="AV433" s="11" t="s">
        <v>57</v>
      </c>
      <c r="AW433" t="s">
        <v>306</v>
      </c>
      <c r="AX433" s="58" t="s">
        <v>351</v>
      </c>
    </row>
    <row r="434" spans="1:53" customFormat="1" ht="14.5" hidden="1">
      <c r="A434" s="6">
        <v>435</v>
      </c>
      <c r="B434" s="7" t="s">
        <v>887</v>
      </c>
      <c r="C434" s="7" t="s">
        <v>49</v>
      </c>
      <c r="D434" s="6">
        <v>12490</v>
      </c>
      <c r="E434" s="6"/>
      <c r="F434" s="8"/>
      <c r="G434" s="8"/>
      <c r="H434" s="7" t="s">
        <v>49</v>
      </c>
      <c r="I434" s="7"/>
      <c r="J434" s="6" t="s">
        <v>49</v>
      </c>
      <c r="K434" s="9" t="s">
        <v>49</v>
      </c>
      <c r="L434" s="9" t="s">
        <v>49</v>
      </c>
      <c r="M434" s="8"/>
      <c r="N434" s="12"/>
      <c r="O434" s="10">
        <v>44256</v>
      </c>
      <c r="P434" s="9" t="s">
        <v>49</v>
      </c>
      <c r="Q434" s="9" t="s">
        <v>49</v>
      </c>
      <c r="R434" s="8"/>
      <c r="S434" s="8"/>
      <c r="T434" s="8"/>
      <c r="U434" s="8"/>
      <c r="V434" s="9" t="s">
        <v>49</v>
      </c>
      <c r="W434" s="9" t="s">
        <v>49</v>
      </c>
      <c r="X434" s="8"/>
      <c r="Y434" s="8"/>
      <c r="Z434" s="8"/>
      <c r="AA434" s="8"/>
      <c r="AB434" s="8"/>
      <c r="AC434" s="8"/>
      <c r="AD434" s="8"/>
      <c r="AE434" s="8"/>
      <c r="AF434" s="8"/>
      <c r="AG434" s="8"/>
      <c r="AH434" s="7" t="s">
        <v>57</v>
      </c>
      <c r="AI434" s="6" t="s">
        <v>49</v>
      </c>
      <c r="AJ434" s="6" t="s">
        <v>49</v>
      </c>
      <c r="AK434" s="6" t="s">
        <v>49</v>
      </c>
      <c r="AL434" s="9" t="s">
        <v>49</v>
      </c>
      <c r="AM434" s="9" t="s">
        <v>122</v>
      </c>
      <c r="AN434" s="6" t="s">
        <v>49</v>
      </c>
      <c r="AO434" s="9" t="s">
        <v>122</v>
      </c>
      <c r="AP434" s="11">
        <v>0</v>
      </c>
      <c r="AQ434" s="11">
        <v>0</v>
      </c>
      <c r="AR434" s="11">
        <v>0</v>
      </c>
      <c r="AS434" s="11">
        <v>0</v>
      </c>
      <c r="AT434" s="11">
        <v>0</v>
      </c>
      <c r="AU434" s="11">
        <v>0</v>
      </c>
      <c r="AV434" s="11">
        <v>0</v>
      </c>
      <c r="BA434" s="56"/>
    </row>
    <row r="435" spans="1:53" customFormat="1" ht="14.5" hidden="1">
      <c r="A435" s="6">
        <v>436</v>
      </c>
      <c r="B435" s="7" t="s">
        <v>888</v>
      </c>
      <c r="C435" s="7" t="s">
        <v>292</v>
      </c>
      <c r="D435" s="6">
        <v>12507</v>
      </c>
      <c r="E435" s="6" t="s">
        <v>889</v>
      </c>
      <c r="F435" s="6">
        <v>83482</v>
      </c>
      <c r="G435" s="8"/>
      <c r="H435" s="7" t="s">
        <v>49</v>
      </c>
      <c r="I435" s="7"/>
      <c r="J435" s="6" t="s">
        <v>49</v>
      </c>
      <c r="K435" s="9" t="s">
        <v>49</v>
      </c>
      <c r="L435" s="9" t="s">
        <v>73</v>
      </c>
      <c r="M435" s="29">
        <v>74</v>
      </c>
      <c r="N435" s="10">
        <v>43010</v>
      </c>
      <c r="O435" s="10">
        <v>44196</v>
      </c>
      <c r="P435" s="9" t="s">
        <v>890</v>
      </c>
      <c r="Q435" s="9" t="s">
        <v>891</v>
      </c>
      <c r="R435" s="8"/>
      <c r="S435" s="8"/>
      <c r="T435" s="8"/>
      <c r="U435" s="8"/>
      <c r="V435" s="9" t="s">
        <v>49</v>
      </c>
      <c r="W435" s="9" t="s">
        <v>49</v>
      </c>
      <c r="X435" s="8"/>
      <c r="Y435" s="8"/>
      <c r="Z435" s="8"/>
      <c r="AA435" s="8"/>
      <c r="AB435" s="8"/>
      <c r="AC435" s="8"/>
      <c r="AD435" s="8"/>
      <c r="AE435" s="8"/>
      <c r="AF435" s="8"/>
      <c r="AG435" s="8"/>
      <c r="AH435" s="7" t="s">
        <v>51</v>
      </c>
      <c r="AI435" s="6" t="s">
        <v>49</v>
      </c>
      <c r="AJ435" s="6" t="s">
        <v>49</v>
      </c>
      <c r="AK435" s="6" t="s">
        <v>49</v>
      </c>
      <c r="AL435" s="9" t="s">
        <v>49</v>
      </c>
      <c r="AM435" s="9" t="s">
        <v>52</v>
      </c>
      <c r="AN435" s="6" t="s">
        <v>49</v>
      </c>
      <c r="AO435" s="9" t="s">
        <v>52</v>
      </c>
      <c r="AP435" s="11">
        <v>33.438499999999998</v>
      </c>
      <c r="AQ435" s="11">
        <v>60542.02</v>
      </c>
      <c r="AR435" s="11">
        <v>60542.020000000011</v>
      </c>
      <c r="AS435" s="11">
        <v>161.45309</v>
      </c>
      <c r="AT435" s="11">
        <v>33.438000000000002</v>
      </c>
      <c r="AU435" s="11">
        <v>74</v>
      </c>
      <c r="AV435" s="11" t="s">
        <v>51</v>
      </c>
      <c r="AW435" t="s">
        <v>93</v>
      </c>
      <c r="BA435" s="56"/>
    </row>
    <row r="436" spans="1:53" customFormat="1" ht="29" hidden="1">
      <c r="A436" s="6">
        <v>437</v>
      </c>
      <c r="B436" s="7" t="s">
        <v>892</v>
      </c>
      <c r="C436" s="7" t="s">
        <v>203</v>
      </c>
      <c r="D436" s="12"/>
      <c r="E436" s="6" t="s">
        <v>104</v>
      </c>
      <c r="F436" s="8"/>
      <c r="G436" s="8"/>
      <c r="H436" s="7" t="s">
        <v>49</v>
      </c>
      <c r="I436" s="7"/>
      <c r="J436" s="6" t="s">
        <v>49</v>
      </c>
      <c r="K436" s="9" t="s">
        <v>49</v>
      </c>
      <c r="L436" s="9" t="s">
        <v>49</v>
      </c>
      <c r="M436" s="18">
        <v>400</v>
      </c>
      <c r="N436" s="8"/>
      <c r="O436" s="12"/>
      <c r="P436" s="9" t="s">
        <v>49</v>
      </c>
      <c r="Q436" s="9" t="s">
        <v>49</v>
      </c>
      <c r="R436" s="8"/>
      <c r="S436" s="8"/>
      <c r="T436" s="8"/>
      <c r="U436" s="8"/>
      <c r="V436" s="9" t="s">
        <v>49</v>
      </c>
      <c r="W436" s="9" t="s">
        <v>49</v>
      </c>
      <c r="X436" s="8"/>
      <c r="Y436" s="8"/>
      <c r="Z436" s="8"/>
      <c r="AA436" s="8"/>
      <c r="AB436" s="8"/>
      <c r="AC436" s="8"/>
      <c r="AD436" s="8"/>
      <c r="AE436" s="8"/>
      <c r="AF436" s="8"/>
      <c r="AG436" s="8"/>
      <c r="AH436" s="7" t="s">
        <v>49</v>
      </c>
      <c r="AI436" s="6" t="s">
        <v>49</v>
      </c>
      <c r="AJ436" s="6" t="s">
        <v>49</v>
      </c>
      <c r="AK436" s="6" t="s">
        <v>49</v>
      </c>
      <c r="AL436" s="9" t="s">
        <v>49</v>
      </c>
      <c r="AM436" s="9" t="s">
        <v>49</v>
      </c>
      <c r="AN436" s="6" t="s">
        <v>49</v>
      </c>
      <c r="AO436" s="9" t="s">
        <v>49</v>
      </c>
      <c r="AP436" s="11">
        <v>0</v>
      </c>
      <c r="AQ436" s="11">
        <v>0</v>
      </c>
      <c r="AR436" s="11">
        <v>0</v>
      </c>
      <c r="AS436" s="11">
        <v>0</v>
      </c>
      <c r="AT436" s="11">
        <v>0</v>
      </c>
      <c r="AU436" s="11">
        <v>0</v>
      </c>
      <c r="AV436" s="11">
        <v>0</v>
      </c>
      <c r="BA436" s="56"/>
    </row>
    <row r="437" spans="1:53" customFormat="1" ht="14.5" hidden="1">
      <c r="A437" s="6">
        <v>438</v>
      </c>
      <c r="B437" s="7" t="s">
        <v>893</v>
      </c>
      <c r="C437" s="7" t="s">
        <v>49</v>
      </c>
      <c r="D437" s="6">
        <v>15540</v>
      </c>
      <c r="E437" s="6" t="s">
        <v>49</v>
      </c>
      <c r="F437" s="12"/>
      <c r="G437" s="8"/>
      <c r="H437" s="7" t="s">
        <v>49</v>
      </c>
      <c r="I437" s="7"/>
      <c r="J437" s="6" t="s">
        <v>49</v>
      </c>
      <c r="K437" s="9" t="s">
        <v>49</v>
      </c>
      <c r="L437" s="9" t="s">
        <v>49</v>
      </c>
      <c r="M437" s="12"/>
      <c r="N437" s="8"/>
      <c r="O437" s="10">
        <v>44518</v>
      </c>
      <c r="P437" s="9" t="s">
        <v>49</v>
      </c>
      <c r="Q437" s="9" t="s">
        <v>49</v>
      </c>
      <c r="R437" s="8"/>
      <c r="S437" s="8"/>
      <c r="T437" s="8"/>
      <c r="U437" s="8"/>
      <c r="V437" s="9" t="s">
        <v>49</v>
      </c>
      <c r="W437" s="9" t="s">
        <v>49</v>
      </c>
      <c r="X437" s="8"/>
      <c r="Y437" s="8"/>
      <c r="Z437" s="8"/>
      <c r="AA437" s="12"/>
      <c r="AB437" s="12"/>
      <c r="AC437" s="8"/>
      <c r="AD437" s="12"/>
      <c r="AE437" s="8"/>
      <c r="AF437" s="12"/>
      <c r="AG437" s="12"/>
      <c r="AH437" s="7" t="s">
        <v>57</v>
      </c>
      <c r="AI437" s="6" t="s">
        <v>894</v>
      </c>
      <c r="AJ437" s="6" t="s">
        <v>49</v>
      </c>
      <c r="AK437" s="6" t="s">
        <v>49</v>
      </c>
      <c r="AL437" s="9" t="s">
        <v>895</v>
      </c>
      <c r="AM437" s="9" t="s">
        <v>49</v>
      </c>
      <c r="AN437" s="6" t="s">
        <v>85</v>
      </c>
      <c r="AO437" s="9" t="s">
        <v>49</v>
      </c>
      <c r="AP437" s="11">
        <v>7248.8885899999996</v>
      </c>
      <c r="AQ437" s="11">
        <v>0</v>
      </c>
      <c r="AR437" s="11">
        <v>0</v>
      </c>
      <c r="AS437" s="11">
        <v>41681.266040000002</v>
      </c>
      <c r="AT437" s="11">
        <v>50825.983</v>
      </c>
      <c r="AU437" s="11">
        <v>0</v>
      </c>
      <c r="AV437" s="11">
        <v>0</v>
      </c>
      <c r="BA437" s="56"/>
    </row>
    <row r="438" spans="1:53" customFormat="1" ht="14.5" hidden="1">
      <c r="A438" s="6">
        <v>439</v>
      </c>
      <c r="B438" s="7" t="s">
        <v>896</v>
      </c>
      <c r="C438" s="7" t="s">
        <v>49</v>
      </c>
      <c r="D438" s="6">
        <v>15540</v>
      </c>
      <c r="E438" s="6" t="s">
        <v>897</v>
      </c>
      <c r="F438" s="8"/>
      <c r="G438" s="8"/>
      <c r="H438" s="7" t="s">
        <v>49</v>
      </c>
      <c r="I438" s="7"/>
      <c r="J438" s="6" t="s">
        <v>49</v>
      </c>
      <c r="K438" s="9" t="s">
        <v>49</v>
      </c>
      <c r="L438" s="9" t="s">
        <v>49</v>
      </c>
      <c r="M438" s="8"/>
      <c r="N438" s="12"/>
      <c r="O438" s="10">
        <v>44518</v>
      </c>
      <c r="P438" s="9" t="s">
        <v>49</v>
      </c>
      <c r="Q438" s="9" t="s">
        <v>49</v>
      </c>
      <c r="R438" s="8"/>
      <c r="S438" s="8"/>
      <c r="T438" s="8"/>
      <c r="U438" s="8"/>
      <c r="V438" s="9" t="s">
        <v>49</v>
      </c>
      <c r="W438" s="9" t="s">
        <v>49</v>
      </c>
      <c r="X438" s="8"/>
      <c r="Y438" s="8"/>
      <c r="Z438" s="8"/>
      <c r="AA438" s="8"/>
      <c r="AB438" s="8"/>
      <c r="AC438" s="8"/>
      <c r="AD438" s="8"/>
      <c r="AE438" s="8"/>
      <c r="AF438" s="8"/>
      <c r="AG438" s="8"/>
      <c r="AH438" s="7" t="s">
        <v>57</v>
      </c>
      <c r="AI438" s="6" t="s">
        <v>49</v>
      </c>
      <c r="AJ438" s="6" t="s">
        <v>49</v>
      </c>
      <c r="AK438" s="6" t="s">
        <v>49</v>
      </c>
      <c r="AL438" s="9" t="s">
        <v>49</v>
      </c>
      <c r="AM438" s="9" t="s">
        <v>895</v>
      </c>
      <c r="AN438" s="6" t="s">
        <v>49</v>
      </c>
      <c r="AO438" s="9" t="s">
        <v>895</v>
      </c>
      <c r="AP438" s="11">
        <v>0</v>
      </c>
      <c r="AQ438" s="11">
        <v>0</v>
      </c>
      <c r="AR438" s="11">
        <v>0</v>
      </c>
      <c r="AS438" s="11">
        <v>0</v>
      </c>
      <c r="AT438" s="11">
        <v>0</v>
      </c>
      <c r="AU438" s="11">
        <v>0</v>
      </c>
      <c r="AV438" s="11" t="s">
        <v>57</v>
      </c>
      <c r="BA438" s="56"/>
    </row>
    <row r="439" spans="1:53" customFormat="1" ht="14.5" hidden="1">
      <c r="A439" s="6">
        <v>440</v>
      </c>
      <c r="B439" s="7" t="s">
        <v>898</v>
      </c>
      <c r="C439" s="7" t="s">
        <v>49</v>
      </c>
      <c r="D439" s="6">
        <v>15062</v>
      </c>
      <c r="E439" s="6" t="s">
        <v>899</v>
      </c>
      <c r="F439" s="12"/>
      <c r="G439" s="8"/>
      <c r="H439" s="7" t="s">
        <v>49</v>
      </c>
      <c r="I439" s="7"/>
      <c r="J439" s="6" t="s">
        <v>49</v>
      </c>
      <c r="K439" s="9" t="s">
        <v>49</v>
      </c>
      <c r="L439" s="9" t="s">
        <v>49</v>
      </c>
      <c r="M439" s="12"/>
      <c r="N439" s="10">
        <v>43122</v>
      </c>
      <c r="O439" s="10">
        <v>43831</v>
      </c>
      <c r="P439" s="9" t="s">
        <v>49</v>
      </c>
      <c r="Q439" s="9" t="s">
        <v>49</v>
      </c>
      <c r="R439" s="12"/>
      <c r="S439" s="12"/>
      <c r="T439" s="12"/>
      <c r="U439" s="12"/>
      <c r="V439" s="9" t="s">
        <v>49</v>
      </c>
      <c r="W439" s="9" t="s">
        <v>49</v>
      </c>
      <c r="X439" s="12"/>
      <c r="Y439" s="8"/>
      <c r="Z439" s="8"/>
      <c r="AA439" s="8"/>
      <c r="AB439" s="12"/>
      <c r="AC439" s="8"/>
      <c r="AD439" s="12"/>
      <c r="AE439" s="12"/>
      <c r="AF439" s="8"/>
      <c r="AG439" s="12"/>
      <c r="AH439" s="7" t="s">
        <v>51</v>
      </c>
      <c r="AI439" s="6" t="s">
        <v>49</v>
      </c>
      <c r="AJ439" s="6" t="s">
        <v>49</v>
      </c>
      <c r="AK439" s="6" t="s">
        <v>49</v>
      </c>
      <c r="AL439" s="9" t="s">
        <v>49</v>
      </c>
      <c r="AM439" s="9" t="s">
        <v>52</v>
      </c>
      <c r="AN439" s="6" t="s">
        <v>49</v>
      </c>
      <c r="AO439" s="9" t="s">
        <v>52</v>
      </c>
      <c r="AP439" s="11">
        <v>0</v>
      </c>
      <c r="AQ439" s="11">
        <v>0</v>
      </c>
      <c r="AR439" s="11">
        <v>0</v>
      </c>
      <c r="AS439" s="11">
        <v>0</v>
      </c>
      <c r="AT439" s="11">
        <v>0</v>
      </c>
      <c r="AU439" s="11">
        <v>0</v>
      </c>
      <c r="AV439" s="11" t="s">
        <v>51</v>
      </c>
      <c r="BA439" s="56"/>
    </row>
    <row r="440" spans="1:53" customFormat="1" ht="14.5" hidden="1">
      <c r="A440" s="6">
        <v>441</v>
      </c>
      <c r="B440" s="7" t="s">
        <v>900</v>
      </c>
      <c r="C440" s="7" t="s">
        <v>81</v>
      </c>
      <c r="D440" s="6">
        <v>16029</v>
      </c>
      <c r="E440" s="6" t="s">
        <v>901</v>
      </c>
      <c r="F440" s="12"/>
      <c r="G440" s="8"/>
      <c r="H440" s="7" t="s">
        <v>88</v>
      </c>
      <c r="I440" s="7" t="s">
        <v>217</v>
      </c>
      <c r="J440" s="6" t="s">
        <v>75</v>
      </c>
      <c r="K440" s="9" t="s">
        <v>89</v>
      </c>
      <c r="L440" s="9" t="s">
        <v>49</v>
      </c>
      <c r="M440" s="17">
        <v>761</v>
      </c>
      <c r="N440" s="10">
        <v>43627</v>
      </c>
      <c r="O440" s="10">
        <v>44561</v>
      </c>
      <c r="P440" s="9" t="s">
        <v>49</v>
      </c>
      <c r="Q440" s="9" t="s">
        <v>49</v>
      </c>
      <c r="R440" s="8"/>
      <c r="S440" s="8"/>
      <c r="T440" s="8"/>
      <c r="U440" s="12"/>
      <c r="V440" s="9" t="s">
        <v>49</v>
      </c>
      <c r="W440" s="9" t="s">
        <v>49</v>
      </c>
      <c r="X440" s="8"/>
      <c r="Y440" s="8"/>
      <c r="Z440" s="6">
        <v>0.76100000000000001</v>
      </c>
      <c r="AA440" s="8"/>
      <c r="AB440" s="6">
        <v>0.76100000000000001</v>
      </c>
      <c r="AC440" s="8"/>
      <c r="AD440" s="6">
        <v>0.76100000000000001</v>
      </c>
      <c r="AE440" s="6">
        <v>0.60899999999999999</v>
      </c>
      <c r="AF440" s="8"/>
      <c r="AG440" s="6">
        <v>0.60899999999999999</v>
      </c>
      <c r="AH440" s="7" t="s">
        <v>57</v>
      </c>
      <c r="AI440" s="6" t="s">
        <v>49</v>
      </c>
      <c r="AJ440" s="6" t="s">
        <v>49</v>
      </c>
      <c r="AK440" s="6" t="s">
        <v>49</v>
      </c>
      <c r="AL440" s="9" t="s">
        <v>49</v>
      </c>
      <c r="AM440" s="9" t="s">
        <v>262</v>
      </c>
      <c r="AN440" s="6" t="s">
        <v>218</v>
      </c>
      <c r="AO440" s="9" t="s">
        <v>242</v>
      </c>
      <c r="AP440" s="11">
        <v>0</v>
      </c>
      <c r="AQ440" s="11">
        <v>0</v>
      </c>
      <c r="AR440" s="11">
        <v>0</v>
      </c>
      <c r="AS440" s="11">
        <v>0</v>
      </c>
      <c r="AT440" s="11">
        <v>761.24800000000005</v>
      </c>
      <c r="AU440" s="11">
        <v>650</v>
      </c>
      <c r="AV440" s="11" t="s">
        <v>57</v>
      </c>
      <c r="AW440" t="s">
        <v>93</v>
      </c>
      <c r="BA440" s="56"/>
    </row>
    <row r="441" spans="1:53" customFormat="1" ht="14.5" hidden="1">
      <c r="A441" s="6">
        <v>442</v>
      </c>
      <c r="B441" s="7" t="s">
        <v>902</v>
      </c>
      <c r="C441" s="7" t="s">
        <v>49</v>
      </c>
      <c r="D441" s="6">
        <v>16029</v>
      </c>
      <c r="E441" s="6" t="s">
        <v>49</v>
      </c>
      <c r="F441" s="12"/>
      <c r="G441" s="8"/>
      <c r="H441" s="7" t="s">
        <v>49</v>
      </c>
      <c r="I441" s="7"/>
      <c r="J441" s="6" t="s">
        <v>49</v>
      </c>
      <c r="K441" s="9" t="s">
        <v>49</v>
      </c>
      <c r="L441" s="9" t="s">
        <v>49</v>
      </c>
      <c r="M441" s="12"/>
      <c r="N441" s="10">
        <v>43627</v>
      </c>
      <c r="O441" s="10">
        <v>44561</v>
      </c>
      <c r="P441" s="9" t="s">
        <v>49</v>
      </c>
      <c r="Q441" s="9" t="s">
        <v>49</v>
      </c>
      <c r="R441" s="12"/>
      <c r="S441" s="12"/>
      <c r="T441" s="12"/>
      <c r="U441" s="12"/>
      <c r="V441" s="9" t="s">
        <v>49</v>
      </c>
      <c r="W441" s="9" t="s">
        <v>49</v>
      </c>
      <c r="X441" s="12"/>
      <c r="Y441" s="12"/>
      <c r="Z441" s="12"/>
      <c r="AA441" s="12"/>
      <c r="AB441" s="12"/>
      <c r="AC441" s="12"/>
      <c r="AD441" s="12"/>
      <c r="AE441" s="12"/>
      <c r="AF441" s="8"/>
      <c r="AG441" s="12"/>
      <c r="AH441" s="7" t="s">
        <v>57</v>
      </c>
      <c r="AI441" s="6" t="s">
        <v>71</v>
      </c>
      <c r="AJ441" s="6" t="s">
        <v>49</v>
      </c>
      <c r="AK441" s="6" t="s">
        <v>49</v>
      </c>
      <c r="AL441" s="9" t="s">
        <v>52</v>
      </c>
      <c r="AM441" s="9" t="s">
        <v>49</v>
      </c>
      <c r="AN441" s="6" t="s">
        <v>85</v>
      </c>
      <c r="AO441" s="9" t="s">
        <v>49</v>
      </c>
      <c r="AP441" s="11">
        <v>7248.8885899999996</v>
      </c>
      <c r="AQ441" s="11">
        <v>0</v>
      </c>
      <c r="AR441" s="11">
        <v>0</v>
      </c>
      <c r="AS441" s="11">
        <v>41681.266040000002</v>
      </c>
      <c r="AT441" s="11">
        <v>50825.983</v>
      </c>
      <c r="AU441" s="11">
        <v>0</v>
      </c>
      <c r="AV441" s="11">
        <v>0</v>
      </c>
      <c r="BA441" s="56"/>
    </row>
    <row r="442" spans="1:53" customFormat="1" ht="14.5" hidden="1">
      <c r="A442" s="6">
        <v>443</v>
      </c>
      <c r="B442" s="7" t="s">
        <v>903</v>
      </c>
      <c r="C442" s="7" t="s">
        <v>81</v>
      </c>
      <c r="D442" s="6">
        <v>15382</v>
      </c>
      <c r="E442" s="6" t="s">
        <v>49</v>
      </c>
      <c r="F442" s="8"/>
      <c r="G442" s="8"/>
      <c r="H442" s="7" t="s">
        <v>49</v>
      </c>
      <c r="I442" s="7"/>
      <c r="J442" s="6" t="s">
        <v>49</v>
      </c>
      <c r="K442" s="9" t="s">
        <v>49</v>
      </c>
      <c r="L442" s="9" t="s">
        <v>49</v>
      </c>
      <c r="M442" s="8"/>
      <c r="N442" s="8"/>
      <c r="O442" s="10">
        <v>43553</v>
      </c>
      <c r="P442" s="9" t="s">
        <v>49</v>
      </c>
      <c r="Q442" s="9" t="s">
        <v>49</v>
      </c>
      <c r="R442" s="8"/>
      <c r="S442" s="8"/>
      <c r="T442" s="8"/>
      <c r="U442" s="8"/>
      <c r="V442" s="9" t="s">
        <v>49</v>
      </c>
      <c r="W442" s="9" t="s">
        <v>49</v>
      </c>
      <c r="X442" s="8"/>
      <c r="Y442" s="8"/>
      <c r="Z442" s="8"/>
      <c r="AA442" s="8"/>
      <c r="AB442" s="8"/>
      <c r="AC442" s="8"/>
      <c r="AD442" s="8"/>
      <c r="AE442" s="8"/>
      <c r="AF442" s="8"/>
      <c r="AG442" s="8"/>
      <c r="AH442" s="7" t="s">
        <v>57</v>
      </c>
      <c r="AI442" s="6" t="s">
        <v>71</v>
      </c>
      <c r="AJ442" s="6" t="s">
        <v>49</v>
      </c>
      <c r="AK442" s="6" t="s">
        <v>49</v>
      </c>
      <c r="AL442" s="9" t="s">
        <v>213</v>
      </c>
      <c r="AM442" s="9" t="s">
        <v>49</v>
      </c>
      <c r="AN442" s="6" t="s">
        <v>82</v>
      </c>
      <c r="AO442" s="9" t="s">
        <v>49</v>
      </c>
      <c r="AP442" s="11">
        <v>7248.8885899999996</v>
      </c>
      <c r="AQ442" s="11">
        <v>0</v>
      </c>
      <c r="AR442" s="11">
        <v>0</v>
      </c>
      <c r="AS442" s="11">
        <v>41681.266040000002</v>
      </c>
      <c r="AT442" s="11">
        <v>50825.983</v>
      </c>
      <c r="AU442" s="11">
        <v>0</v>
      </c>
      <c r="AV442" s="11">
        <v>0</v>
      </c>
      <c r="BA442" s="56"/>
    </row>
    <row r="443" spans="1:53" customFormat="1" ht="14.5" hidden="1">
      <c r="A443" s="6">
        <v>444</v>
      </c>
      <c r="B443" s="7" t="s">
        <v>903</v>
      </c>
      <c r="C443" s="7" t="s">
        <v>81</v>
      </c>
      <c r="D443" s="6">
        <v>15382</v>
      </c>
      <c r="E443" s="6" t="s">
        <v>904</v>
      </c>
      <c r="F443" s="8"/>
      <c r="G443" s="8"/>
      <c r="H443" s="7" t="s">
        <v>49</v>
      </c>
      <c r="I443" s="7"/>
      <c r="J443" s="6" t="s">
        <v>49</v>
      </c>
      <c r="K443" s="9" t="s">
        <v>49</v>
      </c>
      <c r="L443" s="9" t="s">
        <v>49</v>
      </c>
      <c r="M443" s="8"/>
      <c r="N443" s="8"/>
      <c r="O443" s="10">
        <v>43553</v>
      </c>
      <c r="P443" s="9" t="s">
        <v>49</v>
      </c>
      <c r="Q443" s="9" t="s">
        <v>49</v>
      </c>
      <c r="R443" s="8"/>
      <c r="S443" s="8"/>
      <c r="T443" s="8"/>
      <c r="U443" s="8"/>
      <c r="V443" s="9" t="s">
        <v>49</v>
      </c>
      <c r="W443" s="9" t="s">
        <v>49</v>
      </c>
      <c r="X443" s="8"/>
      <c r="Y443" s="8"/>
      <c r="Z443" s="8"/>
      <c r="AA443" s="8"/>
      <c r="AB443" s="8"/>
      <c r="AC443" s="8"/>
      <c r="AD443" s="8"/>
      <c r="AE443" s="8"/>
      <c r="AF443" s="8"/>
      <c r="AG443" s="8"/>
      <c r="AH443" s="7" t="s">
        <v>51</v>
      </c>
      <c r="AI443" s="6" t="s">
        <v>49</v>
      </c>
      <c r="AJ443" s="6" t="s">
        <v>49</v>
      </c>
      <c r="AK443" s="6" t="s">
        <v>49</v>
      </c>
      <c r="AL443" s="9" t="s">
        <v>49</v>
      </c>
      <c r="AM443" s="9" t="s">
        <v>462</v>
      </c>
      <c r="AN443" s="6" t="s">
        <v>49</v>
      </c>
      <c r="AO443" s="9" t="s">
        <v>242</v>
      </c>
      <c r="AP443" s="11">
        <v>0</v>
      </c>
      <c r="AQ443" s="11">
        <v>-10502.09</v>
      </c>
      <c r="AR443" s="11">
        <v>-10502.083333333336</v>
      </c>
      <c r="AS443" s="11">
        <v>69.647070000000014</v>
      </c>
      <c r="AT443" s="11">
        <v>0</v>
      </c>
      <c r="AU443" s="11">
        <v>0</v>
      </c>
      <c r="AV443" s="11" t="s">
        <v>51</v>
      </c>
      <c r="BA443" s="56"/>
    </row>
    <row r="444" spans="1:53" customFormat="1" ht="14.5" hidden="1">
      <c r="A444" s="6">
        <v>445</v>
      </c>
      <c r="B444" s="7" t="s">
        <v>905</v>
      </c>
      <c r="C444" s="7" t="s">
        <v>49</v>
      </c>
      <c r="D444" s="6">
        <v>12561</v>
      </c>
      <c r="E444" s="6" t="s">
        <v>906</v>
      </c>
      <c r="F444" s="12"/>
      <c r="G444" s="8"/>
      <c r="H444" s="7" t="s">
        <v>49</v>
      </c>
      <c r="I444" s="7"/>
      <c r="J444" s="6" t="s">
        <v>49</v>
      </c>
      <c r="K444" s="9" t="s">
        <v>49</v>
      </c>
      <c r="L444" s="9" t="s">
        <v>49</v>
      </c>
      <c r="M444" s="8"/>
      <c r="N444" s="10">
        <v>43133</v>
      </c>
      <c r="O444" s="10">
        <v>44196</v>
      </c>
      <c r="P444" s="9" t="s">
        <v>49</v>
      </c>
      <c r="Q444" s="9" t="s">
        <v>49</v>
      </c>
      <c r="R444" s="8"/>
      <c r="S444" s="8"/>
      <c r="T444" s="8"/>
      <c r="U444" s="8"/>
      <c r="V444" s="9" t="s">
        <v>49</v>
      </c>
      <c r="W444" s="9" t="s">
        <v>49</v>
      </c>
      <c r="X444" s="8"/>
      <c r="Y444" s="8"/>
      <c r="Z444" s="8"/>
      <c r="AA444" s="8"/>
      <c r="AB444" s="8"/>
      <c r="AC444" s="8"/>
      <c r="AD444" s="8"/>
      <c r="AE444" s="8"/>
      <c r="AF444" s="8"/>
      <c r="AG444" s="8"/>
      <c r="AH444" s="7" t="s">
        <v>57</v>
      </c>
      <c r="AI444" s="6" t="s">
        <v>49</v>
      </c>
      <c r="AJ444" s="6" t="s">
        <v>49</v>
      </c>
      <c r="AK444" s="6" t="s">
        <v>49</v>
      </c>
      <c r="AL444" s="9" t="s">
        <v>49</v>
      </c>
      <c r="AM444" s="9" t="s">
        <v>907</v>
      </c>
      <c r="AN444" s="6" t="s">
        <v>49</v>
      </c>
      <c r="AO444" s="9" t="s">
        <v>907</v>
      </c>
      <c r="AP444" s="11">
        <v>0</v>
      </c>
      <c r="AQ444" s="11">
        <v>0</v>
      </c>
      <c r="AR444" s="11">
        <v>0</v>
      </c>
      <c r="AS444" s="11">
        <v>0</v>
      </c>
      <c r="AT444" s="11">
        <v>3.0000000000000001E-3</v>
      </c>
      <c r="AU444" s="11">
        <v>0</v>
      </c>
      <c r="AV444" s="11" t="s">
        <v>57</v>
      </c>
      <c r="BA444" s="56"/>
    </row>
    <row r="445" spans="1:53" customFormat="1" ht="14.5" hidden="1">
      <c r="A445" s="6">
        <v>446</v>
      </c>
      <c r="B445" s="7" t="s">
        <v>908</v>
      </c>
      <c r="C445" s="7" t="s">
        <v>49</v>
      </c>
      <c r="D445" s="6">
        <v>12561</v>
      </c>
      <c r="E445" s="6" t="s">
        <v>909</v>
      </c>
      <c r="F445" s="8"/>
      <c r="G445" s="8"/>
      <c r="H445" s="7" t="s">
        <v>49</v>
      </c>
      <c r="I445" s="7"/>
      <c r="J445" s="6" t="s">
        <v>49</v>
      </c>
      <c r="K445" s="9" t="s">
        <v>49</v>
      </c>
      <c r="L445" s="9" t="s">
        <v>49</v>
      </c>
      <c r="M445" s="12"/>
      <c r="N445" s="10">
        <v>43199</v>
      </c>
      <c r="O445" s="10">
        <v>44196</v>
      </c>
      <c r="P445" s="9" t="s">
        <v>49</v>
      </c>
      <c r="Q445" s="9" t="s">
        <v>49</v>
      </c>
      <c r="R445" s="8"/>
      <c r="S445" s="8"/>
      <c r="T445" s="8"/>
      <c r="U445" s="8"/>
      <c r="V445" s="9" t="s">
        <v>49</v>
      </c>
      <c r="W445" s="9" t="s">
        <v>49</v>
      </c>
      <c r="X445" s="8"/>
      <c r="Y445" s="8"/>
      <c r="Z445" s="8"/>
      <c r="AA445" s="8"/>
      <c r="AB445" s="8"/>
      <c r="AC445" s="8"/>
      <c r="AD445" s="8"/>
      <c r="AE445" s="8"/>
      <c r="AF445" s="8"/>
      <c r="AG445" s="8"/>
      <c r="AH445" s="7" t="s">
        <v>57</v>
      </c>
      <c r="AI445" s="6" t="s">
        <v>49</v>
      </c>
      <c r="AJ445" s="6" t="s">
        <v>49</v>
      </c>
      <c r="AK445" s="6" t="s">
        <v>49</v>
      </c>
      <c r="AL445" s="9" t="s">
        <v>49</v>
      </c>
      <c r="AM445" s="9" t="s">
        <v>181</v>
      </c>
      <c r="AN445" s="6" t="s">
        <v>49</v>
      </c>
      <c r="AO445" s="9" t="s">
        <v>181</v>
      </c>
      <c r="AP445" s="11">
        <v>0</v>
      </c>
      <c r="AQ445" s="11">
        <v>0</v>
      </c>
      <c r="AR445" s="11">
        <v>0</v>
      </c>
      <c r="AS445" s="11">
        <v>0</v>
      </c>
      <c r="AT445" s="11">
        <v>0</v>
      </c>
      <c r="AU445" s="11">
        <v>0</v>
      </c>
      <c r="AV445" s="11" t="s">
        <v>57</v>
      </c>
      <c r="BA445" s="56"/>
    </row>
    <row r="446" spans="1:53" customFormat="1" ht="14.5" hidden="1">
      <c r="A446" s="6">
        <v>447</v>
      </c>
      <c r="B446" s="7" t="s">
        <v>910</v>
      </c>
      <c r="C446" s="7" t="s">
        <v>49</v>
      </c>
      <c r="D446" s="6">
        <v>12561</v>
      </c>
      <c r="E446" s="6" t="s">
        <v>911</v>
      </c>
      <c r="F446" s="8"/>
      <c r="G446" s="8"/>
      <c r="H446" s="7" t="s">
        <v>49</v>
      </c>
      <c r="I446" s="7"/>
      <c r="J446" s="6" t="s">
        <v>49</v>
      </c>
      <c r="K446" s="9" t="s">
        <v>49</v>
      </c>
      <c r="L446" s="9" t="s">
        <v>49</v>
      </c>
      <c r="M446" s="8"/>
      <c r="N446" s="10">
        <v>43216</v>
      </c>
      <c r="O446" s="10">
        <v>44196</v>
      </c>
      <c r="P446" s="9" t="s">
        <v>49</v>
      </c>
      <c r="Q446" s="9" t="s">
        <v>49</v>
      </c>
      <c r="R446" s="8"/>
      <c r="S446" s="8"/>
      <c r="T446" s="8"/>
      <c r="U446" s="8"/>
      <c r="V446" s="9" t="s">
        <v>49</v>
      </c>
      <c r="W446" s="9" t="s">
        <v>49</v>
      </c>
      <c r="X446" s="8"/>
      <c r="Y446" s="8"/>
      <c r="Z446" s="8"/>
      <c r="AA446" s="8"/>
      <c r="AB446" s="8"/>
      <c r="AC446" s="8"/>
      <c r="AD446" s="8"/>
      <c r="AE446" s="8"/>
      <c r="AF446" s="8"/>
      <c r="AG446" s="8"/>
      <c r="AH446" s="7" t="s">
        <v>57</v>
      </c>
      <c r="AI446" s="6" t="s">
        <v>49</v>
      </c>
      <c r="AJ446" s="6" t="s">
        <v>49</v>
      </c>
      <c r="AK446" s="6" t="s">
        <v>49</v>
      </c>
      <c r="AL446" s="9" t="s">
        <v>49</v>
      </c>
      <c r="AM446" s="9" t="s">
        <v>184</v>
      </c>
      <c r="AN446" s="6" t="s">
        <v>49</v>
      </c>
      <c r="AO446" s="9" t="s">
        <v>184</v>
      </c>
      <c r="AP446" s="11">
        <v>0</v>
      </c>
      <c r="AQ446" s="11">
        <v>0</v>
      </c>
      <c r="AR446" s="11">
        <v>0</v>
      </c>
      <c r="AS446" s="11">
        <v>0</v>
      </c>
      <c r="AT446" s="11">
        <v>0</v>
      </c>
      <c r="AU446" s="11">
        <v>0</v>
      </c>
      <c r="AV446" s="11" t="s">
        <v>57</v>
      </c>
      <c r="BA446" s="56"/>
    </row>
    <row r="447" spans="1:53" customFormat="1" ht="14.5" hidden="1">
      <c r="A447" s="6">
        <v>448</v>
      </c>
      <c r="B447" s="7" t="s">
        <v>912</v>
      </c>
      <c r="C447" s="7" t="s">
        <v>49</v>
      </c>
      <c r="D447" s="6">
        <v>12561</v>
      </c>
      <c r="E447" s="6" t="s">
        <v>913</v>
      </c>
      <c r="F447" s="8"/>
      <c r="G447" s="8"/>
      <c r="H447" s="7" t="s">
        <v>49</v>
      </c>
      <c r="I447" s="7"/>
      <c r="J447" s="6" t="s">
        <v>49</v>
      </c>
      <c r="K447" s="9" t="s">
        <v>49</v>
      </c>
      <c r="L447" s="9" t="s">
        <v>49</v>
      </c>
      <c r="M447" s="8"/>
      <c r="N447" s="10">
        <v>43193</v>
      </c>
      <c r="O447" s="10">
        <v>44196</v>
      </c>
      <c r="P447" s="9" t="s">
        <v>49</v>
      </c>
      <c r="Q447" s="9" t="s">
        <v>49</v>
      </c>
      <c r="R447" s="8"/>
      <c r="S447" s="8"/>
      <c r="T447" s="8"/>
      <c r="U447" s="8"/>
      <c r="V447" s="9" t="s">
        <v>49</v>
      </c>
      <c r="W447" s="9" t="s">
        <v>49</v>
      </c>
      <c r="X447" s="8"/>
      <c r="Y447" s="8"/>
      <c r="Z447" s="8"/>
      <c r="AA447" s="8"/>
      <c r="AB447" s="8"/>
      <c r="AC447" s="8"/>
      <c r="AD447" s="8"/>
      <c r="AE447" s="8"/>
      <c r="AF447" s="8"/>
      <c r="AG447" s="8"/>
      <c r="AH447" s="7" t="s">
        <v>57</v>
      </c>
      <c r="AI447" s="6" t="s">
        <v>49</v>
      </c>
      <c r="AJ447" s="6" t="s">
        <v>49</v>
      </c>
      <c r="AK447" s="6" t="s">
        <v>49</v>
      </c>
      <c r="AL447" s="9" t="s">
        <v>49</v>
      </c>
      <c r="AM447" s="9" t="s">
        <v>914</v>
      </c>
      <c r="AN447" s="6" t="s">
        <v>49</v>
      </c>
      <c r="AO447" s="9" t="s">
        <v>914</v>
      </c>
      <c r="AP447" s="11">
        <v>0</v>
      </c>
      <c r="AQ447" s="11">
        <v>0</v>
      </c>
      <c r="AR447" s="11">
        <v>0</v>
      </c>
      <c r="AS447" s="11">
        <v>0</v>
      </c>
      <c r="AT447" s="11">
        <v>3.0000000000000001E-3</v>
      </c>
      <c r="AU447" s="11">
        <v>0</v>
      </c>
      <c r="AV447" s="11" t="s">
        <v>57</v>
      </c>
      <c r="BA447" s="56"/>
    </row>
    <row r="448" spans="1:53" customFormat="1" ht="14.5" hidden="1">
      <c r="A448" s="6">
        <v>449</v>
      </c>
      <c r="B448" s="7" t="s">
        <v>915</v>
      </c>
      <c r="C448" s="7" t="s">
        <v>49</v>
      </c>
      <c r="D448" s="6">
        <v>15644</v>
      </c>
      <c r="E448" s="6" t="s">
        <v>49</v>
      </c>
      <c r="F448" s="8"/>
      <c r="G448" s="8"/>
      <c r="H448" s="7" t="s">
        <v>49</v>
      </c>
      <c r="I448" s="7"/>
      <c r="J448" s="6" t="s">
        <v>49</v>
      </c>
      <c r="K448" s="9" t="s">
        <v>49</v>
      </c>
      <c r="L448" s="9" t="s">
        <v>49</v>
      </c>
      <c r="M448" s="8"/>
      <c r="N448" s="12"/>
      <c r="O448" s="12"/>
      <c r="P448" s="9" t="s">
        <v>49</v>
      </c>
      <c r="Q448" s="9" t="s">
        <v>49</v>
      </c>
      <c r="R448" s="8"/>
      <c r="S448" s="8"/>
      <c r="T448" s="8"/>
      <c r="U448" s="8"/>
      <c r="V448" s="9" t="s">
        <v>49</v>
      </c>
      <c r="W448" s="9" t="s">
        <v>49</v>
      </c>
      <c r="X448" s="8"/>
      <c r="Y448" s="8"/>
      <c r="Z448" s="8"/>
      <c r="AA448" s="8"/>
      <c r="AB448" s="8"/>
      <c r="AC448" s="8"/>
      <c r="AD448" s="8"/>
      <c r="AE448" s="8"/>
      <c r="AF448" s="8"/>
      <c r="AG448" s="8"/>
      <c r="AH448" s="7" t="s">
        <v>79</v>
      </c>
      <c r="AI448" s="6" t="s">
        <v>110</v>
      </c>
      <c r="AJ448" s="6" t="s">
        <v>49</v>
      </c>
      <c r="AK448" s="6" t="s">
        <v>49</v>
      </c>
      <c r="AL448" s="9" t="s">
        <v>111</v>
      </c>
      <c r="AM448" s="9" t="s">
        <v>49</v>
      </c>
      <c r="AN448" s="6" t="s">
        <v>82</v>
      </c>
      <c r="AO448" s="9" t="s">
        <v>49</v>
      </c>
      <c r="AP448" s="11">
        <v>7248.8885899999996</v>
      </c>
      <c r="AQ448" s="11">
        <v>0</v>
      </c>
      <c r="AR448" s="11">
        <v>0</v>
      </c>
      <c r="AS448" s="11">
        <v>41681.266040000002</v>
      </c>
      <c r="AT448" s="11">
        <v>50825.983</v>
      </c>
      <c r="AU448" s="11">
        <v>0</v>
      </c>
      <c r="AV448" s="11">
        <v>0</v>
      </c>
      <c r="BA448" s="56"/>
    </row>
    <row r="449" spans="1:53" customFormat="1" ht="14.5" hidden="1">
      <c r="A449" s="6">
        <v>450</v>
      </c>
      <c r="B449" s="7" t="s">
        <v>916</v>
      </c>
      <c r="C449" s="7" t="s">
        <v>569</v>
      </c>
      <c r="D449" s="6">
        <v>12490</v>
      </c>
      <c r="E449" s="6" t="s">
        <v>49</v>
      </c>
      <c r="F449" s="8"/>
      <c r="G449" s="8"/>
      <c r="H449" s="7" t="s">
        <v>49</v>
      </c>
      <c r="I449" s="7"/>
      <c r="J449" s="6" t="s">
        <v>49</v>
      </c>
      <c r="K449" s="9" t="s">
        <v>49</v>
      </c>
      <c r="L449" s="9" t="s">
        <v>49</v>
      </c>
      <c r="M449" s="12"/>
      <c r="N449" s="10">
        <v>42919</v>
      </c>
      <c r="O449" s="10">
        <v>44256</v>
      </c>
      <c r="P449" s="9" t="s">
        <v>49</v>
      </c>
      <c r="Q449" s="9" t="s">
        <v>49</v>
      </c>
      <c r="R449" s="8"/>
      <c r="S449" s="8"/>
      <c r="T449" s="8"/>
      <c r="U449" s="8"/>
      <c r="V449" s="9" t="s">
        <v>49</v>
      </c>
      <c r="W449" s="9" t="s">
        <v>49</v>
      </c>
      <c r="X449" s="8"/>
      <c r="Y449" s="8"/>
      <c r="Z449" s="12"/>
      <c r="AA449" s="8"/>
      <c r="AB449" s="12"/>
      <c r="AC449" s="8"/>
      <c r="AD449" s="12"/>
      <c r="AE449" s="12"/>
      <c r="AF449" s="8"/>
      <c r="AG449" s="12"/>
      <c r="AH449" s="7" t="s">
        <v>51</v>
      </c>
      <c r="AI449" s="6" t="s">
        <v>71</v>
      </c>
      <c r="AJ449" s="6" t="s">
        <v>49</v>
      </c>
      <c r="AK449" s="6" t="s">
        <v>118</v>
      </c>
      <c r="AL449" s="9" t="s">
        <v>119</v>
      </c>
      <c r="AM449" s="9" t="s">
        <v>49</v>
      </c>
      <c r="AN449" s="6" t="s">
        <v>96</v>
      </c>
      <c r="AO449" s="9" t="s">
        <v>49</v>
      </c>
      <c r="AP449" s="11">
        <v>7248.8885899999996</v>
      </c>
      <c r="AQ449" s="11">
        <v>0</v>
      </c>
      <c r="AR449" s="11">
        <v>0</v>
      </c>
      <c r="AS449" s="11">
        <v>41681.266040000002</v>
      </c>
      <c r="AT449" s="11">
        <v>50825.983</v>
      </c>
      <c r="AU449" s="11">
        <v>0</v>
      </c>
      <c r="AV449" s="11">
        <v>0</v>
      </c>
      <c r="BA449" s="56"/>
    </row>
    <row r="450" spans="1:53" customFormat="1" ht="14.5" hidden="1">
      <c r="A450" s="6">
        <v>451</v>
      </c>
      <c r="B450" s="7" t="s">
        <v>916</v>
      </c>
      <c r="C450" s="7" t="s">
        <v>569</v>
      </c>
      <c r="D450" s="6">
        <v>12490</v>
      </c>
      <c r="E450" s="6" t="s">
        <v>917</v>
      </c>
      <c r="F450" s="6">
        <v>83435</v>
      </c>
      <c r="G450" s="8"/>
      <c r="H450" s="7" t="s">
        <v>49</v>
      </c>
      <c r="I450" s="7"/>
      <c r="J450" s="6" t="s">
        <v>49</v>
      </c>
      <c r="K450" s="9" t="s">
        <v>49</v>
      </c>
      <c r="L450" s="9" t="s">
        <v>49</v>
      </c>
      <c r="M450" s="8"/>
      <c r="N450" s="10">
        <v>42919</v>
      </c>
      <c r="O450" s="12"/>
      <c r="P450" s="9" t="s">
        <v>49</v>
      </c>
      <c r="Q450" s="9" t="s">
        <v>49</v>
      </c>
      <c r="R450" s="8"/>
      <c r="S450" s="8"/>
      <c r="T450" s="8"/>
      <c r="U450" s="8"/>
      <c r="V450" s="9" t="s">
        <v>49</v>
      </c>
      <c r="W450" s="9" t="s">
        <v>49</v>
      </c>
      <c r="X450" s="8"/>
      <c r="Y450" s="8"/>
      <c r="Z450" s="8"/>
      <c r="AA450" s="8"/>
      <c r="AB450" s="8"/>
      <c r="AC450" s="8"/>
      <c r="AD450" s="8"/>
      <c r="AE450" s="8"/>
      <c r="AF450" s="8"/>
      <c r="AG450" s="8"/>
      <c r="AH450" s="7" t="s">
        <v>51</v>
      </c>
      <c r="AI450" s="6" t="s">
        <v>49</v>
      </c>
      <c r="AJ450" s="6" t="s">
        <v>49</v>
      </c>
      <c r="AK450" s="6" t="s">
        <v>49</v>
      </c>
      <c r="AL450" s="9" t="s">
        <v>49</v>
      </c>
      <c r="AM450" s="9" t="s">
        <v>122</v>
      </c>
      <c r="AN450" s="6" t="s">
        <v>49</v>
      </c>
      <c r="AO450" s="9" t="s">
        <v>122</v>
      </c>
      <c r="AP450" s="11">
        <v>30.058490000000003</v>
      </c>
      <c r="AQ450" s="11">
        <v>29818.880000000001</v>
      </c>
      <c r="AR450" s="11">
        <v>29818.874583333338</v>
      </c>
      <c r="AS450" s="11">
        <v>526.40654000000006</v>
      </c>
      <c r="AT450" s="11">
        <v>30.058</v>
      </c>
      <c r="AU450" s="11">
        <v>160</v>
      </c>
      <c r="AV450" s="11" t="s">
        <v>57</v>
      </c>
      <c r="AW450" t="s">
        <v>306</v>
      </c>
      <c r="BA450" s="56"/>
    </row>
    <row r="451" spans="1:53" ht="13.5" customHeight="1">
      <c r="A451" s="65">
        <v>103</v>
      </c>
      <c r="B451" s="52" t="s">
        <v>301</v>
      </c>
      <c r="C451" s="66" t="s">
        <v>131</v>
      </c>
      <c r="D451" s="38">
        <v>12539</v>
      </c>
      <c r="E451" s="32" t="s">
        <v>302</v>
      </c>
      <c r="F451" s="38">
        <v>79779</v>
      </c>
      <c r="G451" s="8"/>
      <c r="H451" s="66" t="s">
        <v>88</v>
      </c>
      <c r="I451" s="52" t="s">
        <v>217</v>
      </c>
      <c r="J451" s="65" t="s">
        <v>75</v>
      </c>
      <c r="K451" s="70" t="s">
        <v>76</v>
      </c>
      <c r="L451" s="71" t="s">
        <v>73</v>
      </c>
      <c r="M451" s="73">
        <v>664</v>
      </c>
      <c r="N451" s="75">
        <v>42926</v>
      </c>
      <c r="O451" s="75">
        <v>44377</v>
      </c>
      <c r="P451" s="71" t="s">
        <v>303</v>
      </c>
      <c r="Q451" s="71" t="s">
        <v>304</v>
      </c>
      <c r="R451" s="65">
        <v>2.37</v>
      </c>
      <c r="S451" s="65">
        <v>3.7</v>
      </c>
      <c r="T451" s="38">
        <v>5.4</v>
      </c>
      <c r="U451" s="65">
        <v>1.6</v>
      </c>
      <c r="V451" s="70" t="s">
        <v>305</v>
      </c>
      <c r="W451" s="71" t="s">
        <v>132</v>
      </c>
      <c r="X451" s="8"/>
      <c r="Y451" s="8"/>
      <c r="Z451" s="38">
        <v>0.66400000000000003</v>
      </c>
      <c r="AA451" s="8"/>
      <c r="AB451" s="38">
        <v>0.66400000000000003</v>
      </c>
      <c r="AC451" s="8"/>
      <c r="AD451" s="38">
        <v>0.66400000000000003</v>
      </c>
      <c r="AE451" s="38">
        <v>0.63100000000000001</v>
      </c>
      <c r="AF451" s="8"/>
      <c r="AG451" s="38">
        <v>0.63100000000000001</v>
      </c>
      <c r="AH451" s="7" t="s">
        <v>51</v>
      </c>
      <c r="AI451" s="38" t="s">
        <v>49</v>
      </c>
      <c r="AJ451" s="38" t="s">
        <v>49</v>
      </c>
      <c r="AK451" s="38" t="s">
        <v>49</v>
      </c>
      <c r="AL451" s="71" t="s">
        <v>49</v>
      </c>
      <c r="AM451" s="71" t="s">
        <v>134</v>
      </c>
      <c r="AN451" s="38" t="s">
        <v>218</v>
      </c>
      <c r="AO451" s="71" t="s">
        <v>134</v>
      </c>
      <c r="AP451" s="11">
        <v>81.068910000000002</v>
      </c>
      <c r="AQ451" s="11">
        <v>123525.68</v>
      </c>
      <c r="AR451" s="11">
        <v>123525.66541666667</v>
      </c>
      <c r="AS451" s="11">
        <v>1442.75908</v>
      </c>
      <c r="AT451" s="11">
        <v>1990.52568</v>
      </c>
      <c r="AU451" s="11">
        <v>630</v>
      </c>
      <c r="AV451" s="11" t="s">
        <v>51</v>
      </c>
      <c r="AW451" t="s">
        <v>306</v>
      </c>
      <c r="AX451" s="58" t="s">
        <v>935</v>
      </c>
    </row>
    <row r="452" spans="1:53" customFormat="1" ht="15.5" hidden="1">
      <c r="A452" s="30"/>
      <c r="B452" s="34" t="s">
        <v>919</v>
      </c>
      <c r="C452" s="35" t="s">
        <v>131</v>
      </c>
      <c r="D452" s="30" t="s">
        <v>104</v>
      </c>
      <c r="E452" s="32" t="s">
        <v>104</v>
      </c>
      <c r="H452" s="30"/>
      <c r="I452" s="30"/>
      <c r="J452" s="30"/>
      <c r="K452" s="30"/>
      <c r="L452" s="30"/>
      <c r="O452" s="30"/>
      <c r="P452" s="30"/>
      <c r="Q452" s="30"/>
      <c r="V452" s="30"/>
      <c r="W452" s="30"/>
      <c r="AH452" s="30"/>
      <c r="AI452" s="30"/>
      <c r="AJ452" s="30"/>
      <c r="AK452" s="30"/>
      <c r="AL452" s="30"/>
      <c r="AM452" s="30"/>
      <c r="AN452" s="30"/>
      <c r="AO452" s="30"/>
      <c r="AP452">
        <v>0</v>
      </c>
      <c r="AQ452" s="11">
        <v>0</v>
      </c>
      <c r="AR452" s="11">
        <v>0</v>
      </c>
      <c r="AS452">
        <v>0</v>
      </c>
      <c r="AT452">
        <v>500</v>
      </c>
      <c r="AV452" s="11">
        <v>0</v>
      </c>
    </row>
    <row r="453" spans="1:53" customFormat="1" ht="14.5" hidden="1">
      <c r="A453" s="30"/>
      <c r="B453" s="36" t="s">
        <v>920</v>
      </c>
      <c r="C453" s="35" t="s">
        <v>86</v>
      </c>
      <c r="D453" s="30" t="s">
        <v>104</v>
      </c>
      <c r="E453" s="32" t="s">
        <v>104</v>
      </c>
      <c r="H453" s="30"/>
      <c r="I453" s="30"/>
      <c r="J453" s="30"/>
      <c r="K453" s="30"/>
      <c r="L453" s="30"/>
      <c r="O453" s="30"/>
      <c r="P453" s="30"/>
      <c r="Q453" s="30"/>
      <c r="V453" s="30"/>
      <c r="W453" s="30"/>
      <c r="AH453" s="30"/>
      <c r="AI453" s="30"/>
      <c r="AJ453" s="30"/>
      <c r="AK453" s="30"/>
      <c r="AL453" s="30"/>
      <c r="AM453" s="30"/>
      <c r="AN453" s="30"/>
      <c r="AO453" s="30"/>
      <c r="AP453">
        <v>0</v>
      </c>
      <c r="AQ453" s="11">
        <v>0</v>
      </c>
      <c r="AR453" s="11">
        <v>0</v>
      </c>
      <c r="AS453">
        <v>0</v>
      </c>
      <c r="AT453">
        <v>400</v>
      </c>
      <c r="AU453" s="11"/>
      <c r="AV453" s="11">
        <v>0</v>
      </c>
    </row>
    <row r="454" spans="1:53" customFormat="1" ht="14.5" hidden="1">
      <c r="A454" s="30"/>
      <c r="B454" s="36" t="s">
        <v>921</v>
      </c>
      <c r="C454" s="35" t="s">
        <v>131</v>
      </c>
      <c r="D454" s="30" t="s">
        <v>104</v>
      </c>
      <c r="E454" s="32" t="s">
        <v>104</v>
      </c>
      <c r="H454" s="30"/>
      <c r="I454" s="30"/>
      <c r="J454" s="30"/>
      <c r="K454" s="30"/>
      <c r="L454" s="30"/>
      <c r="N454" s="30"/>
      <c r="O454" s="30"/>
      <c r="P454" s="30"/>
      <c r="Q454" s="30"/>
      <c r="V454" s="30"/>
      <c r="W454" s="30"/>
      <c r="AH454" s="30"/>
      <c r="AI454" s="30"/>
      <c r="AJ454" s="30"/>
      <c r="AK454" s="30"/>
      <c r="AL454" s="30"/>
      <c r="AM454" s="30"/>
      <c r="AN454" s="30"/>
      <c r="AO454" s="30"/>
      <c r="AP454">
        <v>0</v>
      </c>
      <c r="AQ454" s="11">
        <v>0</v>
      </c>
      <c r="AR454" s="11">
        <v>0</v>
      </c>
      <c r="AS454">
        <v>0</v>
      </c>
      <c r="AT454">
        <v>300</v>
      </c>
      <c r="AV454" s="11">
        <v>0</v>
      </c>
    </row>
    <row r="455" spans="1:53" customFormat="1" ht="14.5" hidden="1">
      <c r="A455" s="30"/>
      <c r="B455" s="36" t="s">
        <v>922</v>
      </c>
      <c r="C455" s="35" t="s">
        <v>131</v>
      </c>
      <c r="D455" s="30" t="s">
        <v>104</v>
      </c>
      <c r="E455" s="32" t="s">
        <v>104</v>
      </c>
      <c r="H455" s="30"/>
      <c r="I455" s="30"/>
      <c r="J455" s="30"/>
      <c r="K455" s="30"/>
      <c r="L455" s="30"/>
      <c r="N455" s="30"/>
      <c r="O455" s="30"/>
      <c r="P455" s="30"/>
      <c r="Q455" s="30"/>
      <c r="V455" s="30"/>
      <c r="W455" s="30"/>
      <c r="AH455" s="30"/>
      <c r="AI455" s="30"/>
      <c r="AJ455" s="30"/>
      <c r="AK455" s="30"/>
      <c r="AL455" s="30"/>
      <c r="AM455" s="30"/>
      <c r="AN455" s="30"/>
      <c r="AO455" s="30"/>
      <c r="AP455">
        <v>0</v>
      </c>
      <c r="AQ455" s="11">
        <v>0</v>
      </c>
      <c r="AR455" s="11">
        <v>0</v>
      </c>
      <c r="AS455">
        <v>0</v>
      </c>
      <c r="AT455">
        <v>300</v>
      </c>
      <c r="AV455" s="11">
        <v>0</v>
      </c>
    </row>
    <row r="456" spans="1:53" ht="13.5" customHeight="1">
      <c r="A456" s="65">
        <v>194</v>
      </c>
      <c r="B456" s="54" t="s">
        <v>474</v>
      </c>
      <c r="C456" s="55" t="s">
        <v>131</v>
      </c>
      <c r="D456" s="38">
        <v>12528</v>
      </c>
      <c r="E456" s="32" t="s">
        <v>475</v>
      </c>
      <c r="F456" s="38">
        <v>84645</v>
      </c>
      <c r="G456" s="8"/>
      <c r="H456" s="66" t="s">
        <v>88</v>
      </c>
      <c r="I456" s="52" t="s">
        <v>217</v>
      </c>
      <c r="J456" s="65" t="s">
        <v>75</v>
      </c>
      <c r="K456" s="70" t="s">
        <v>89</v>
      </c>
      <c r="L456" s="71" t="s">
        <v>73</v>
      </c>
      <c r="M456" s="38"/>
      <c r="N456" s="75">
        <v>43497</v>
      </c>
      <c r="O456" s="75">
        <v>43843</v>
      </c>
      <c r="P456" s="71" t="s">
        <v>472</v>
      </c>
      <c r="Q456" s="71" t="s">
        <v>476</v>
      </c>
      <c r="R456" s="65">
        <v>2.08</v>
      </c>
      <c r="S456" s="65">
        <v>5.2</v>
      </c>
      <c r="T456" s="38">
        <v>27.9</v>
      </c>
      <c r="U456" s="65">
        <v>6</v>
      </c>
      <c r="V456" s="70" t="s">
        <v>477</v>
      </c>
      <c r="W456" s="71" t="s">
        <v>132</v>
      </c>
      <c r="X456" s="8"/>
      <c r="Y456" s="8"/>
      <c r="Z456" s="38">
        <v>1.9359999999999999</v>
      </c>
      <c r="AA456" s="8"/>
      <c r="AB456" s="38">
        <v>1.9359999999999999</v>
      </c>
      <c r="AC456" s="38">
        <v>2.7</v>
      </c>
      <c r="AD456" s="38">
        <v>4.6360000000000001</v>
      </c>
      <c r="AE456" s="38">
        <v>1.839</v>
      </c>
      <c r="AF456" s="8"/>
      <c r="AG456" s="38">
        <v>1.839</v>
      </c>
      <c r="AH456" s="79" t="s">
        <v>57</v>
      </c>
      <c r="AI456" s="38" t="s">
        <v>49</v>
      </c>
      <c r="AJ456" s="38" t="s">
        <v>49</v>
      </c>
      <c r="AK456" s="38" t="s">
        <v>49</v>
      </c>
      <c r="AL456" s="71" t="s">
        <v>49</v>
      </c>
      <c r="AM456" s="71" t="s">
        <v>134</v>
      </c>
      <c r="AN456" s="38" t="s">
        <v>49</v>
      </c>
      <c r="AO456" s="71" t="s">
        <v>134</v>
      </c>
      <c r="AP456" s="11">
        <v>0</v>
      </c>
      <c r="AQ456" s="11">
        <v>0</v>
      </c>
      <c r="AR456" s="11">
        <v>0</v>
      </c>
      <c r="AS456" s="11">
        <v>0</v>
      </c>
      <c r="AT456" s="11">
        <v>0</v>
      </c>
      <c r="AU456" s="11">
        <v>0</v>
      </c>
      <c r="AV456" s="11" t="s">
        <v>57</v>
      </c>
      <c r="AX456" s="58" t="s">
        <v>936</v>
      </c>
    </row>
    <row r="457" spans="1:53" customFormat="1" ht="14.5" hidden="1">
      <c r="A457" s="30"/>
      <c r="B457" s="36" t="s">
        <v>925</v>
      </c>
      <c r="C457" s="30"/>
      <c r="D457" s="30"/>
      <c r="E457" s="30"/>
      <c r="H457" s="30"/>
      <c r="I457" s="30"/>
      <c r="J457" s="30"/>
      <c r="K457" s="30"/>
      <c r="L457" s="30"/>
      <c r="N457" s="30"/>
      <c r="O457" s="30"/>
      <c r="P457" s="30"/>
      <c r="Q457" s="30"/>
      <c r="V457" s="30"/>
      <c r="W457" s="30"/>
      <c r="AH457" s="30"/>
      <c r="AI457" s="30"/>
      <c r="AJ457" s="30"/>
      <c r="AK457" s="30"/>
      <c r="AL457" s="30"/>
      <c r="AM457" s="30"/>
      <c r="AN457" s="30"/>
      <c r="AO457" s="30"/>
      <c r="AQ457" s="11">
        <v>0</v>
      </c>
      <c r="AR457" s="11">
        <v>0</v>
      </c>
      <c r="AV457" s="11">
        <v>0</v>
      </c>
    </row>
    <row r="458" spans="1:53" ht="13.5" customHeight="1">
      <c r="A458" s="51"/>
      <c r="B458" s="54" t="s">
        <v>923</v>
      </c>
      <c r="C458" s="55" t="s">
        <v>292</v>
      </c>
      <c r="D458" s="30" t="s">
        <v>104</v>
      </c>
      <c r="E458" s="38" t="s">
        <v>104</v>
      </c>
      <c r="H458" s="51" t="s">
        <v>88</v>
      </c>
      <c r="I458" s="66" t="s">
        <v>924</v>
      </c>
      <c r="J458" s="51"/>
      <c r="K458" s="51"/>
      <c r="L458" s="30"/>
      <c r="N458" s="30"/>
      <c r="O458" s="30"/>
      <c r="P458" s="30"/>
      <c r="Q458" s="30"/>
      <c r="R458" s="45">
        <v>1.48</v>
      </c>
      <c r="S458" s="45">
        <v>43.9</v>
      </c>
      <c r="T458">
        <v>61.9</v>
      </c>
      <c r="U458" s="63">
        <f>S458/R458</f>
        <v>29.662162162162161</v>
      </c>
      <c r="V458" s="53">
        <v>0.05</v>
      </c>
      <c r="W458" s="30" t="s">
        <v>199</v>
      </c>
      <c r="X458" t="s">
        <v>199</v>
      </c>
      <c r="AH458" s="30"/>
      <c r="AI458" s="30"/>
      <c r="AJ458" s="30"/>
      <c r="AK458" s="30"/>
      <c r="AL458" s="30"/>
      <c r="AM458" s="30"/>
      <c r="AN458" s="30"/>
      <c r="AO458" s="30"/>
      <c r="AP458">
        <v>0</v>
      </c>
      <c r="AQ458" s="11">
        <v>0</v>
      </c>
      <c r="AR458" s="11">
        <v>0</v>
      </c>
      <c r="AS458">
        <v>0</v>
      </c>
      <c r="AT458">
        <v>200</v>
      </c>
      <c r="AV458" s="11">
        <v>0</v>
      </c>
      <c r="AX458" s="61" t="s">
        <v>923</v>
      </c>
    </row>
    <row r="459" spans="1:53" customFormat="1" ht="14.5" hidden="1">
      <c r="B459" s="36" t="s">
        <v>927</v>
      </c>
      <c r="C459" s="35" t="s">
        <v>292</v>
      </c>
      <c r="D459" s="37" t="s">
        <v>104</v>
      </c>
      <c r="E459" s="38" t="s">
        <v>104</v>
      </c>
      <c r="AR459" s="11">
        <v>0</v>
      </c>
    </row>
    <row r="460" spans="1:53" ht="13.5" customHeight="1">
      <c r="A460" s="65">
        <v>159</v>
      </c>
      <c r="B460" s="54" t="s">
        <v>401</v>
      </c>
      <c r="C460" s="55" t="s">
        <v>131</v>
      </c>
      <c r="D460" s="38">
        <v>15070</v>
      </c>
      <c r="E460" s="38" t="s">
        <v>402</v>
      </c>
      <c r="F460" s="38">
        <v>71317</v>
      </c>
      <c r="G460" s="8"/>
      <c r="H460" s="66" t="s">
        <v>88</v>
      </c>
      <c r="I460" s="66" t="s">
        <v>217</v>
      </c>
      <c r="J460" s="65" t="s">
        <v>75</v>
      </c>
      <c r="K460" s="70" t="s">
        <v>76</v>
      </c>
      <c r="L460" s="71" t="s">
        <v>73</v>
      </c>
      <c r="M460" s="8"/>
      <c r="N460" s="75">
        <v>42933</v>
      </c>
      <c r="O460" s="75">
        <v>44196</v>
      </c>
      <c r="P460" s="71" t="s">
        <v>403</v>
      </c>
      <c r="Q460" s="71" t="s">
        <v>404</v>
      </c>
      <c r="R460" s="65">
        <v>1.26</v>
      </c>
      <c r="S460" s="65">
        <v>5.2</v>
      </c>
      <c r="T460" s="38">
        <v>19.399999999999999</v>
      </c>
      <c r="U460" s="65">
        <v>9.8000000000000007</v>
      </c>
      <c r="V460" s="70" t="s">
        <v>234</v>
      </c>
      <c r="W460" s="71" t="s">
        <v>132</v>
      </c>
      <c r="X460" s="8"/>
      <c r="Y460" s="8"/>
      <c r="Z460" s="38">
        <v>1.5680000000000001</v>
      </c>
      <c r="AA460" s="8"/>
      <c r="AB460" s="38">
        <v>1.5680000000000001</v>
      </c>
      <c r="AC460" s="8"/>
      <c r="AD460" s="38">
        <v>1.5680000000000001</v>
      </c>
      <c r="AE460" s="38">
        <v>0.23699999999999999</v>
      </c>
      <c r="AF460" s="8"/>
      <c r="AG460" s="38">
        <v>0.23699999999999999</v>
      </c>
      <c r="AH460" s="79" t="s">
        <v>51</v>
      </c>
      <c r="AI460" s="38" t="s">
        <v>49</v>
      </c>
      <c r="AJ460" s="38" t="s">
        <v>49</v>
      </c>
      <c r="AK460" s="38" t="s">
        <v>49</v>
      </c>
      <c r="AL460" s="71" t="s">
        <v>49</v>
      </c>
      <c r="AM460" s="71" t="s">
        <v>134</v>
      </c>
      <c r="AN460" s="38" t="s">
        <v>49</v>
      </c>
      <c r="AO460" s="71" t="s">
        <v>320</v>
      </c>
      <c r="AP460" s="11">
        <v>0</v>
      </c>
      <c r="AQ460" s="11">
        <v>0</v>
      </c>
      <c r="AR460" s="11">
        <v>0</v>
      </c>
      <c r="AS460" s="11">
        <v>0</v>
      </c>
      <c r="AT460" s="11">
        <v>0</v>
      </c>
      <c r="AU460" s="11">
        <v>0</v>
      </c>
      <c r="AV460" s="11" t="s">
        <v>51</v>
      </c>
      <c r="AX460" s="58" t="s">
        <v>401</v>
      </c>
    </row>
    <row r="461" spans="1:53" ht="13.5" customHeight="1">
      <c r="A461" s="65">
        <v>57</v>
      </c>
      <c r="B461" s="54" t="s">
        <v>194</v>
      </c>
      <c r="C461" s="55" t="s">
        <v>81</v>
      </c>
      <c r="D461" s="38">
        <v>15376</v>
      </c>
      <c r="E461" s="38" t="s">
        <v>195</v>
      </c>
      <c r="F461" s="38">
        <v>83348</v>
      </c>
      <c r="G461" s="8"/>
      <c r="H461" s="66" t="s">
        <v>88</v>
      </c>
      <c r="I461" s="66" t="s">
        <v>147</v>
      </c>
      <c r="J461" s="65" t="s">
        <v>196</v>
      </c>
      <c r="K461" s="70" t="s">
        <v>76</v>
      </c>
      <c r="L461" s="71" t="s">
        <v>73</v>
      </c>
      <c r="M461" s="72">
        <v>2125</v>
      </c>
      <c r="N461" s="75">
        <v>43280</v>
      </c>
      <c r="O461" s="75">
        <v>44104</v>
      </c>
      <c r="P461" s="71" t="s">
        <v>194</v>
      </c>
      <c r="Q461" s="71" t="s">
        <v>197</v>
      </c>
      <c r="R461" s="65">
        <v>0.37</v>
      </c>
      <c r="S461" s="65">
        <v>3.9</v>
      </c>
      <c r="T461" s="38">
        <v>130.30000000000001</v>
      </c>
      <c r="U461" s="65">
        <v>10.4</v>
      </c>
      <c r="V461" s="70" t="s">
        <v>198</v>
      </c>
      <c r="W461" s="71" t="s">
        <v>199</v>
      </c>
      <c r="X461" s="8"/>
      <c r="Y461" s="8"/>
      <c r="Z461" s="38">
        <v>2.125</v>
      </c>
      <c r="AA461" s="8"/>
      <c r="AB461" s="38">
        <v>2.125</v>
      </c>
      <c r="AC461" s="8"/>
      <c r="AD461" s="38">
        <v>2.125</v>
      </c>
      <c r="AE461" s="38">
        <v>1.7</v>
      </c>
      <c r="AF461" s="8"/>
      <c r="AG461" s="38">
        <v>1.7</v>
      </c>
      <c r="AH461" s="79" t="s">
        <v>51</v>
      </c>
      <c r="AI461" s="38" t="s">
        <v>49</v>
      </c>
      <c r="AJ461" s="38" t="s">
        <v>49</v>
      </c>
      <c r="AK461" s="38" t="s">
        <v>49</v>
      </c>
      <c r="AL461" s="71" t="s">
        <v>49</v>
      </c>
      <c r="AM461" s="71" t="s">
        <v>200</v>
      </c>
      <c r="AN461" s="38" t="s">
        <v>73</v>
      </c>
      <c r="AO461" s="71" t="s">
        <v>201</v>
      </c>
      <c r="AP461" s="11">
        <v>-0.48375999999999997</v>
      </c>
      <c r="AQ461" s="11">
        <v>-483.76</v>
      </c>
      <c r="AR461" s="11">
        <v>-483.76</v>
      </c>
      <c r="AS461" s="11">
        <v>2141.6038900000003</v>
      </c>
      <c r="AT461" s="11">
        <v>2124.5162400000004</v>
      </c>
      <c r="AU461" s="11">
        <v>0</v>
      </c>
      <c r="AV461" s="11" t="s">
        <v>51</v>
      </c>
      <c r="AX461" s="58" t="s">
        <v>937</v>
      </c>
    </row>
    <row r="462" spans="1:53" customFormat="1" hidden="1">
      <c r="AR462" s="11">
        <v>0</v>
      </c>
    </row>
  </sheetData>
  <autoFilter ref="A1:AW462">
    <filterColumn colId="1">
      <filters>
        <filter val="Artemis"/>
        <filter val="Avatar"/>
        <filter val="Calypso (Verily) - Screening Studies"/>
        <filter val="Data42"/>
        <filter val="DDO001B (FocalView)"/>
        <filter val="DHP"/>
        <filter val="Digital Endpoints"/>
        <filter val="Digital Plant - Umbrella"/>
        <filter val="EPIC Scope-Seek"/>
        <filter val="eSAPIENS II"/>
        <filter val="GDLIMS"/>
        <filter val="GEMS"/>
        <filter val="iCS S&amp;L building the future"/>
        <filter val="Nerve Live Wave 4"/>
        <filter val="Novartis Digital Recruitment"/>
        <filter val="PCRT"/>
        <filter val="PhysIQ"/>
        <filter val="PIN MVP"/>
        <filter val="PSUR Automation"/>
        <filter val="RA Knowledge Management"/>
        <filter val="Safety Strategy Planning Tool (SSPT)"/>
        <filter val="STRIDE NovaRIM"/>
        <filter val="TRD Digital Labs Initiative"/>
        <filter val="TriNetX Data-driven Protocol"/>
        <filter val="Umbrella Oxford BDI"/>
        <filter val="UNR app"/>
      </filters>
    </filterColumn>
    <filterColumn colId="7">
      <filters>
        <filter val="Value Creation"/>
      </filters>
    </filterColumn>
    <filterColumn colId="18">
      <customFilters>
        <customFilter operator="notEqual" val=" "/>
      </customFilters>
    </filterColumn>
  </autoFilter>
  <sortState ref="A35:AX461">
    <sortCondition descending="1" ref="R35"/>
  </sortState>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F27"/>
  <sheetViews>
    <sheetView showGridLines="0" topLeftCell="A4" workbookViewId="0">
      <selection activeCell="J20" sqref="J20"/>
    </sheetView>
  </sheetViews>
  <sheetFormatPr defaultRowHeight="12.5"/>
  <cols>
    <col min="2" max="2" width="17.453125" customWidth="1"/>
    <col min="3" max="3" width="2.54296875" bestFit="1" customWidth="1"/>
  </cols>
  <sheetData>
    <row r="2" spans="2:6" ht="42.65" customHeight="1">
      <c r="B2" s="259" t="s">
        <v>938</v>
      </c>
      <c r="C2" s="251">
        <v>3</v>
      </c>
      <c r="D2" s="216" t="s">
        <v>939</v>
      </c>
      <c r="E2" s="217" t="s">
        <v>940</v>
      </c>
      <c r="F2" s="217" t="s">
        <v>941</v>
      </c>
    </row>
    <row r="3" spans="2:6" ht="27.65" customHeight="1">
      <c r="B3" s="259"/>
      <c r="C3" s="251">
        <v>2</v>
      </c>
      <c r="D3" s="218" t="s">
        <v>942</v>
      </c>
      <c r="E3" s="216" t="s">
        <v>943</v>
      </c>
      <c r="F3" s="217" t="s">
        <v>944</v>
      </c>
    </row>
    <row r="4" spans="2:6" ht="24" customHeight="1">
      <c r="B4" s="259"/>
      <c r="C4" s="251">
        <v>1</v>
      </c>
      <c r="D4" s="218" t="s">
        <v>945</v>
      </c>
      <c r="E4" s="218" t="s">
        <v>946</v>
      </c>
      <c r="F4" s="216" t="s">
        <v>947</v>
      </c>
    </row>
    <row r="5" spans="2:6" ht="12.9" customHeight="1">
      <c r="B5" s="251"/>
      <c r="C5" s="251"/>
      <c r="D5" s="215">
        <v>1</v>
      </c>
      <c r="E5" s="215">
        <v>2</v>
      </c>
      <c r="F5" s="215">
        <v>3</v>
      </c>
    </row>
    <row r="6" spans="2:6">
      <c r="B6" s="160"/>
      <c r="C6" s="160"/>
      <c r="D6" s="262" t="s">
        <v>948</v>
      </c>
      <c r="E6" s="262"/>
      <c r="F6" s="262"/>
    </row>
    <row r="7" spans="2:6">
      <c r="B7" s="160"/>
      <c r="C7" s="160"/>
      <c r="D7" s="219"/>
      <c r="E7" s="219"/>
      <c r="F7" s="219"/>
    </row>
    <row r="8" spans="2:6" ht="13" thickBot="1">
      <c r="B8" s="94" t="s">
        <v>949</v>
      </c>
      <c r="C8" s="94"/>
      <c r="D8" s="220" t="s">
        <v>950</v>
      </c>
      <c r="E8" s="220" t="s">
        <v>951</v>
      </c>
      <c r="F8" s="220" t="s">
        <v>952</v>
      </c>
    </row>
    <row r="9" spans="2:6" ht="13" thickBot="1">
      <c r="B9" s="260" t="s">
        <v>953</v>
      </c>
      <c r="C9" s="252"/>
      <c r="D9" s="221" t="s">
        <v>954</v>
      </c>
      <c r="E9" s="222">
        <v>0.6</v>
      </c>
      <c r="F9" s="221">
        <v>3</v>
      </c>
    </row>
    <row r="10" spans="2:6" ht="13" thickBot="1">
      <c r="B10" s="261"/>
      <c r="C10" s="253"/>
      <c r="D10" s="221" t="s">
        <v>954</v>
      </c>
      <c r="E10" s="222">
        <v>0.25</v>
      </c>
      <c r="F10" s="221">
        <v>2</v>
      </c>
    </row>
    <row r="11" spans="2:6" ht="13" thickBot="1">
      <c r="B11" s="261"/>
      <c r="C11" s="253"/>
      <c r="D11" s="221" t="s">
        <v>955</v>
      </c>
      <c r="E11" s="222">
        <v>0.25</v>
      </c>
      <c r="F11" s="221">
        <v>1</v>
      </c>
    </row>
    <row r="12" spans="2:6">
      <c r="D12" s="223"/>
      <c r="E12" s="223"/>
      <c r="F12" s="223"/>
    </row>
    <row r="13" spans="2:6" ht="21.5" thickBot="1">
      <c r="B13" s="94" t="s">
        <v>956</v>
      </c>
      <c r="C13" s="94"/>
      <c r="D13" s="220" t="s">
        <v>950</v>
      </c>
      <c r="E13" s="220" t="s">
        <v>951</v>
      </c>
      <c r="F13" s="220" t="s">
        <v>952</v>
      </c>
    </row>
    <row r="14" spans="2:6" ht="13" thickBot="1">
      <c r="B14" s="260" t="s">
        <v>953</v>
      </c>
      <c r="C14" s="252"/>
      <c r="D14" s="221" t="s">
        <v>954</v>
      </c>
      <c r="E14" s="221">
        <v>10</v>
      </c>
      <c r="F14" s="221">
        <v>3</v>
      </c>
    </row>
    <row r="15" spans="2:6" ht="13" thickBot="1">
      <c r="B15" s="261"/>
      <c r="C15" s="253"/>
      <c r="D15" s="221" t="s">
        <v>954</v>
      </c>
      <c r="E15" s="221">
        <v>5</v>
      </c>
      <c r="F15" s="221">
        <v>2</v>
      </c>
    </row>
    <row r="16" spans="2:6" ht="13" thickBot="1">
      <c r="B16" s="261"/>
      <c r="C16" s="253"/>
      <c r="D16" s="221" t="s">
        <v>955</v>
      </c>
      <c r="E16" s="221">
        <v>5</v>
      </c>
      <c r="F16" s="221">
        <v>1</v>
      </c>
    </row>
    <row r="17" spans="2:6">
      <c r="B17" s="225" t="s">
        <v>957</v>
      </c>
      <c r="D17" s="223"/>
      <c r="E17" s="223"/>
      <c r="F17" s="223"/>
    </row>
    <row r="18" spans="2:6">
      <c r="D18" s="223"/>
      <c r="E18" s="223"/>
      <c r="F18" s="223"/>
    </row>
    <row r="19" spans="2:6" ht="13" thickBot="1">
      <c r="B19" s="176" t="s">
        <v>958</v>
      </c>
      <c r="C19" s="94"/>
      <c r="D19" s="220" t="s">
        <v>950</v>
      </c>
      <c r="E19" s="220" t="s">
        <v>951</v>
      </c>
      <c r="F19" s="220" t="s">
        <v>952</v>
      </c>
    </row>
    <row r="20" spans="2:6" ht="13" thickBot="1">
      <c r="B20" s="260" t="s">
        <v>953</v>
      </c>
      <c r="C20" s="252"/>
      <c r="D20" s="221" t="s">
        <v>954</v>
      </c>
      <c r="E20" s="221">
        <v>100</v>
      </c>
      <c r="F20" s="221">
        <v>3</v>
      </c>
    </row>
    <row r="21" spans="2:6" ht="13" thickBot="1">
      <c r="B21" s="261"/>
      <c r="C21" s="253"/>
      <c r="D21" s="221" t="s">
        <v>954</v>
      </c>
      <c r="E21" s="221">
        <v>5</v>
      </c>
      <c r="F21" s="221">
        <v>2</v>
      </c>
    </row>
    <row r="22" spans="2:6" ht="13" thickBot="1">
      <c r="B22" s="261"/>
      <c r="C22" s="253"/>
      <c r="D22" s="221" t="s">
        <v>955</v>
      </c>
      <c r="E22" s="221">
        <v>5</v>
      </c>
      <c r="F22" s="221">
        <v>1</v>
      </c>
    </row>
    <row r="23" spans="2:6">
      <c r="D23" s="223"/>
      <c r="E23" s="223"/>
      <c r="F23" s="223"/>
    </row>
    <row r="24" spans="2:6" ht="13" thickBot="1">
      <c r="B24" s="176" t="s">
        <v>959</v>
      </c>
      <c r="C24" s="94"/>
      <c r="D24" s="224" t="s">
        <v>950</v>
      </c>
      <c r="E24" s="224" t="s">
        <v>951</v>
      </c>
      <c r="F24" s="224" t="s">
        <v>952</v>
      </c>
    </row>
    <row r="25" spans="2:6" ht="13" thickBot="1">
      <c r="B25" s="260" t="s">
        <v>953</v>
      </c>
      <c r="C25" s="252"/>
      <c r="D25" s="221" t="s">
        <v>954</v>
      </c>
      <c r="E25" s="221">
        <v>15</v>
      </c>
      <c r="F25" s="221">
        <v>3</v>
      </c>
    </row>
    <row r="26" spans="2:6" ht="13" thickBot="1">
      <c r="B26" s="261"/>
      <c r="C26" s="253"/>
      <c r="D26" s="221" t="s">
        <v>954</v>
      </c>
      <c r="E26" s="221">
        <v>5</v>
      </c>
      <c r="F26" s="221">
        <v>2</v>
      </c>
    </row>
    <row r="27" spans="2:6" ht="13" thickBot="1">
      <c r="B27" s="261"/>
      <c r="C27" s="253"/>
      <c r="D27" s="221" t="s">
        <v>955</v>
      </c>
      <c r="E27" s="221">
        <v>5</v>
      </c>
      <c r="F27" s="221">
        <v>1</v>
      </c>
    </row>
  </sheetData>
  <mergeCells count="6">
    <mergeCell ref="B2:B4"/>
    <mergeCell ref="B25:B27"/>
    <mergeCell ref="D6:F6"/>
    <mergeCell ref="B9:B11"/>
    <mergeCell ref="B20:B22"/>
    <mergeCell ref="B14:B16"/>
  </mergeCells>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G53"/>
  <sheetViews>
    <sheetView tabSelected="1" topLeftCell="CI2" zoomScale="106" zoomScaleNormal="80" workbookViewId="0">
      <pane ySplit="1" topLeftCell="A3" activePane="bottomLeft" state="frozen"/>
      <selection activeCell="R2" sqref="R2"/>
      <selection pane="bottomLeft" activeCell="CU2" sqref="CU2"/>
    </sheetView>
  </sheetViews>
  <sheetFormatPr defaultColWidth="9.453125" defaultRowHeight="10"/>
  <cols>
    <col min="1" max="1" width="9.453125" style="160"/>
    <col min="2" max="2" width="14.54296875" style="160" customWidth="1"/>
    <col min="3" max="3" width="12.453125" style="187" customWidth="1"/>
    <col min="4" max="4" width="18.453125" style="187" bestFit="1" customWidth="1"/>
    <col min="5" max="5" width="21.08984375" style="160" customWidth="1"/>
    <col min="6" max="6" width="12.08984375" style="160" customWidth="1"/>
    <col min="7" max="7" width="10.54296875" style="160" bestFit="1" customWidth="1"/>
    <col min="8" max="8" width="19.54296875" style="160" bestFit="1" customWidth="1"/>
    <col min="9" max="9" width="32.54296875" style="160" customWidth="1"/>
    <col min="10" max="10" width="27.453125" style="214" customWidth="1"/>
    <col min="11" max="11" width="15.54296875" style="160" bestFit="1" customWidth="1"/>
    <col min="12" max="14" width="9.453125" style="160"/>
    <col min="15" max="15" width="9.54296875" style="160" customWidth="1"/>
    <col min="16" max="18" width="9.453125" style="160"/>
    <col min="19" max="19" width="9.08984375" style="160" customWidth="1"/>
    <col min="20" max="27" width="9.453125" style="160"/>
    <col min="28" max="29" width="9.453125" style="160" customWidth="1"/>
    <col min="30" max="16384" width="9.453125" style="160"/>
  </cols>
  <sheetData>
    <row r="1" spans="1:163" ht="11" thickBot="1">
      <c r="B1" s="254" t="s">
        <v>960</v>
      </c>
      <c r="C1" s="188"/>
      <c r="D1" s="188"/>
      <c r="E1" s="263"/>
      <c r="F1" s="263"/>
      <c r="G1" s="263"/>
      <c r="H1" s="263"/>
      <c r="I1" s="263"/>
      <c r="J1" s="263"/>
      <c r="K1" s="264" t="s">
        <v>961</v>
      </c>
      <c r="L1" s="265"/>
      <c r="M1" s="265"/>
      <c r="N1" s="265"/>
      <c r="O1" s="265"/>
      <c r="P1" s="266"/>
      <c r="Q1" s="255"/>
      <c r="R1" s="264" t="s">
        <v>962</v>
      </c>
      <c r="S1" s="265"/>
      <c r="T1" s="265"/>
      <c r="U1" s="265"/>
      <c r="V1" s="265"/>
      <c r="W1" s="266"/>
      <c r="X1" s="255"/>
      <c r="Y1" s="264" t="s">
        <v>963</v>
      </c>
      <c r="Z1" s="265"/>
      <c r="AA1" s="265"/>
      <c r="AB1" s="265"/>
      <c r="AC1" s="265"/>
      <c r="AD1" s="265"/>
      <c r="AE1" s="265"/>
      <c r="AF1" s="265"/>
      <c r="AG1" s="266"/>
      <c r="AH1" s="263" t="s">
        <v>964</v>
      </c>
      <c r="AI1" s="263"/>
      <c r="AJ1" s="263"/>
      <c r="AK1" s="263"/>
      <c r="AL1" s="263"/>
      <c r="AM1" s="263"/>
      <c r="AN1" s="263"/>
      <c r="AO1" s="263"/>
      <c r="AP1" s="263"/>
      <c r="AQ1" s="263"/>
      <c r="AR1" s="263"/>
      <c r="AS1" s="263" t="s">
        <v>965</v>
      </c>
      <c r="AT1" s="267"/>
      <c r="AU1" s="267"/>
      <c r="AV1" s="267"/>
      <c r="AW1" s="267"/>
      <c r="AX1" s="267"/>
      <c r="AY1" s="267"/>
      <c r="AZ1" s="267"/>
      <c r="BA1" s="267"/>
      <c r="BB1" s="267"/>
      <c r="BC1" s="267"/>
      <c r="BD1" s="263" t="s">
        <v>966</v>
      </c>
      <c r="BE1" s="263"/>
      <c r="BF1" s="263"/>
      <c r="BG1" s="263"/>
      <c r="BH1" s="263"/>
      <c r="BI1" s="263"/>
      <c r="BJ1" s="263"/>
      <c r="BK1" s="263"/>
      <c r="BL1" s="263"/>
      <c r="BM1" s="263"/>
      <c r="BN1" s="263"/>
      <c r="BO1" s="263" t="s">
        <v>967</v>
      </c>
      <c r="BP1" s="263"/>
      <c r="BQ1" s="263"/>
      <c r="BR1" s="263"/>
      <c r="BS1" s="263"/>
      <c r="BT1" s="263"/>
      <c r="BU1" s="263"/>
      <c r="BV1" s="263"/>
      <c r="BW1" s="263"/>
      <c r="BX1" s="263"/>
      <c r="BY1" s="263"/>
      <c r="BZ1" s="263" t="s">
        <v>968</v>
      </c>
      <c r="CA1" s="263"/>
      <c r="CB1" s="263"/>
      <c r="CC1" s="263"/>
      <c r="CD1" s="263"/>
      <c r="CE1" s="263"/>
      <c r="CF1" s="263"/>
      <c r="CG1" s="263"/>
      <c r="CH1" s="263"/>
      <c r="CI1" s="263"/>
      <c r="CJ1" s="263"/>
      <c r="CK1" s="263" t="s">
        <v>969</v>
      </c>
      <c r="CL1" s="263"/>
      <c r="CM1" s="263"/>
      <c r="CN1" s="263"/>
      <c r="CO1" s="263"/>
      <c r="CP1" s="263"/>
      <c r="CQ1" s="263"/>
      <c r="CR1" s="263"/>
      <c r="CS1" s="263"/>
      <c r="CT1" s="263"/>
      <c r="CU1" s="263"/>
      <c r="CV1" s="263" t="s">
        <v>970</v>
      </c>
      <c r="CW1" s="263"/>
      <c r="CX1" s="263"/>
      <c r="CY1" s="263"/>
      <c r="CZ1" s="263" t="s">
        <v>971</v>
      </c>
      <c r="DA1" s="263"/>
      <c r="DB1" s="263"/>
      <c r="DC1" s="263"/>
      <c r="DD1" s="263" t="s">
        <v>972</v>
      </c>
      <c r="DE1" s="263"/>
      <c r="DF1" s="263"/>
      <c r="DG1" s="263"/>
      <c r="DH1" s="263" t="s">
        <v>973</v>
      </c>
      <c r="DI1" s="263"/>
      <c r="DJ1" s="263"/>
      <c r="DK1" s="263"/>
      <c r="DL1" s="263"/>
      <c r="DM1" s="263" t="s">
        <v>974</v>
      </c>
      <c r="DN1" s="263"/>
      <c r="DO1" s="263"/>
      <c r="DP1" s="263"/>
      <c r="DQ1" s="263"/>
      <c r="DR1" s="263" t="s">
        <v>975</v>
      </c>
      <c r="DS1" s="263"/>
      <c r="DT1" s="263"/>
      <c r="DU1" s="263"/>
      <c r="DV1" s="263"/>
      <c r="DW1" s="263"/>
      <c r="DX1" s="263"/>
      <c r="DY1" s="263"/>
      <c r="DZ1" s="263"/>
      <c r="EA1" s="263"/>
      <c r="EB1" s="263"/>
      <c r="EC1" s="263" t="s">
        <v>976</v>
      </c>
      <c r="ED1" s="263"/>
      <c r="EE1" s="263"/>
      <c r="EF1" s="263"/>
      <c r="EG1" s="263"/>
      <c r="EH1" s="263"/>
      <c r="EI1" s="263"/>
      <c r="EJ1" s="263"/>
      <c r="EK1" s="263"/>
      <c r="EL1" s="263"/>
      <c r="EM1" s="263"/>
      <c r="EN1" s="264" t="s">
        <v>977</v>
      </c>
      <c r="EO1" s="265"/>
      <c r="EP1" s="265"/>
      <c r="EQ1" s="265"/>
      <c r="ER1" s="265"/>
      <c r="ES1" s="265"/>
      <c r="ET1" s="265"/>
      <c r="EU1" s="265"/>
      <c r="EV1" s="266"/>
      <c r="EW1" s="264" t="s">
        <v>978</v>
      </c>
      <c r="EX1" s="265"/>
      <c r="EY1" s="265"/>
      <c r="EZ1" s="265"/>
      <c r="FA1" s="265"/>
      <c r="FB1" s="265"/>
      <c r="FC1" s="265"/>
      <c r="FD1" s="265"/>
      <c r="FE1" s="265"/>
      <c r="FF1" s="265"/>
      <c r="FG1" s="266"/>
    </row>
    <row r="2" spans="1:163" s="187" customFormat="1" ht="42">
      <c r="A2" s="161" t="s">
        <v>979</v>
      </c>
      <c r="B2" s="161" t="s">
        <v>980</v>
      </c>
      <c r="C2" s="161" t="s">
        <v>981</v>
      </c>
      <c r="D2" s="161" t="s">
        <v>982</v>
      </c>
      <c r="E2" s="161" t="s">
        <v>983</v>
      </c>
      <c r="F2" s="161" t="s">
        <v>984</v>
      </c>
      <c r="G2" s="161" t="s">
        <v>985</v>
      </c>
      <c r="H2" s="161" t="s">
        <v>986</v>
      </c>
      <c r="I2" s="161" t="s">
        <v>987</v>
      </c>
      <c r="J2" s="213" t="s">
        <v>988</v>
      </c>
      <c r="K2" s="182" t="s">
        <v>989</v>
      </c>
      <c r="L2" s="182" t="s">
        <v>990</v>
      </c>
      <c r="M2" s="182" t="s">
        <v>991</v>
      </c>
      <c r="N2" s="182" t="s">
        <v>992</v>
      </c>
      <c r="O2" s="183" t="s">
        <v>993</v>
      </c>
      <c r="P2" s="183" t="s">
        <v>994</v>
      </c>
      <c r="Q2" s="184" t="s">
        <v>949</v>
      </c>
      <c r="R2" s="182" t="s">
        <v>995</v>
      </c>
      <c r="S2" s="182" t="s">
        <v>996</v>
      </c>
      <c r="T2" s="182" t="s">
        <v>997</v>
      </c>
      <c r="U2" s="182" t="s">
        <v>998</v>
      </c>
      <c r="V2" s="182" t="s">
        <v>999</v>
      </c>
      <c r="W2" s="183" t="s">
        <v>1000</v>
      </c>
      <c r="X2" s="185" t="s">
        <v>958</v>
      </c>
      <c r="Y2" s="182" t="s">
        <v>1001</v>
      </c>
      <c r="Z2" s="183" t="s">
        <v>1002</v>
      </c>
      <c r="AA2" s="185" t="s">
        <v>959</v>
      </c>
      <c r="AB2" s="186" t="s">
        <v>1003</v>
      </c>
      <c r="AC2" s="184" t="s">
        <v>1004</v>
      </c>
      <c r="AD2" s="234" t="s">
        <v>1005</v>
      </c>
      <c r="AE2" s="234" t="s">
        <v>1006</v>
      </c>
      <c r="AF2" s="234" t="s">
        <v>1007</v>
      </c>
      <c r="AG2" s="234" t="s">
        <v>1008</v>
      </c>
      <c r="AH2" s="234" t="s">
        <v>996</v>
      </c>
      <c r="AI2" s="234" t="s">
        <v>1009</v>
      </c>
      <c r="AJ2" s="234" t="s">
        <v>1010</v>
      </c>
      <c r="AK2" s="234" t="s">
        <v>1011</v>
      </c>
      <c r="AL2" s="234" t="s">
        <v>1012</v>
      </c>
      <c r="AM2" s="234" t="s">
        <v>1013</v>
      </c>
      <c r="AN2" s="234" t="s">
        <v>1014</v>
      </c>
      <c r="AO2" s="234" t="s">
        <v>1015</v>
      </c>
      <c r="AP2" s="234" t="s">
        <v>1016</v>
      </c>
      <c r="AQ2" s="234" t="s">
        <v>1017</v>
      </c>
      <c r="AR2" s="234" t="s">
        <v>1018</v>
      </c>
      <c r="AS2" s="235" t="s">
        <v>997</v>
      </c>
      <c r="AT2" s="236" t="s">
        <v>1009</v>
      </c>
      <c r="AU2" s="237" t="s">
        <v>1010</v>
      </c>
      <c r="AV2" s="237" t="s">
        <v>1011</v>
      </c>
      <c r="AW2" s="237" t="s">
        <v>1012</v>
      </c>
      <c r="AX2" s="237" t="s">
        <v>1013</v>
      </c>
      <c r="AY2" s="237" t="s">
        <v>1014</v>
      </c>
      <c r="AZ2" s="237" t="s">
        <v>1015</v>
      </c>
      <c r="BA2" s="237" t="s">
        <v>1016</v>
      </c>
      <c r="BB2" s="237" t="s">
        <v>1017</v>
      </c>
      <c r="BC2" s="238" t="s">
        <v>1018</v>
      </c>
      <c r="BD2" s="239" t="s">
        <v>989</v>
      </c>
      <c r="BE2" s="234" t="s">
        <v>1019</v>
      </c>
      <c r="BF2" s="234" t="s">
        <v>1020</v>
      </c>
      <c r="BG2" s="234" t="s">
        <v>1021</v>
      </c>
      <c r="BH2" s="234" t="s">
        <v>1022</v>
      </c>
      <c r="BI2" s="234" t="s">
        <v>1023</v>
      </c>
      <c r="BJ2" s="234" t="s">
        <v>1024</v>
      </c>
      <c r="BK2" s="234" t="s">
        <v>1025</v>
      </c>
      <c r="BL2" s="234" t="s">
        <v>1026</v>
      </c>
      <c r="BM2" s="234" t="s">
        <v>1027</v>
      </c>
      <c r="BN2" s="234" t="s">
        <v>1028</v>
      </c>
      <c r="BO2" s="234" t="s">
        <v>990</v>
      </c>
      <c r="BP2" s="234" t="s">
        <v>1029</v>
      </c>
      <c r="BQ2" s="234" t="s">
        <v>1030</v>
      </c>
      <c r="BR2" s="234" t="s">
        <v>1031</v>
      </c>
      <c r="BS2" s="234" t="s">
        <v>1032</v>
      </c>
      <c r="BT2" s="234" t="s">
        <v>1033</v>
      </c>
      <c r="BU2" s="234" t="s">
        <v>1034</v>
      </c>
      <c r="BV2" s="234" t="s">
        <v>1035</v>
      </c>
      <c r="BW2" s="234" t="s">
        <v>1036</v>
      </c>
      <c r="BX2" s="234" t="s">
        <v>1037</v>
      </c>
      <c r="BY2" s="234" t="s">
        <v>1038</v>
      </c>
      <c r="BZ2" s="234" t="s">
        <v>991</v>
      </c>
      <c r="CA2" s="234" t="s">
        <v>1039</v>
      </c>
      <c r="CB2" s="234" t="s">
        <v>1040</v>
      </c>
      <c r="CC2" s="234" t="s">
        <v>1041</v>
      </c>
      <c r="CD2" s="234" t="s">
        <v>1042</v>
      </c>
      <c r="CE2" s="234" t="s">
        <v>1043</v>
      </c>
      <c r="CF2" s="182" t="s">
        <v>1044</v>
      </c>
      <c r="CG2" s="182" t="s">
        <v>1045</v>
      </c>
      <c r="CH2" s="182" t="s">
        <v>1046</v>
      </c>
      <c r="CI2" s="182" t="s">
        <v>1047</v>
      </c>
      <c r="CJ2" s="182" t="s">
        <v>1048</v>
      </c>
      <c r="CK2" s="182" t="s">
        <v>992</v>
      </c>
      <c r="CL2" s="182" t="s">
        <v>1049</v>
      </c>
      <c r="CM2" s="182" t="s">
        <v>1050</v>
      </c>
      <c r="CN2" s="182" t="s">
        <v>1051</v>
      </c>
      <c r="CO2" s="182" t="s">
        <v>1052</v>
      </c>
      <c r="CP2" s="182" t="s">
        <v>1053</v>
      </c>
      <c r="CQ2" s="182" t="s">
        <v>1054</v>
      </c>
      <c r="CR2" s="182" t="s">
        <v>1055</v>
      </c>
      <c r="CS2" s="182" t="s">
        <v>1056</v>
      </c>
      <c r="CT2" s="182" t="s">
        <v>1057</v>
      </c>
      <c r="CU2" s="182" t="s">
        <v>1058</v>
      </c>
      <c r="CV2" s="182" t="s">
        <v>1059</v>
      </c>
      <c r="CW2" s="182" t="s">
        <v>1060</v>
      </c>
      <c r="CX2" s="182" t="s">
        <v>1061</v>
      </c>
      <c r="CY2" s="182" t="s">
        <v>1062</v>
      </c>
      <c r="CZ2" s="182" t="s">
        <v>1063</v>
      </c>
      <c r="DA2" s="182" t="s">
        <v>1064</v>
      </c>
      <c r="DB2" s="182" t="s">
        <v>1065</v>
      </c>
      <c r="DC2" s="182" t="s">
        <v>1066</v>
      </c>
      <c r="DD2" s="182" t="s">
        <v>1067</v>
      </c>
      <c r="DE2" s="182" t="s">
        <v>1068</v>
      </c>
      <c r="DF2" s="182" t="s">
        <v>1069</v>
      </c>
      <c r="DG2" s="182" t="s">
        <v>1070</v>
      </c>
      <c r="DH2" s="182" t="s">
        <v>1071</v>
      </c>
      <c r="DI2" s="182" t="s">
        <v>1072</v>
      </c>
      <c r="DJ2" s="182" t="s">
        <v>1073</v>
      </c>
      <c r="DK2" s="182" t="s">
        <v>1074</v>
      </c>
      <c r="DL2" s="182" t="s">
        <v>1075</v>
      </c>
      <c r="DM2" s="182" t="s">
        <v>1076</v>
      </c>
      <c r="DN2" s="182" t="s">
        <v>1077</v>
      </c>
      <c r="DO2" s="182" t="s">
        <v>1078</v>
      </c>
      <c r="DP2" s="182" t="s">
        <v>1079</v>
      </c>
      <c r="DQ2" s="182" t="s">
        <v>1080</v>
      </c>
      <c r="DR2" s="182" t="s">
        <v>1081</v>
      </c>
      <c r="DS2" s="182" t="s">
        <v>1082</v>
      </c>
      <c r="DT2" s="182" t="s">
        <v>1083</v>
      </c>
      <c r="DU2" s="182" t="s">
        <v>1084</v>
      </c>
      <c r="DV2" s="182" t="s">
        <v>1085</v>
      </c>
      <c r="DW2" s="182" t="s">
        <v>1086</v>
      </c>
      <c r="DX2" s="182" t="s">
        <v>1087</v>
      </c>
      <c r="DY2" s="182" t="s">
        <v>1088</v>
      </c>
      <c r="DZ2" s="182" t="s">
        <v>1089</v>
      </c>
      <c r="EA2" s="182" t="s">
        <v>1090</v>
      </c>
      <c r="EB2" s="182" t="s">
        <v>1091</v>
      </c>
      <c r="EC2" s="182" t="s">
        <v>1092</v>
      </c>
      <c r="ED2" s="182" t="s">
        <v>1093</v>
      </c>
      <c r="EE2" s="182" t="s">
        <v>1094</v>
      </c>
      <c r="EF2" s="182" t="s">
        <v>1095</v>
      </c>
      <c r="EG2" s="182" t="s">
        <v>1096</v>
      </c>
      <c r="EH2" s="182" t="s">
        <v>1097</v>
      </c>
      <c r="EI2" s="182" t="s">
        <v>1098</v>
      </c>
      <c r="EJ2" s="182" t="s">
        <v>1099</v>
      </c>
      <c r="EK2" s="182" t="s">
        <v>1100</v>
      </c>
      <c r="EL2" s="182" t="s">
        <v>1101</v>
      </c>
      <c r="EM2" s="182" t="s">
        <v>1102</v>
      </c>
      <c r="EN2" s="182" t="s">
        <v>1103</v>
      </c>
      <c r="EO2" s="182" t="s">
        <v>1104</v>
      </c>
      <c r="EP2" s="182" t="s">
        <v>1105</v>
      </c>
      <c r="EQ2" s="182" t="s">
        <v>1106</v>
      </c>
      <c r="ER2" s="182" t="s">
        <v>1107</v>
      </c>
      <c r="ES2" s="182" t="s">
        <v>1108</v>
      </c>
      <c r="ET2" s="182" t="s">
        <v>1109</v>
      </c>
      <c r="EU2" s="182" t="s">
        <v>1110</v>
      </c>
      <c r="EV2" s="182" t="s">
        <v>1111</v>
      </c>
      <c r="EW2" s="182" t="s">
        <v>1112</v>
      </c>
      <c r="EX2" s="182" t="s">
        <v>1113</v>
      </c>
      <c r="EY2" s="182" t="s">
        <v>1114</v>
      </c>
      <c r="EZ2" s="182" t="s">
        <v>1115</v>
      </c>
      <c r="FA2" s="182" t="s">
        <v>1116</v>
      </c>
      <c r="FB2" s="182" t="s">
        <v>1117</v>
      </c>
      <c r="FC2" s="182" t="s">
        <v>1118</v>
      </c>
      <c r="FD2" s="182" t="s">
        <v>1119</v>
      </c>
      <c r="FE2" s="182" t="s">
        <v>1120</v>
      </c>
      <c r="FF2" s="182" t="s">
        <v>1121</v>
      </c>
      <c r="FG2" s="182" t="s">
        <v>1122</v>
      </c>
    </row>
    <row r="3" spans="1:163" ht="12" customHeight="1">
      <c r="A3" s="210" t="s">
        <v>1123</v>
      </c>
      <c r="B3" s="201" t="str">
        <f>C3&amp;"-"&amp;D3</f>
        <v>15376-G4005892</v>
      </c>
      <c r="C3" s="201">
        <v>15376</v>
      </c>
      <c r="D3" s="201" t="s">
        <v>572</v>
      </c>
      <c r="E3" s="163" t="s">
        <v>574</v>
      </c>
      <c r="F3" s="164" t="s">
        <v>292</v>
      </c>
      <c r="G3" s="164" t="s">
        <v>78</v>
      </c>
      <c r="H3" s="162" t="s">
        <v>88</v>
      </c>
      <c r="I3" s="162" t="s">
        <v>1124</v>
      </c>
      <c r="J3" s="163" t="s">
        <v>1125</v>
      </c>
      <c r="K3" s="212">
        <v>15.1</v>
      </c>
      <c r="L3" s="212">
        <v>7.1999999999999993</v>
      </c>
      <c r="M3" s="212">
        <v>7.8999999999999995</v>
      </c>
      <c r="N3" s="212">
        <v>0</v>
      </c>
      <c r="O3" s="212">
        <v>2.5</v>
      </c>
      <c r="P3" s="166">
        <v>0.61560000000000015</v>
      </c>
      <c r="Q3" s="167">
        <f>IF(P3&gt;'3X3 Data'!$D$9,3,IF(P3&gt;'3X3 Data'!$D$10,2,IF(P3&lt;'3X3 Data'!$D$11,1)))</f>
        <v>3</v>
      </c>
      <c r="R3" s="166">
        <v>0.3</v>
      </c>
      <c r="S3" s="165">
        <v>507.90893711838817</v>
      </c>
      <c r="T3" s="165">
        <v>312.66874169007986</v>
      </c>
      <c r="U3" s="165">
        <v>-11.808363287707468</v>
      </c>
      <c r="V3" s="165">
        <v>496.10057383068067</v>
      </c>
      <c r="W3" s="165">
        <v>300.86037840237236</v>
      </c>
      <c r="X3" s="168">
        <f>IF(W3&gt;'3X3 Data'!$J$9,3,IF(W3&gt;'3X3 Data'!$J$10,2,IF(W3&lt;'3X3 Data'!$J$11,1)))</f>
        <v>3</v>
      </c>
      <c r="Y3" s="169">
        <v>32.85434263779343</v>
      </c>
      <c r="Z3" s="169">
        <v>19.924528371018042</v>
      </c>
      <c r="AA3" s="168">
        <f>IF(Z3&gt;'3X3 Data'!$J$15,3,IF(Z3&gt;'3X3 Data'!$J$16,2,IF(Z3&lt;'3X3 Data'!$J$17,1)))</f>
        <v>3</v>
      </c>
      <c r="AB3" s="165">
        <f>(2*AA3+X3)/3</f>
        <v>3</v>
      </c>
      <c r="AC3" s="168">
        <f>ROUND(AB3,)</f>
        <v>3</v>
      </c>
      <c r="AD3" s="206">
        <v>42.012644914737884</v>
      </c>
      <c r="AE3" s="206">
        <v>25.478584209512647</v>
      </c>
      <c r="AF3" s="206">
        <v>247.07388820329524</v>
      </c>
      <c r="AG3" s="240">
        <v>0.82122441484420805</v>
      </c>
      <c r="AH3" s="206">
        <v>507.90893711838817</v>
      </c>
      <c r="AI3" s="206">
        <v>0</v>
      </c>
      <c r="AJ3" s="206">
        <v>-8.8792202749870945</v>
      </c>
      <c r="AK3" s="206">
        <v>0</v>
      </c>
      <c r="AL3" s="206">
        <v>516.78815739337529</v>
      </c>
      <c r="AM3" s="206">
        <v>0</v>
      </c>
      <c r="AN3" s="206">
        <v>0</v>
      </c>
      <c r="AO3" s="206">
        <v>0</v>
      </c>
      <c r="AP3" s="206">
        <v>0</v>
      </c>
      <c r="AQ3" s="206">
        <v>0</v>
      </c>
      <c r="AR3" s="206">
        <v>0</v>
      </c>
      <c r="AS3" s="241">
        <v>312.66874169007986</v>
      </c>
      <c r="AT3" s="242">
        <v>0</v>
      </c>
      <c r="AU3" s="206">
        <v>-5.4660480012820569</v>
      </c>
      <c r="AV3" s="206">
        <v>0</v>
      </c>
      <c r="AW3" s="206">
        <v>318.1347896913619</v>
      </c>
      <c r="AX3" s="206">
        <v>0</v>
      </c>
      <c r="AY3" s="206">
        <v>0</v>
      </c>
      <c r="AZ3" s="206">
        <v>0</v>
      </c>
      <c r="BA3" s="206">
        <v>0</v>
      </c>
      <c r="BB3" s="206">
        <v>0</v>
      </c>
      <c r="BC3" s="243">
        <v>0</v>
      </c>
      <c r="BD3" s="244">
        <v>15.1</v>
      </c>
      <c r="BE3" s="206">
        <v>0</v>
      </c>
      <c r="BF3" s="206">
        <v>7.3</v>
      </c>
      <c r="BG3" s="206">
        <v>3.9000000000000004</v>
      </c>
      <c r="BH3" s="206">
        <v>3.9000000000000004</v>
      </c>
      <c r="BI3" s="206">
        <v>0</v>
      </c>
      <c r="BJ3" s="206">
        <v>0</v>
      </c>
      <c r="BK3" s="206">
        <v>0</v>
      </c>
      <c r="BL3" s="206">
        <v>0</v>
      </c>
      <c r="BM3" s="206">
        <v>0</v>
      </c>
      <c r="BN3" s="206">
        <v>0</v>
      </c>
      <c r="BO3" s="206">
        <v>7.1999999999999993</v>
      </c>
      <c r="BP3" s="206">
        <v>0</v>
      </c>
      <c r="BQ3" s="206">
        <v>2</v>
      </c>
      <c r="BR3" s="206">
        <v>2.6</v>
      </c>
      <c r="BS3" s="206">
        <v>2.6</v>
      </c>
      <c r="BT3" s="206">
        <v>0</v>
      </c>
      <c r="BU3" s="206">
        <v>0</v>
      </c>
      <c r="BV3" s="206">
        <v>0</v>
      </c>
      <c r="BW3" s="206">
        <v>0</v>
      </c>
      <c r="BX3" s="206">
        <v>0</v>
      </c>
      <c r="BY3" s="206">
        <v>0</v>
      </c>
      <c r="BZ3" s="206">
        <v>7.8999999999999995</v>
      </c>
      <c r="CA3" s="206">
        <v>0</v>
      </c>
      <c r="CB3" s="206">
        <v>5.3</v>
      </c>
      <c r="CC3" s="206">
        <v>1.3</v>
      </c>
      <c r="CD3" s="206">
        <v>1.3</v>
      </c>
      <c r="CE3" s="206">
        <v>0</v>
      </c>
      <c r="CF3" s="165">
        <v>0</v>
      </c>
      <c r="CG3" s="165">
        <v>0</v>
      </c>
      <c r="CH3" s="165">
        <v>0</v>
      </c>
      <c r="CI3" s="165">
        <v>0</v>
      </c>
      <c r="CJ3" s="165">
        <v>0</v>
      </c>
      <c r="CK3" s="165">
        <v>0</v>
      </c>
      <c r="CL3" s="165">
        <v>0</v>
      </c>
      <c r="CM3" s="165">
        <v>0</v>
      </c>
      <c r="CN3" s="165">
        <v>0</v>
      </c>
      <c r="CO3" s="165">
        <v>0</v>
      </c>
      <c r="CP3" s="165">
        <v>0</v>
      </c>
      <c r="CQ3" s="165">
        <v>0</v>
      </c>
      <c r="CR3" s="165">
        <v>0</v>
      </c>
      <c r="CS3" s="165">
        <v>0</v>
      </c>
      <c r="CT3" s="165">
        <v>0</v>
      </c>
      <c r="CU3" s="165">
        <v>0</v>
      </c>
      <c r="CV3" s="165" t="s">
        <v>1126</v>
      </c>
      <c r="CW3" s="165" t="s">
        <v>1126</v>
      </c>
      <c r="CX3" s="165" t="s">
        <v>1127</v>
      </c>
      <c r="CY3" s="165" t="s">
        <v>1128</v>
      </c>
      <c r="CZ3" s="165">
        <v>3</v>
      </c>
      <c r="DA3" s="165">
        <v>3</v>
      </c>
      <c r="DB3" s="165">
        <v>2</v>
      </c>
      <c r="DC3" s="165">
        <v>2</v>
      </c>
      <c r="DD3" s="171" t="s">
        <v>1129</v>
      </c>
      <c r="DE3" s="171" t="s">
        <v>1130</v>
      </c>
      <c r="DF3" s="171" t="s">
        <v>1131</v>
      </c>
      <c r="DG3" s="171" t="s">
        <v>1132</v>
      </c>
      <c r="DH3" s="170">
        <v>0.95000000000000007</v>
      </c>
      <c r="DI3" s="170">
        <v>1</v>
      </c>
      <c r="DJ3" s="170">
        <v>0.8</v>
      </c>
      <c r="DK3" s="170">
        <v>0.9</v>
      </c>
      <c r="DL3" s="170">
        <v>0.9</v>
      </c>
      <c r="DM3" s="172" t="s">
        <v>1133</v>
      </c>
      <c r="DN3" s="172" t="s">
        <v>1134</v>
      </c>
      <c r="DO3" s="172" t="s">
        <v>1134</v>
      </c>
      <c r="DP3" s="172" t="s">
        <v>1133</v>
      </c>
      <c r="DQ3" s="172" t="s">
        <v>1133</v>
      </c>
      <c r="DR3" s="170">
        <v>0.3</v>
      </c>
      <c r="DS3" s="170">
        <v>0</v>
      </c>
      <c r="DT3" s="170">
        <v>-7.5000000000000006E-3</v>
      </c>
      <c r="DU3" s="170">
        <v>0</v>
      </c>
      <c r="DV3" s="170">
        <v>3.5000000000000003E-2</v>
      </c>
      <c r="DW3" s="170">
        <v>0</v>
      </c>
      <c r="DX3" s="170">
        <v>0</v>
      </c>
      <c r="DY3" s="170">
        <v>0</v>
      </c>
      <c r="DZ3" s="170">
        <v>0</v>
      </c>
      <c r="EA3" s="170">
        <v>0</v>
      </c>
      <c r="EB3" s="170">
        <v>0</v>
      </c>
      <c r="EC3" s="172" t="s">
        <v>1135</v>
      </c>
      <c r="ED3" s="172" t="s">
        <v>49</v>
      </c>
      <c r="EE3" s="172" t="s">
        <v>1136</v>
      </c>
      <c r="EF3" s="172" t="s">
        <v>49</v>
      </c>
      <c r="EG3" s="172" t="s">
        <v>1137</v>
      </c>
      <c r="EH3" s="172" t="s">
        <v>49</v>
      </c>
      <c r="EI3" s="172" t="s">
        <v>49</v>
      </c>
      <c r="EJ3" s="172" t="s">
        <v>49</v>
      </c>
      <c r="EK3" s="172" t="s">
        <v>49</v>
      </c>
      <c r="EL3" s="172" t="s">
        <v>49</v>
      </c>
      <c r="EM3" s="172" t="s">
        <v>49</v>
      </c>
      <c r="EN3" s="170">
        <v>1</v>
      </c>
      <c r="EO3" s="170">
        <v>1</v>
      </c>
      <c r="EP3" s="170">
        <v>1</v>
      </c>
      <c r="EQ3" s="170">
        <v>1</v>
      </c>
      <c r="ER3" s="170">
        <v>1</v>
      </c>
      <c r="ES3" s="170">
        <v>0</v>
      </c>
      <c r="ET3" s="170">
        <v>0.83333333333333337</v>
      </c>
      <c r="EU3" s="172" t="s">
        <v>343</v>
      </c>
      <c r="EV3" s="170">
        <v>43964</v>
      </c>
      <c r="EW3" s="170">
        <v>0</v>
      </c>
      <c r="EX3" s="170">
        <v>0</v>
      </c>
      <c r="EY3" s="170">
        <v>0</v>
      </c>
      <c r="EZ3" s="170">
        <v>0</v>
      </c>
      <c r="FA3" s="170">
        <v>0</v>
      </c>
      <c r="FB3" s="170">
        <v>0</v>
      </c>
      <c r="FC3" s="170">
        <v>0</v>
      </c>
      <c r="FD3" s="170">
        <v>0</v>
      </c>
      <c r="FE3" s="170">
        <v>0</v>
      </c>
      <c r="FF3" s="172" t="s">
        <v>49</v>
      </c>
      <c r="FG3" s="170" t="s">
        <v>49</v>
      </c>
    </row>
    <row r="4" spans="1:163" ht="12" customHeight="1">
      <c r="A4" s="210" t="s">
        <v>1123</v>
      </c>
      <c r="B4" s="201" t="str">
        <f>C4&amp;"-"&amp;D4</f>
        <v>15390-G4003553</v>
      </c>
      <c r="C4" s="201">
        <v>15390</v>
      </c>
      <c r="D4" s="201" t="s">
        <v>257</v>
      </c>
      <c r="E4" s="163" t="s">
        <v>1138</v>
      </c>
      <c r="F4" s="164" t="s">
        <v>81</v>
      </c>
      <c r="G4" s="164" t="s">
        <v>78</v>
      </c>
      <c r="H4" s="162" t="s">
        <v>88</v>
      </c>
      <c r="I4" s="162" t="s">
        <v>1139</v>
      </c>
      <c r="J4" s="163" t="s">
        <v>1140</v>
      </c>
      <c r="K4" s="212">
        <v>105.41000000000001</v>
      </c>
      <c r="L4" s="212">
        <v>10</v>
      </c>
      <c r="M4" s="212">
        <v>41.81</v>
      </c>
      <c r="N4" s="212">
        <v>53.6</v>
      </c>
      <c r="O4" s="212">
        <v>2.25</v>
      </c>
      <c r="P4" s="166">
        <v>0.15120000000000006</v>
      </c>
      <c r="Q4" s="167">
        <f>IF(P4&gt;'3X3 Data'!$D$9,3,IF(P4&gt;'3X3 Data'!$D$10,2,IF(P4&lt;'3X3 Data'!$D$11,1)))</f>
        <v>1</v>
      </c>
      <c r="R4" s="166">
        <v>0.6</v>
      </c>
      <c r="S4" s="165">
        <v>6249.3032670196326</v>
      </c>
      <c r="T4" s="165">
        <v>944.8946539733688</v>
      </c>
      <c r="U4" s="165">
        <v>-79.683453915079454</v>
      </c>
      <c r="V4" s="165">
        <v>6169.619813104553</v>
      </c>
      <c r="W4" s="165">
        <v>865.21120005828936</v>
      </c>
      <c r="X4" s="168">
        <f>IF(W4&gt;'3X3 Data'!$J$9,3,IF(W4&gt;'3X3 Data'!$J$10,2,IF(W4&lt;'3X3 Data'!$J$11,1)))</f>
        <v>3</v>
      </c>
      <c r="Y4" s="169">
        <v>119.08164086285568</v>
      </c>
      <c r="Z4" s="169">
        <v>16.69969504069271</v>
      </c>
      <c r="AA4" s="168">
        <f>IF(Z4&gt;'3X3 Data'!$J$15,3,IF(Z4&gt;'3X3 Data'!$J$16,2,IF(Z4&lt;'3X3 Data'!$J$17,1)))</f>
        <v>3</v>
      </c>
      <c r="AB4" s="165">
        <f>(2*AA4+X4)/3</f>
        <v>3</v>
      </c>
      <c r="AC4" s="168">
        <f>ROUND(AB4,)</f>
        <v>3</v>
      </c>
      <c r="AD4" s="206">
        <v>77.426611297242005</v>
      </c>
      <c r="AE4" s="206">
        <v>10.858103628142995</v>
      </c>
      <c r="AF4" s="206">
        <v>2238.7736243215181</v>
      </c>
      <c r="AG4" s="240">
        <v>2.5875458202236539</v>
      </c>
      <c r="AH4" s="206">
        <v>6249.3032670196326</v>
      </c>
      <c r="AI4" s="206">
        <v>0</v>
      </c>
      <c r="AJ4" s="206">
        <v>0</v>
      </c>
      <c r="AK4" s="206">
        <v>6249.3032670196326</v>
      </c>
      <c r="AL4" s="206">
        <v>0</v>
      </c>
      <c r="AM4" s="206">
        <v>0</v>
      </c>
      <c r="AN4" s="206">
        <v>0</v>
      </c>
      <c r="AO4" s="206">
        <v>0</v>
      </c>
      <c r="AP4" s="206">
        <v>0</v>
      </c>
      <c r="AQ4" s="206">
        <v>0</v>
      </c>
      <c r="AR4" s="206">
        <v>0</v>
      </c>
      <c r="AS4" s="241">
        <v>944.8946539733688</v>
      </c>
      <c r="AT4" s="242">
        <v>0</v>
      </c>
      <c r="AU4" s="206">
        <v>0</v>
      </c>
      <c r="AV4" s="206">
        <v>944.8946539733688</v>
      </c>
      <c r="AW4" s="206">
        <v>0</v>
      </c>
      <c r="AX4" s="206">
        <v>0</v>
      </c>
      <c r="AY4" s="206">
        <v>0</v>
      </c>
      <c r="AZ4" s="206">
        <v>0</v>
      </c>
      <c r="BA4" s="206">
        <v>0</v>
      </c>
      <c r="BB4" s="206">
        <v>0</v>
      </c>
      <c r="BC4" s="243">
        <v>0</v>
      </c>
      <c r="BD4" s="206">
        <v>105.41000000000001</v>
      </c>
      <c r="BE4" s="206">
        <v>0</v>
      </c>
      <c r="BF4" s="206">
        <v>20.21</v>
      </c>
      <c r="BG4" s="206">
        <v>39</v>
      </c>
      <c r="BH4" s="206">
        <v>39</v>
      </c>
      <c r="BI4" s="206">
        <v>7.2</v>
      </c>
      <c r="BJ4" s="206">
        <v>0</v>
      </c>
      <c r="BK4" s="206">
        <v>0</v>
      </c>
      <c r="BL4" s="206">
        <v>0</v>
      </c>
      <c r="BM4" s="206">
        <v>0</v>
      </c>
      <c r="BN4" s="206">
        <v>0</v>
      </c>
      <c r="BO4" s="206">
        <v>10</v>
      </c>
      <c r="BP4" s="206">
        <v>0</v>
      </c>
      <c r="BQ4" s="206">
        <v>3</v>
      </c>
      <c r="BR4" s="206">
        <v>3</v>
      </c>
      <c r="BS4" s="206">
        <v>3</v>
      </c>
      <c r="BT4" s="206">
        <v>1</v>
      </c>
      <c r="BU4" s="206">
        <v>0</v>
      </c>
      <c r="BV4" s="206">
        <v>0</v>
      </c>
      <c r="BW4" s="206">
        <v>0</v>
      </c>
      <c r="BX4" s="206">
        <v>0</v>
      </c>
      <c r="BY4" s="206">
        <v>0</v>
      </c>
      <c r="BZ4" s="206">
        <v>41.81</v>
      </c>
      <c r="CA4" s="206">
        <v>0</v>
      </c>
      <c r="CB4" s="206">
        <v>8.81</v>
      </c>
      <c r="CC4" s="206">
        <v>15</v>
      </c>
      <c r="CD4" s="206">
        <v>15</v>
      </c>
      <c r="CE4" s="206">
        <v>3</v>
      </c>
      <c r="CF4" s="165">
        <v>0</v>
      </c>
      <c r="CG4" s="165">
        <v>0</v>
      </c>
      <c r="CH4" s="165">
        <v>0</v>
      </c>
      <c r="CI4" s="165">
        <v>0</v>
      </c>
      <c r="CJ4" s="165">
        <v>0</v>
      </c>
      <c r="CK4" s="165">
        <v>53.6</v>
      </c>
      <c r="CL4" s="165">
        <v>0</v>
      </c>
      <c r="CM4" s="165">
        <v>8.4</v>
      </c>
      <c r="CN4" s="165">
        <v>21</v>
      </c>
      <c r="CO4" s="165">
        <v>21</v>
      </c>
      <c r="CP4" s="165">
        <v>3.2</v>
      </c>
      <c r="CQ4" s="165">
        <v>0</v>
      </c>
      <c r="CR4" s="165">
        <v>0</v>
      </c>
      <c r="CS4" s="165">
        <v>0</v>
      </c>
      <c r="CT4" s="165">
        <v>0</v>
      </c>
      <c r="CU4" s="165">
        <v>0</v>
      </c>
      <c r="CV4" s="165" t="s">
        <v>1128</v>
      </c>
      <c r="CW4" s="165" t="s">
        <v>1128</v>
      </c>
      <c r="CX4" s="165" t="s">
        <v>1128</v>
      </c>
      <c r="CY4" s="165" t="s">
        <v>1126</v>
      </c>
      <c r="CZ4" s="165">
        <v>2</v>
      </c>
      <c r="DA4" s="165">
        <v>2</v>
      </c>
      <c r="DB4" s="165">
        <v>2</v>
      </c>
      <c r="DC4" s="165">
        <v>3</v>
      </c>
      <c r="DD4" s="171" t="s">
        <v>1141</v>
      </c>
      <c r="DE4" s="171" t="s">
        <v>1142</v>
      </c>
      <c r="DF4" s="171" t="s">
        <v>1143</v>
      </c>
      <c r="DG4" s="171" t="s">
        <v>1144</v>
      </c>
      <c r="DH4" s="170">
        <v>0.60000000000000009</v>
      </c>
      <c r="DI4" s="170">
        <v>0.5</v>
      </c>
      <c r="DJ4" s="170">
        <v>0.8</v>
      </c>
      <c r="DK4" s="170">
        <v>0.9</v>
      </c>
      <c r="DL4" s="170">
        <v>0.70000000000000007</v>
      </c>
      <c r="DM4" s="172" t="s">
        <v>1145</v>
      </c>
      <c r="DN4" s="172" t="s">
        <v>1146</v>
      </c>
      <c r="DO4" s="172" t="s">
        <v>1147</v>
      </c>
      <c r="DP4" s="172" t="s">
        <v>1148</v>
      </c>
      <c r="DQ4" s="172" t="s">
        <v>1149</v>
      </c>
      <c r="DR4" s="170">
        <v>0.6</v>
      </c>
      <c r="DS4" s="170" t="s">
        <v>1150</v>
      </c>
      <c r="DT4" s="170" t="s">
        <v>1150</v>
      </c>
      <c r="DU4" s="170">
        <v>0.09</v>
      </c>
      <c r="DV4" s="170" t="s">
        <v>1150</v>
      </c>
      <c r="DW4" s="170" t="s">
        <v>1150</v>
      </c>
      <c r="DX4" s="170" t="s">
        <v>1150</v>
      </c>
      <c r="DY4" s="170" t="s">
        <v>1150</v>
      </c>
      <c r="DZ4" s="170" t="s">
        <v>1150</v>
      </c>
      <c r="EA4" s="170" t="s">
        <v>1150</v>
      </c>
      <c r="EB4" s="170" t="s">
        <v>1150</v>
      </c>
      <c r="EC4" s="172" t="s">
        <v>1151</v>
      </c>
      <c r="ED4" s="172" t="s">
        <v>1152</v>
      </c>
      <c r="EE4" s="172" t="s">
        <v>1152</v>
      </c>
      <c r="EF4" s="172" t="s">
        <v>1153</v>
      </c>
      <c r="EG4" s="172" t="s">
        <v>1154</v>
      </c>
      <c r="EH4" s="172" t="s">
        <v>1155</v>
      </c>
      <c r="EI4" s="172" t="s">
        <v>49</v>
      </c>
      <c r="EJ4" s="172" t="s">
        <v>49</v>
      </c>
      <c r="EK4" s="172" t="s">
        <v>1156</v>
      </c>
      <c r="EL4" s="172" t="s">
        <v>49</v>
      </c>
      <c r="EM4" s="172" t="s">
        <v>49</v>
      </c>
      <c r="EN4" s="170">
        <v>1</v>
      </c>
      <c r="EO4" s="170">
        <v>1</v>
      </c>
      <c r="EP4" s="170">
        <v>1</v>
      </c>
      <c r="EQ4" s="170">
        <v>1</v>
      </c>
      <c r="ER4" s="170">
        <v>1</v>
      </c>
      <c r="ES4" s="170">
        <v>0</v>
      </c>
      <c r="ET4" s="170">
        <v>0.83333333333333337</v>
      </c>
      <c r="EU4" s="172" t="s">
        <v>1157</v>
      </c>
      <c r="EV4" s="170">
        <v>43746</v>
      </c>
      <c r="EW4" s="170">
        <v>0</v>
      </c>
      <c r="EX4" s="170">
        <v>0</v>
      </c>
      <c r="EY4" s="170">
        <v>0</v>
      </c>
      <c r="EZ4" s="170">
        <v>0</v>
      </c>
      <c r="FA4" s="170">
        <v>0</v>
      </c>
      <c r="FB4" s="170">
        <v>0</v>
      </c>
      <c r="FC4" s="170">
        <v>0</v>
      </c>
      <c r="FD4" s="170">
        <v>0</v>
      </c>
      <c r="FE4" s="170">
        <v>0</v>
      </c>
      <c r="FF4" s="172" t="s">
        <v>49</v>
      </c>
      <c r="FG4" s="170" t="s">
        <v>49</v>
      </c>
    </row>
    <row r="5" spans="1:163" ht="12" customHeight="1">
      <c r="A5" s="210" t="s">
        <v>1123</v>
      </c>
      <c r="B5" s="201" t="str">
        <f>C5&amp;"-"&amp;D5</f>
        <v>15821-G4010577</v>
      </c>
      <c r="C5" s="201">
        <v>15821</v>
      </c>
      <c r="D5" s="201" t="s">
        <v>1158</v>
      </c>
      <c r="E5" s="163" t="s">
        <v>1159</v>
      </c>
      <c r="F5" s="164" t="s">
        <v>292</v>
      </c>
      <c r="G5" s="164" t="s">
        <v>78</v>
      </c>
      <c r="H5" s="162" t="s">
        <v>88</v>
      </c>
      <c r="I5" s="162" t="s">
        <v>1139</v>
      </c>
      <c r="J5" s="163" t="s">
        <v>1160</v>
      </c>
      <c r="K5" s="212">
        <v>2.9180000000000001</v>
      </c>
      <c r="L5" s="212">
        <v>1.25</v>
      </c>
      <c r="M5" s="212">
        <v>0.67599999999999993</v>
      </c>
      <c r="N5" s="212">
        <v>0.99199999999999999</v>
      </c>
      <c r="O5" s="212">
        <v>2.5</v>
      </c>
      <c r="P5" s="166">
        <v>0.3600000000000001</v>
      </c>
      <c r="Q5" s="167">
        <f>IF(P5&gt;'3X3 Data'!$D$9,3,IF(P5&gt;'3X3 Data'!$D$10,2,IF(P5&lt;'3X3 Data'!$D$11,1)))</f>
        <v>2</v>
      </c>
      <c r="R5" s="166">
        <v>0.85</v>
      </c>
      <c r="S5" s="165">
        <v>83.670463577975056</v>
      </c>
      <c r="T5" s="165">
        <v>30.12136688807103</v>
      </c>
      <c r="U5" s="165">
        <v>-2.3314107824726138</v>
      </c>
      <c r="V5" s="165">
        <v>81.33905279550244</v>
      </c>
      <c r="W5" s="165">
        <v>27.789956105598417</v>
      </c>
      <c r="X5" s="168">
        <f>IF(W5&gt;'3X3 Data'!$J$9,3,IF(W5&gt;'3X3 Data'!$J$10,2,IF(W5&lt;'3X3 Data'!$J$11,1)))</f>
        <v>2</v>
      </c>
      <c r="Y5" s="169">
        <v>42.232114639409367</v>
      </c>
      <c r="Z5" s="169">
        <v>14.428845330009564</v>
      </c>
      <c r="AA5" s="168">
        <f>IF(Z5&gt;'3X3 Data'!$P$15,3,IF(Z5&gt;'3X3 Data'!$P$16,2,IF(Z5&lt;'3X3 Data'!$P$17,1)))</f>
        <v>3</v>
      </c>
      <c r="AB5" s="165">
        <f>(2*AA5+X5)/3</f>
        <v>2.6666666666666665</v>
      </c>
      <c r="AC5" s="168">
        <f>ROUND(AB5,)</f>
        <v>3</v>
      </c>
      <c r="AD5" s="206">
        <v>34.888340316088374</v>
      </c>
      <c r="AE5" s="206">
        <v>11.91980251379182</v>
      </c>
      <c r="AF5" s="206">
        <v>40.161822517428028</v>
      </c>
      <c r="AG5" s="240">
        <v>1.4451920098332665</v>
      </c>
      <c r="AH5" s="206">
        <v>83.670463577975056</v>
      </c>
      <c r="AI5" s="206">
        <v>0</v>
      </c>
      <c r="AJ5" s="206">
        <v>0</v>
      </c>
      <c r="AK5" s="206">
        <v>0</v>
      </c>
      <c r="AL5" s="206">
        <v>83.670463577975056</v>
      </c>
      <c r="AM5" s="206">
        <v>0</v>
      </c>
      <c r="AN5" s="206">
        <v>0</v>
      </c>
      <c r="AO5" s="206">
        <v>0</v>
      </c>
      <c r="AP5" s="206">
        <v>0</v>
      </c>
      <c r="AQ5" s="206">
        <v>0</v>
      </c>
      <c r="AR5" s="206">
        <v>0</v>
      </c>
      <c r="AS5" s="241">
        <v>30.12136688807103</v>
      </c>
      <c r="AT5" s="242">
        <v>0</v>
      </c>
      <c r="AU5" s="206">
        <v>0</v>
      </c>
      <c r="AV5" s="206">
        <v>0</v>
      </c>
      <c r="AW5" s="206">
        <v>30.12136688807103</v>
      </c>
      <c r="AX5" s="206">
        <v>0</v>
      </c>
      <c r="AY5" s="206">
        <v>0</v>
      </c>
      <c r="AZ5" s="206">
        <v>0</v>
      </c>
      <c r="BA5" s="206">
        <v>0</v>
      </c>
      <c r="BB5" s="206">
        <v>0</v>
      </c>
      <c r="BC5" s="243">
        <v>0</v>
      </c>
      <c r="BD5" s="244">
        <v>2.9180000000000001</v>
      </c>
      <c r="BE5" s="206">
        <v>0</v>
      </c>
      <c r="BF5" s="206">
        <v>1.6921666666666666</v>
      </c>
      <c r="BG5" s="206">
        <v>1.2258333333333333</v>
      </c>
      <c r="BH5" s="206">
        <v>0</v>
      </c>
      <c r="BI5" s="206">
        <v>0</v>
      </c>
      <c r="BJ5" s="206">
        <v>0</v>
      </c>
      <c r="BK5" s="206">
        <v>0</v>
      </c>
      <c r="BL5" s="206">
        <v>0</v>
      </c>
      <c r="BM5" s="206">
        <v>0</v>
      </c>
      <c r="BN5" s="206">
        <v>0</v>
      </c>
      <c r="BO5" s="206">
        <v>1.25</v>
      </c>
      <c r="BP5" s="206">
        <v>0</v>
      </c>
      <c r="BQ5" s="206">
        <v>0.72916666666666663</v>
      </c>
      <c r="BR5" s="206">
        <v>0.52083333333333337</v>
      </c>
      <c r="BS5" s="206">
        <v>0</v>
      </c>
      <c r="BT5" s="206">
        <v>0</v>
      </c>
      <c r="BU5" s="206">
        <v>0</v>
      </c>
      <c r="BV5" s="206">
        <v>0</v>
      </c>
      <c r="BW5" s="206">
        <v>0</v>
      </c>
      <c r="BX5" s="206">
        <v>0</v>
      </c>
      <c r="BY5" s="206">
        <v>0</v>
      </c>
      <c r="BZ5" s="206">
        <v>0.67599999999999993</v>
      </c>
      <c r="CA5" s="206">
        <v>0</v>
      </c>
      <c r="CB5" s="206">
        <v>0.39300000000000002</v>
      </c>
      <c r="CC5" s="206">
        <v>0.28299999999999997</v>
      </c>
      <c r="CD5" s="206">
        <v>0</v>
      </c>
      <c r="CE5" s="206">
        <v>0</v>
      </c>
      <c r="CF5" s="165">
        <v>0</v>
      </c>
      <c r="CG5" s="165">
        <v>0</v>
      </c>
      <c r="CH5" s="165">
        <v>0</v>
      </c>
      <c r="CI5" s="165">
        <v>0</v>
      </c>
      <c r="CJ5" s="165">
        <v>0</v>
      </c>
      <c r="CK5" s="165">
        <v>0.99199999999999999</v>
      </c>
      <c r="CL5" s="165">
        <v>0</v>
      </c>
      <c r="CM5" s="165">
        <v>0.56999999999999995</v>
      </c>
      <c r="CN5" s="165">
        <v>0.42199999999999999</v>
      </c>
      <c r="CO5" s="165">
        <v>0</v>
      </c>
      <c r="CP5" s="165">
        <v>0</v>
      </c>
      <c r="CQ5" s="165">
        <v>0</v>
      </c>
      <c r="CR5" s="165">
        <v>0</v>
      </c>
      <c r="CS5" s="165">
        <v>0</v>
      </c>
      <c r="CT5" s="165">
        <v>0</v>
      </c>
      <c r="CU5" s="165">
        <v>0</v>
      </c>
      <c r="CV5" s="165" t="s">
        <v>1126</v>
      </c>
      <c r="CW5" s="165" t="s">
        <v>1126</v>
      </c>
      <c r="CX5" s="165" t="s">
        <v>1128</v>
      </c>
      <c r="CY5" s="165" t="s">
        <v>1128</v>
      </c>
      <c r="CZ5" s="165">
        <v>3</v>
      </c>
      <c r="DA5" s="165">
        <v>3</v>
      </c>
      <c r="DB5" s="165">
        <v>2</v>
      </c>
      <c r="DC5" s="165">
        <v>2</v>
      </c>
      <c r="DD5" s="171" t="s">
        <v>1161</v>
      </c>
      <c r="DE5" s="171" t="s">
        <v>1162</v>
      </c>
      <c r="DF5" s="171" t="s">
        <v>1163</v>
      </c>
      <c r="DG5" s="171" t="s">
        <v>1164</v>
      </c>
      <c r="DH5" s="170">
        <v>0.75</v>
      </c>
      <c r="DI5" s="170">
        <v>1</v>
      </c>
      <c r="DJ5" s="170">
        <v>0.8</v>
      </c>
      <c r="DK5" s="170">
        <v>1</v>
      </c>
      <c r="DL5" s="170">
        <v>0.60000000000000009</v>
      </c>
      <c r="DM5" s="172" t="s">
        <v>1165</v>
      </c>
      <c r="DN5" s="172" t="s">
        <v>1166</v>
      </c>
      <c r="DO5" s="172" t="s">
        <v>1167</v>
      </c>
      <c r="DP5" s="172" t="s">
        <v>1168</v>
      </c>
      <c r="DQ5" s="172" t="s">
        <v>1169</v>
      </c>
      <c r="DR5" s="170">
        <v>0.85</v>
      </c>
      <c r="DS5" s="170">
        <v>0</v>
      </c>
      <c r="DT5" s="170">
        <v>0</v>
      </c>
      <c r="DU5" s="170">
        <v>0</v>
      </c>
      <c r="DV5" s="170">
        <v>2E-3</v>
      </c>
      <c r="DW5" s="170">
        <v>0</v>
      </c>
      <c r="DX5" s="170">
        <v>0</v>
      </c>
      <c r="DY5" s="170">
        <v>0</v>
      </c>
      <c r="DZ5" s="170">
        <v>0</v>
      </c>
      <c r="EA5" s="170">
        <v>0</v>
      </c>
      <c r="EB5" s="170">
        <v>0</v>
      </c>
      <c r="EC5" s="172" t="s">
        <v>1170</v>
      </c>
      <c r="ED5" s="173" t="s">
        <v>1171</v>
      </c>
      <c r="EE5" s="172" t="s">
        <v>1172</v>
      </c>
      <c r="EF5" s="172" t="s">
        <v>1173</v>
      </c>
      <c r="EG5" s="173" t="s">
        <v>1174</v>
      </c>
      <c r="EH5" s="172" t="s">
        <v>1173</v>
      </c>
      <c r="EI5" s="172" t="s">
        <v>1173</v>
      </c>
      <c r="EJ5" s="172" t="s">
        <v>1173</v>
      </c>
      <c r="EK5" s="172" t="s">
        <v>1173</v>
      </c>
      <c r="EL5" s="172" t="s">
        <v>1173</v>
      </c>
      <c r="EM5" s="172" t="s">
        <v>1173</v>
      </c>
      <c r="EN5" s="170">
        <v>1</v>
      </c>
      <c r="EO5" s="170">
        <v>1</v>
      </c>
      <c r="EP5" s="170">
        <v>1</v>
      </c>
      <c r="EQ5" s="170">
        <v>1</v>
      </c>
      <c r="ER5" s="170">
        <v>1</v>
      </c>
      <c r="ES5" s="170">
        <v>1</v>
      </c>
      <c r="ET5" s="170">
        <v>1</v>
      </c>
      <c r="EU5" s="172" t="s">
        <v>343</v>
      </c>
      <c r="EV5" s="170">
        <v>43962</v>
      </c>
      <c r="EW5" s="170">
        <v>1</v>
      </c>
      <c r="EX5" s="170">
        <v>1</v>
      </c>
      <c r="EY5" s="170">
        <v>1</v>
      </c>
      <c r="EZ5" s="170">
        <v>1</v>
      </c>
      <c r="FA5" s="170">
        <v>1</v>
      </c>
      <c r="FB5" s="170">
        <v>1</v>
      </c>
      <c r="FC5" s="170">
        <v>1</v>
      </c>
      <c r="FD5" s="170">
        <v>0</v>
      </c>
      <c r="FE5" s="170">
        <v>0.875</v>
      </c>
      <c r="FF5" s="172" t="s">
        <v>1175</v>
      </c>
      <c r="FG5" s="170">
        <v>43763</v>
      </c>
    </row>
    <row r="6" spans="1:163" ht="12" customHeight="1">
      <c r="A6" s="210" t="s">
        <v>1123</v>
      </c>
      <c r="B6" s="201" t="str">
        <f t="shared" ref="B6:B36" si="0">C6&amp;"-"&amp;D6</f>
        <v>15821-G4010578</v>
      </c>
      <c r="C6" s="201">
        <v>15821</v>
      </c>
      <c r="D6" s="201" t="s">
        <v>1176</v>
      </c>
      <c r="E6" s="163" t="s">
        <v>1177</v>
      </c>
      <c r="F6" s="164" t="s">
        <v>81</v>
      </c>
      <c r="G6" s="164" t="s">
        <v>78</v>
      </c>
      <c r="H6" s="162" t="s">
        <v>88</v>
      </c>
      <c r="I6" s="162" t="s">
        <v>1124</v>
      </c>
      <c r="J6" s="163" t="s">
        <v>1178</v>
      </c>
      <c r="K6" s="212">
        <v>1.54</v>
      </c>
      <c r="L6" s="212">
        <v>0.2</v>
      </c>
      <c r="M6" s="212">
        <v>0.38</v>
      </c>
      <c r="N6" s="212">
        <v>0.96</v>
      </c>
      <c r="O6" s="212">
        <v>2.5</v>
      </c>
      <c r="P6" s="166">
        <v>0.44800000000000012</v>
      </c>
      <c r="Q6" s="167">
        <f>IF(P6&gt;'3X3 Data'!$D$9,3,IF(P6&gt;'3X3 Data'!$D$10,2,IF(P6&lt;'3X3 Data'!$D$11,1)))</f>
        <v>2</v>
      </c>
      <c r="R6" s="166">
        <v>1</v>
      </c>
      <c r="S6" s="165">
        <v>59.06150370210004</v>
      </c>
      <c r="T6" s="165">
        <v>26.459553658540827</v>
      </c>
      <c r="U6" s="165">
        <v>-1.2367755868544601</v>
      </c>
      <c r="V6" s="165">
        <v>57.824728115245577</v>
      </c>
      <c r="W6" s="165">
        <v>25.222778071686367</v>
      </c>
      <c r="X6" s="168">
        <f>IF(W6&gt;'3X3 Data'!$J$9,3,IF(W6&gt;'3X3 Data'!$J$10,2,IF(W6&lt;'3X3 Data'!$J$11,1)))</f>
        <v>2</v>
      </c>
      <c r="Y6" s="169">
        <v>99.69780709525098</v>
      </c>
      <c r="Z6" s="169">
        <v>43.48754839945925</v>
      </c>
      <c r="AA6" s="168">
        <f>IF(Z6&gt;'3X3 Data'!$J$15,3,IF(Z6&gt;'3X3 Data'!$J$16,2,IF(Z6&lt;'3X3 Data'!$J$17,1)))</f>
        <v>3</v>
      </c>
      <c r="AB6" s="165">
        <f t="shared" ref="AB6:AB34" si="1">(2*AA6+X6)/3</f>
        <v>2.6666666666666665</v>
      </c>
      <c r="AC6" s="168">
        <f t="shared" ref="AC6:AC32" si="2">ROUND(AB6,)</f>
        <v>3</v>
      </c>
      <c r="AD6" s="206">
        <v>46.754422330015004</v>
      </c>
      <c r="AE6" s="206">
        <v>20.393981203846728</v>
      </c>
      <c r="AF6" s="206">
        <v>29.370615358732653</v>
      </c>
      <c r="AG6" s="240">
        <v>1.1644480744848011</v>
      </c>
      <c r="AH6" s="206">
        <v>59.06150370210004</v>
      </c>
      <c r="AI6" s="206">
        <v>0</v>
      </c>
      <c r="AJ6" s="206">
        <v>0</v>
      </c>
      <c r="AK6" s="206">
        <v>0</v>
      </c>
      <c r="AL6" s="206">
        <v>59.06150370210004</v>
      </c>
      <c r="AM6" s="206">
        <v>0</v>
      </c>
      <c r="AN6" s="206">
        <v>0</v>
      </c>
      <c r="AO6" s="206">
        <v>0</v>
      </c>
      <c r="AP6" s="206">
        <v>0</v>
      </c>
      <c r="AQ6" s="206">
        <v>0</v>
      </c>
      <c r="AR6" s="206">
        <v>0</v>
      </c>
      <c r="AS6" s="241">
        <v>26.459553658540827</v>
      </c>
      <c r="AT6" s="242">
        <v>0</v>
      </c>
      <c r="AU6" s="206">
        <v>0</v>
      </c>
      <c r="AV6" s="206">
        <v>0</v>
      </c>
      <c r="AW6" s="206">
        <v>26.459553658540827</v>
      </c>
      <c r="AX6" s="206">
        <v>0</v>
      </c>
      <c r="AY6" s="206">
        <v>0</v>
      </c>
      <c r="AZ6" s="206">
        <v>0</v>
      </c>
      <c r="BA6" s="206">
        <v>0</v>
      </c>
      <c r="BB6" s="206">
        <v>0</v>
      </c>
      <c r="BC6" s="243">
        <v>0</v>
      </c>
      <c r="BD6" s="244">
        <v>1.54</v>
      </c>
      <c r="BE6" s="206">
        <v>0</v>
      </c>
      <c r="BF6" s="206">
        <v>1.02</v>
      </c>
      <c r="BG6" s="206">
        <v>0.52</v>
      </c>
      <c r="BH6" s="206">
        <v>0</v>
      </c>
      <c r="BI6" s="206">
        <v>0</v>
      </c>
      <c r="BJ6" s="206">
        <v>0</v>
      </c>
      <c r="BK6" s="206">
        <v>0</v>
      </c>
      <c r="BL6" s="206">
        <v>0</v>
      </c>
      <c r="BM6" s="206">
        <v>0</v>
      </c>
      <c r="BN6" s="206">
        <v>0</v>
      </c>
      <c r="BO6" s="206">
        <v>0.2</v>
      </c>
      <c r="BP6" s="206">
        <v>0</v>
      </c>
      <c r="BQ6" s="206">
        <v>0.13</v>
      </c>
      <c r="BR6" s="206">
        <v>7.0000000000000007E-2</v>
      </c>
      <c r="BS6" s="206">
        <v>0</v>
      </c>
      <c r="BT6" s="206">
        <v>0</v>
      </c>
      <c r="BU6" s="206">
        <v>0</v>
      </c>
      <c r="BV6" s="206">
        <v>0</v>
      </c>
      <c r="BW6" s="206">
        <v>0</v>
      </c>
      <c r="BX6" s="206">
        <v>0</v>
      </c>
      <c r="BY6" s="206">
        <v>0</v>
      </c>
      <c r="BZ6" s="206">
        <v>0.38</v>
      </c>
      <c r="CA6" s="206">
        <v>0</v>
      </c>
      <c r="CB6" s="206">
        <v>0.25</v>
      </c>
      <c r="CC6" s="206">
        <v>0.13</v>
      </c>
      <c r="CD6" s="206">
        <v>0</v>
      </c>
      <c r="CE6" s="206">
        <v>0</v>
      </c>
      <c r="CF6" s="165">
        <v>0</v>
      </c>
      <c r="CG6" s="165">
        <v>0</v>
      </c>
      <c r="CH6" s="165">
        <v>0</v>
      </c>
      <c r="CI6" s="165">
        <v>0</v>
      </c>
      <c r="CJ6" s="165">
        <v>0</v>
      </c>
      <c r="CK6" s="165">
        <v>0.96</v>
      </c>
      <c r="CL6" s="165">
        <v>0</v>
      </c>
      <c r="CM6" s="165">
        <v>0.64</v>
      </c>
      <c r="CN6" s="165">
        <v>0.32</v>
      </c>
      <c r="CO6" s="165">
        <v>0</v>
      </c>
      <c r="CP6" s="165">
        <v>0</v>
      </c>
      <c r="CQ6" s="165">
        <v>0</v>
      </c>
      <c r="CR6" s="165">
        <v>0</v>
      </c>
      <c r="CS6" s="165">
        <v>0</v>
      </c>
      <c r="CT6" s="165">
        <v>0</v>
      </c>
      <c r="CU6" s="165">
        <v>0</v>
      </c>
      <c r="CV6" s="165" t="s">
        <v>1126</v>
      </c>
      <c r="CW6" s="165" t="s">
        <v>1126</v>
      </c>
      <c r="CX6" s="165" t="s">
        <v>1128</v>
      </c>
      <c r="CY6" s="165" t="s">
        <v>1128</v>
      </c>
      <c r="CZ6" s="165">
        <v>3</v>
      </c>
      <c r="DA6" s="165">
        <v>3</v>
      </c>
      <c r="DB6" s="165">
        <v>2</v>
      </c>
      <c r="DC6" s="165">
        <v>2</v>
      </c>
      <c r="DD6" s="171" t="s">
        <v>1179</v>
      </c>
      <c r="DE6" s="171" t="s">
        <v>1180</v>
      </c>
      <c r="DF6" s="171" t="s">
        <v>1181</v>
      </c>
      <c r="DG6" s="171" t="s">
        <v>1182</v>
      </c>
      <c r="DH6" s="170">
        <v>0.8</v>
      </c>
      <c r="DI6" s="170">
        <v>1</v>
      </c>
      <c r="DJ6" s="170">
        <v>1</v>
      </c>
      <c r="DK6" s="170">
        <v>0.8</v>
      </c>
      <c r="DL6" s="170">
        <v>0.70000000000000007</v>
      </c>
      <c r="DM6" s="172" t="s">
        <v>1183</v>
      </c>
      <c r="DN6" s="172" t="s">
        <v>1184</v>
      </c>
      <c r="DO6" s="172" t="s">
        <v>1184</v>
      </c>
      <c r="DP6" s="172" t="s">
        <v>1184</v>
      </c>
      <c r="DQ6" s="172" t="s">
        <v>1185</v>
      </c>
      <c r="DR6" s="170">
        <v>1</v>
      </c>
      <c r="DS6" s="170">
        <v>0</v>
      </c>
      <c r="DT6" s="170">
        <v>0</v>
      </c>
      <c r="DU6" s="170">
        <v>0</v>
      </c>
      <c r="DV6" s="170">
        <v>1.2000000000000001E-3</v>
      </c>
      <c r="DW6" s="170">
        <v>0</v>
      </c>
      <c r="DX6" s="170">
        <v>0</v>
      </c>
      <c r="DY6" s="170">
        <v>0</v>
      </c>
      <c r="DZ6" s="170">
        <v>0</v>
      </c>
      <c r="EA6" s="170">
        <v>0</v>
      </c>
      <c r="EB6" s="170">
        <v>0</v>
      </c>
      <c r="EC6" s="172" t="s">
        <v>1186</v>
      </c>
      <c r="ED6" s="172" t="s">
        <v>1184</v>
      </c>
      <c r="EE6" s="172" t="s">
        <v>1184</v>
      </c>
      <c r="EF6" s="172" t="s">
        <v>1184</v>
      </c>
      <c r="EG6" s="172" t="s">
        <v>1187</v>
      </c>
      <c r="EH6" s="172" t="s">
        <v>1184</v>
      </c>
      <c r="EI6" s="172" t="s">
        <v>1184</v>
      </c>
      <c r="EJ6" s="172" t="s">
        <v>1184</v>
      </c>
      <c r="EK6" s="172" t="s">
        <v>1184</v>
      </c>
      <c r="EL6" s="172" t="s">
        <v>1184</v>
      </c>
      <c r="EM6" s="172" t="s">
        <v>1184</v>
      </c>
      <c r="EN6" s="170">
        <v>1</v>
      </c>
      <c r="EO6" s="170">
        <v>1</v>
      </c>
      <c r="EP6" s="170">
        <v>1</v>
      </c>
      <c r="EQ6" s="170">
        <v>1</v>
      </c>
      <c r="ER6" s="170">
        <v>1</v>
      </c>
      <c r="ES6" s="170">
        <v>1</v>
      </c>
      <c r="ET6" s="170">
        <v>1</v>
      </c>
      <c r="EU6" s="172" t="s">
        <v>343</v>
      </c>
      <c r="EV6" s="170">
        <v>43962</v>
      </c>
      <c r="EW6" s="170">
        <v>0</v>
      </c>
      <c r="EX6" s="170">
        <v>0</v>
      </c>
      <c r="EY6" s="170">
        <v>0</v>
      </c>
      <c r="EZ6" s="170">
        <v>0</v>
      </c>
      <c r="FA6" s="170">
        <v>0</v>
      </c>
      <c r="FB6" s="170">
        <v>0</v>
      </c>
      <c r="FC6" s="170">
        <v>0</v>
      </c>
      <c r="FD6" s="170">
        <v>0</v>
      </c>
      <c r="FE6" s="170">
        <v>0</v>
      </c>
      <c r="FF6" s="172" t="s">
        <v>49</v>
      </c>
      <c r="FG6" s="170" t="s">
        <v>49</v>
      </c>
    </row>
    <row r="7" spans="1:163" ht="12" customHeight="1">
      <c r="A7" s="210" t="s">
        <v>1123</v>
      </c>
      <c r="B7" s="201" t="str">
        <f t="shared" si="0"/>
        <v>15821-G4010579</v>
      </c>
      <c r="C7" s="201">
        <v>15821</v>
      </c>
      <c r="D7" s="201" t="s">
        <v>1188</v>
      </c>
      <c r="E7" s="163" t="s">
        <v>1189</v>
      </c>
      <c r="F7" s="164" t="s">
        <v>81</v>
      </c>
      <c r="G7" s="164" t="s">
        <v>78</v>
      </c>
      <c r="H7" s="162" t="s">
        <v>88</v>
      </c>
      <c r="I7" s="162" t="s">
        <v>1124</v>
      </c>
      <c r="J7" s="163" t="s">
        <v>1190</v>
      </c>
      <c r="K7" s="212">
        <v>1.2789999999999999</v>
      </c>
      <c r="L7" s="212">
        <v>0.245</v>
      </c>
      <c r="M7" s="212">
        <v>0.313</v>
      </c>
      <c r="N7" s="212">
        <v>0.72099999999999997</v>
      </c>
      <c r="O7" s="212">
        <v>2</v>
      </c>
      <c r="P7" s="166">
        <v>0.60000000000000009</v>
      </c>
      <c r="Q7" s="167">
        <f>IF(P7&gt;'3X3 Data'!$D$9,3,IF(P7&gt;'3X3 Data'!$D$10,2,IF(P7&lt;'3X3 Data'!$D$11,1)))</f>
        <v>2</v>
      </c>
      <c r="R7" s="166">
        <v>1</v>
      </c>
      <c r="S7" s="165">
        <v>1.8077358248632687</v>
      </c>
      <c r="T7" s="165">
        <v>1.0846414949179615</v>
      </c>
      <c r="U7" s="165">
        <v>-1.0277602816901408</v>
      </c>
      <c r="V7" s="165">
        <v>0.77997554317312789</v>
      </c>
      <c r="W7" s="165">
        <v>5.6881213227820693E-2</v>
      </c>
      <c r="X7" s="168">
        <f>IF(W7&gt;'3X3 Data'!$J$9,3,IF(W7&gt;'3X3 Data'!$J$10,2,IF(W7&lt;'3X3 Data'!$J$11,1)))</f>
        <v>1</v>
      </c>
      <c r="Y7" s="169">
        <v>1.3978056329267523</v>
      </c>
      <c r="Z7" s="169">
        <v>0.101937658114374</v>
      </c>
      <c r="AA7" s="168">
        <f>IF(Z7&gt;'3X3 Data'!$J$15,3,IF(Z7&gt;'3X3 Data'!$J$16,2,IF(Z7&lt;'3X3 Data'!$J$17,1)))</f>
        <v>1</v>
      </c>
      <c r="AB7" s="165">
        <f t="shared" si="1"/>
        <v>1</v>
      </c>
      <c r="AC7" s="168">
        <f t="shared" si="2"/>
        <v>1</v>
      </c>
      <c r="AD7" s="206">
        <v>0.7589080421462352</v>
      </c>
      <c r="AE7" s="206">
        <v>5.5344825287741366E-2</v>
      </c>
      <c r="AF7" s="206">
        <v>0.88560607213285281</v>
      </c>
      <c r="AG7" s="240">
        <v>15.569394917541974</v>
      </c>
      <c r="AH7" s="206">
        <v>1.8077358248632687</v>
      </c>
      <c r="AI7" s="206">
        <v>1.8077358248632687</v>
      </c>
      <c r="AJ7" s="206">
        <v>0</v>
      </c>
      <c r="AK7" s="206">
        <v>0</v>
      </c>
      <c r="AL7" s="206">
        <v>0</v>
      </c>
      <c r="AM7" s="206">
        <v>0</v>
      </c>
      <c r="AN7" s="206">
        <v>0</v>
      </c>
      <c r="AO7" s="206">
        <v>0</v>
      </c>
      <c r="AP7" s="206">
        <v>0</v>
      </c>
      <c r="AQ7" s="206">
        <v>0</v>
      </c>
      <c r="AR7" s="206">
        <v>0</v>
      </c>
      <c r="AS7" s="241">
        <v>1.0846414949179615</v>
      </c>
      <c r="AT7" s="242">
        <v>1.0846414949179615</v>
      </c>
      <c r="AU7" s="206">
        <v>0</v>
      </c>
      <c r="AV7" s="206">
        <v>0</v>
      </c>
      <c r="AW7" s="206">
        <v>0</v>
      </c>
      <c r="AX7" s="206">
        <v>0</v>
      </c>
      <c r="AY7" s="206">
        <v>0</v>
      </c>
      <c r="AZ7" s="206">
        <v>0</v>
      </c>
      <c r="BA7" s="206">
        <v>0</v>
      </c>
      <c r="BB7" s="206">
        <v>0</v>
      </c>
      <c r="BC7" s="243">
        <v>0</v>
      </c>
      <c r="BD7" s="244">
        <v>1.2789999999999999</v>
      </c>
      <c r="BE7" s="206">
        <v>0</v>
      </c>
      <c r="BF7" s="206">
        <v>0.85899999999999999</v>
      </c>
      <c r="BG7" s="206">
        <v>0.42</v>
      </c>
      <c r="BH7" s="206">
        <v>0</v>
      </c>
      <c r="BI7" s="206">
        <v>0</v>
      </c>
      <c r="BJ7" s="206">
        <v>0</v>
      </c>
      <c r="BK7" s="206">
        <v>0</v>
      </c>
      <c r="BL7" s="206">
        <v>0</v>
      </c>
      <c r="BM7" s="206">
        <v>0</v>
      </c>
      <c r="BN7" s="206">
        <v>0</v>
      </c>
      <c r="BO7" s="206">
        <v>0.245</v>
      </c>
      <c r="BP7" s="206">
        <v>0</v>
      </c>
      <c r="BQ7" s="206">
        <v>0.20899999999999999</v>
      </c>
      <c r="BR7" s="206">
        <v>3.5999999999999997E-2</v>
      </c>
      <c r="BS7" s="206">
        <v>0</v>
      </c>
      <c r="BT7" s="206">
        <v>0</v>
      </c>
      <c r="BU7" s="206">
        <v>0</v>
      </c>
      <c r="BV7" s="206">
        <v>0</v>
      </c>
      <c r="BW7" s="206">
        <v>0</v>
      </c>
      <c r="BX7" s="206">
        <v>0</v>
      </c>
      <c r="BY7" s="206">
        <v>0</v>
      </c>
      <c r="BZ7" s="206">
        <v>0.313</v>
      </c>
      <c r="CA7" s="206">
        <v>0</v>
      </c>
      <c r="CB7" s="206">
        <v>0.16900000000000001</v>
      </c>
      <c r="CC7" s="206">
        <v>0.14399999999999999</v>
      </c>
      <c r="CD7" s="206">
        <v>0</v>
      </c>
      <c r="CE7" s="206">
        <v>0</v>
      </c>
      <c r="CF7" s="165">
        <v>0</v>
      </c>
      <c r="CG7" s="165">
        <v>0</v>
      </c>
      <c r="CH7" s="165">
        <v>0</v>
      </c>
      <c r="CI7" s="165">
        <v>0</v>
      </c>
      <c r="CJ7" s="165">
        <v>0</v>
      </c>
      <c r="CK7" s="165">
        <v>0.72099999999999997</v>
      </c>
      <c r="CL7" s="165">
        <v>0</v>
      </c>
      <c r="CM7" s="165">
        <v>0.48099999999999998</v>
      </c>
      <c r="CN7" s="165">
        <v>0.24</v>
      </c>
      <c r="CO7" s="165">
        <v>0</v>
      </c>
      <c r="CP7" s="165">
        <v>0</v>
      </c>
      <c r="CQ7" s="165">
        <v>0</v>
      </c>
      <c r="CR7" s="165">
        <v>0</v>
      </c>
      <c r="CS7" s="165">
        <v>0</v>
      </c>
      <c r="CT7" s="165">
        <v>0</v>
      </c>
      <c r="CU7" s="165">
        <v>0</v>
      </c>
      <c r="CV7" s="165" t="s">
        <v>1126</v>
      </c>
      <c r="CW7" s="165" t="s">
        <v>1128</v>
      </c>
      <c r="CX7" s="165" t="s">
        <v>1128</v>
      </c>
      <c r="CY7" s="165" t="s">
        <v>1191</v>
      </c>
      <c r="CZ7" s="165">
        <v>3</v>
      </c>
      <c r="DA7" s="165">
        <v>2</v>
      </c>
      <c r="DB7" s="165">
        <v>2</v>
      </c>
      <c r="DC7" s="165">
        <v>1</v>
      </c>
      <c r="DD7" s="171" t="s">
        <v>1192</v>
      </c>
      <c r="DE7" s="171" t="s">
        <v>1193</v>
      </c>
      <c r="DF7" s="171" t="s">
        <v>1194</v>
      </c>
      <c r="DG7" s="171" t="s">
        <v>1195</v>
      </c>
      <c r="DH7" s="170">
        <v>1</v>
      </c>
      <c r="DI7" s="170">
        <v>1</v>
      </c>
      <c r="DJ7" s="170">
        <v>1</v>
      </c>
      <c r="DK7" s="170">
        <v>0.60000000000000009</v>
      </c>
      <c r="DL7" s="170">
        <v>1</v>
      </c>
      <c r="DM7" s="172" t="s">
        <v>1196</v>
      </c>
      <c r="DN7" s="172" t="s">
        <v>1197</v>
      </c>
      <c r="DO7" s="172" t="s">
        <v>1198</v>
      </c>
      <c r="DP7" s="172" t="s">
        <v>1199</v>
      </c>
      <c r="DQ7" s="172" t="s">
        <v>1200</v>
      </c>
      <c r="DR7" s="170">
        <v>1</v>
      </c>
      <c r="DS7" s="170">
        <v>4.0000000000000002E-4</v>
      </c>
      <c r="DT7" s="170">
        <v>0</v>
      </c>
      <c r="DU7" s="170">
        <v>0</v>
      </c>
      <c r="DV7" s="170">
        <v>0</v>
      </c>
      <c r="DW7" s="170">
        <v>0</v>
      </c>
      <c r="DX7" s="170">
        <v>0</v>
      </c>
      <c r="DY7" s="170">
        <v>0</v>
      </c>
      <c r="DZ7" s="170">
        <v>0</v>
      </c>
      <c r="EA7" s="170">
        <v>0</v>
      </c>
      <c r="EB7" s="170">
        <v>0</v>
      </c>
      <c r="EC7" s="172" t="s">
        <v>1201</v>
      </c>
      <c r="ED7" s="172" t="s">
        <v>1202</v>
      </c>
      <c r="EE7" s="172" t="s">
        <v>1203</v>
      </c>
      <c r="EF7" s="172" t="s">
        <v>1203</v>
      </c>
      <c r="EG7" s="172" t="s">
        <v>1203</v>
      </c>
      <c r="EH7" s="172" t="s">
        <v>1203</v>
      </c>
      <c r="EI7" s="172" t="s">
        <v>1203</v>
      </c>
      <c r="EJ7" s="172" t="s">
        <v>1203</v>
      </c>
      <c r="EK7" s="172" t="s">
        <v>1203</v>
      </c>
      <c r="EL7" s="172" t="s">
        <v>1203</v>
      </c>
      <c r="EM7" s="172" t="s">
        <v>1203</v>
      </c>
      <c r="EN7" s="170">
        <v>1</v>
      </c>
      <c r="EO7" s="170">
        <v>1</v>
      </c>
      <c r="EP7" s="170">
        <v>1</v>
      </c>
      <c r="EQ7" s="170">
        <v>1</v>
      </c>
      <c r="ER7" s="170">
        <v>1</v>
      </c>
      <c r="ES7" s="170">
        <v>1</v>
      </c>
      <c r="ET7" s="170">
        <v>1</v>
      </c>
      <c r="EU7" s="172" t="s">
        <v>343</v>
      </c>
      <c r="EV7" s="170">
        <v>43962</v>
      </c>
      <c r="EW7" s="170">
        <v>0</v>
      </c>
      <c r="EX7" s="170">
        <v>0</v>
      </c>
      <c r="EY7" s="170">
        <v>0</v>
      </c>
      <c r="EZ7" s="170">
        <v>0</v>
      </c>
      <c r="FA7" s="170">
        <v>0</v>
      </c>
      <c r="FB7" s="170">
        <v>0</v>
      </c>
      <c r="FC7" s="170">
        <v>0</v>
      </c>
      <c r="FD7" s="170">
        <v>0</v>
      </c>
      <c r="FE7" s="170">
        <v>0</v>
      </c>
      <c r="FF7" s="172" t="s">
        <v>49</v>
      </c>
      <c r="FG7" s="170" t="s">
        <v>49</v>
      </c>
    </row>
    <row r="8" spans="1:163" ht="12" customHeight="1">
      <c r="A8" s="210" t="s">
        <v>1123</v>
      </c>
      <c r="B8" s="201" t="str">
        <f t="shared" si="0"/>
        <v>15821-G4010600</v>
      </c>
      <c r="C8" s="201">
        <v>15821</v>
      </c>
      <c r="D8" s="201" t="s">
        <v>1204</v>
      </c>
      <c r="E8" s="163" t="s">
        <v>1205</v>
      </c>
      <c r="F8" s="164" t="s">
        <v>81</v>
      </c>
      <c r="G8" s="164" t="s">
        <v>78</v>
      </c>
      <c r="H8" s="162" t="s">
        <v>88</v>
      </c>
      <c r="I8" s="162" t="s">
        <v>1206</v>
      </c>
      <c r="J8" s="163" t="s">
        <v>1207</v>
      </c>
      <c r="K8" s="212">
        <v>0.77800000000000002</v>
      </c>
      <c r="L8" s="212">
        <v>0.125</v>
      </c>
      <c r="M8" s="212">
        <v>0.18</v>
      </c>
      <c r="N8" s="212">
        <v>0.47299999999999998</v>
      </c>
      <c r="O8" s="212">
        <v>2.5</v>
      </c>
      <c r="P8" s="166">
        <v>0.72000000000000008</v>
      </c>
      <c r="Q8" s="167">
        <f>IF(P8&gt;'3X3 Data'!$D$9,3,IF(P8&gt;'3X3 Data'!$D$10,2,IF(P8&lt;'3X3 Data'!$D$11,1)))</f>
        <v>3</v>
      </c>
      <c r="R8" s="166">
        <v>1</v>
      </c>
      <c r="S8" s="165">
        <v>9.0386791243163422</v>
      </c>
      <c r="T8" s="165">
        <v>6.5078489695077675</v>
      </c>
      <c r="U8" s="165">
        <v>-0.62469755868544607</v>
      </c>
      <c r="V8" s="165">
        <v>8.4139815656308965</v>
      </c>
      <c r="W8" s="165">
        <v>5.8831514108223217</v>
      </c>
      <c r="X8" s="168">
        <f>IF(W8&gt;'3X3 Data'!$J$9,3,IF(W8&gt;'3X3 Data'!$J$10,2,IF(W8&lt;'3X3 Data'!$J$11,1)))</f>
        <v>2</v>
      </c>
      <c r="Y8" s="169">
        <v>27.586824805347202</v>
      </c>
      <c r="Z8" s="169">
        <v>19.289021019089581</v>
      </c>
      <c r="AA8" s="168">
        <f>IF(Z8&gt;'3X3 Data'!$J$15,3,IF(Z8&gt;'3X3 Data'!$J$16,2,IF(Z8&lt;'3X3 Data'!$J$17,1)))</f>
        <v>3</v>
      </c>
      <c r="AB8" s="165">
        <f t="shared" si="1"/>
        <v>2.6666666666666665</v>
      </c>
      <c r="AC8" s="168">
        <f t="shared" si="2"/>
        <v>3</v>
      </c>
      <c r="AD8" s="206">
        <v>13.468888182205283</v>
      </c>
      <c r="AE8" s="206">
        <v>9.417599491187806</v>
      </c>
      <c r="AF8" s="206">
        <v>4.058356861461319</v>
      </c>
      <c r="AG8" s="240">
        <v>0.68982702943796226</v>
      </c>
      <c r="AH8" s="206">
        <v>9.0386791243163422</v>
      </c>
      <c r="AI8" s="206">
        <v>9.0386791243163422</v>
      </c>
      <c r="AJ8" s="206">
        <v>0</v>
      </c>
      <c r="AK8" s="206">
        <v>0</v>
      </c>
      <c r="AL8" s="206">
        <v>0</v>
      </c>
      <c r="AM8" s="206">
        <v>0</v>
      </c>
      <c r="AN8" s="206">
        <v>0</v>
      </c>
      <c r="AO8" s="206">
        <v>0</v>
      </c>
      <c r="AP8" s="206">
        <v>0</v>
      </c>
      <c r="AQ8" s="206">
        <v>0</v>
      </c>
      <c r="AR8" s="206">
        <v>0</v>
      </c>
      <c r="AS8" s="241">
        <v>6.5078489695077675</v>
      </c>
      <c r="AT8" s="242">
        <v>6.5078489695077675</v>
      </c>
      <c r="AU8" s="206">
        <v>0</v>
      </c>
      <c r="AV8" s="206">
        <v>0</v>
      </c>
      <c r="AW8" s="206">
        <v>0</v>
      </c>
      <c r="AX8" s="206">
        <v>0</v>
      </c>
      <c r="AY8" s="206">
        <v>0</v>
      </c>
      <c r="AZ8" s="206">
        <v>0</v>
      </c>
      <c r="BA8" s="206">
        <v>0</v>
      </c>
      <c r="BB8" s="206">
        <v>0</v>
      </c>
      <c r="BC8" s="243">
        <v>0</v>
      </c>
      <c r="BD8" s="244">
        <v>0.77800000000000002</v>
      </c>
      <c r="BE8" s="206">
        <v>0</v>
      </c>
      <c r="BF8" s="206">
        <v>0.51300000000000001</v>
      </c>
      <c r="BG8" s="206">
        <v>0.26500000000000001</v>
      </c>
      <c r="BH8" s="206">
        <v>0</v>
      </c>
      <c r="BI8" s="206">
        <v>0</v>
      </c>
      <c r="BJ8" s="206">
        <v>0</v>
      </c>
      <c r="BK8" s="206">
        <v>0</v>
      </c>
      <c r="BL8" s="206">
        <v>0</v>
      </c>
      <c r="BM8" s="206">
        <v>0</v>
      </c>
      <c r="BN8" s="206">
        <v>0</v>
      </c>
      <c r="BO8" s="206">
        <v>0.125</v>
      </c>
      <c r="BP8" s="206">
        <v>0</v>
      </c>
      <c r="BQ8" s="206">
        <v>8.3000000000000004E-2</v>
      </c>
      <c r="BR8" s="206">
        <v>4.2000000000000003E-2</v>
      </c>
      <c r="BS8" s="206">
        <v>0</v>
      </c>
      <c r="BT8" s="206">
        <v>0</v>
      </c>
      <c r="BU8" s="206">
        <v>0</v>
      </c>
      <c r="BV8" s="206">
        <v>0</v>
      </c>
      <c r="BW8" s="206">
        <v>0</v>
      </c>
      <c r="BX8" s="206">
        <v>0</v>
      </c>
      <c r="BY8" s="206">
        <v>0</v>
      </c>
      <c r="BZ8" s="206">
        <v>0.18</v>
      </c>
      <c r="CA8" s="206">
        <v>0</v>
      </c>
      <c r="CB8" s="206">
        <v>0.11899999999999999</v>
      </c>
      <c r="CC8" s="206">
        <v>6.0999999999999999E-2</v>
      </c>
      <c r="CD8" s="206">
        <v>0</v>
      </c>
      <c r="CE8" s="206">
        <v>0</v>
      </c>
      <c r="CF8" s="165">
        <v>0</v>
      </c>
      <c r="CG8" s="165">
        <v>0</v>
      </c>
      <c r="CH8" s="165">
        <v>0</v>
      </c>
      <c r="CI8" s="165">
        <v>0</v>
      </c>
      <c r="CJ8" s="165">
        <v>0</v>
      </c>
      <c r="CK8" s="165">
        <v>0.47299999999999998</v>
      </c>
      <c r="CL8" s="165">
        <v>0</v>
      </c>
      <c r="CM8" s="165">
        <v>0.311</v>
      </c>
      <c r="CN8" s="165">
        <v>0.16200000000000001</v>
      </c>
      <c r="CO8" s="165">
        <v>0</v>
      </c>
      <c r="CP8" s="165">
        <v>0</v>
      </c>
      <c r="CQ8" s="165">
        <v>0</v>
      </c>
      <c r="CR8" s="165">
        <v>0</v>
      </c>
      <c r="CS8" s="165">
        <v>0</v>
      </c>
      <c r="CT8" s="165">
        <v>0</v>
      </c>
      <c r="CU8" s="165">
        <v>0</v>
      </c>
      <c r="CV8" s="165" t="s">
        <v>1126</v>
      </c>
      <c r="CW8" s="165" t="s">
        <v>1126</v>
      </c>
      <c r="CX8" s="165" t="s">
        <v>1128</v>
      </c>
      <c r="CY8" s="165" t="s">
        <v>1128</v>
      </c>
      <c r="CZ8" s="165">
        <v>3</v>
      </c>
      <c r="DA8" s="165">
        <v>3</v>
      </c>
      <c r="DB8" s="165">
        <v>2</v>
      </c>
      <c r="DC8" s="165">
        <v>2</v>
      </c>
      <c r="DD8" s="171" t="s">
        <v>1161</v>
      </c>
      <c r="DE8" s="171" t="s">
        <v>1162</v>
      </c>
      <c r="DF8" s="171" t="s">
        <v>1163</v>
      </c>
      <c r="DG8" s="171" t="s">
        <v>1208</v>
      </c>
      <c r="DH8" s="170">
        <v>0.8</v>
      </c>
      <c r="DI8" s="170">
        <v>1</v>
      </c>
      <c r="DJ8" s="170">
        <v>1</v>
      </c>
      <c r="DK8" s="170">
        <v>1</v>
      </c>
      <c r="DL8" s="170">
        <v>0.9</v>
      </c>
      <c r="DM8" s="172" t="s">
        <v>1209</v>
      </c>
      <c r="DN8" s="172" t="s">
        <v>1166</v>
      </c>
      <c r="DO8" s="172" t="s">
        <v>1210</v>
      </c>
      <c r="DP8" s="172" t="s">
        <v>1211</v>
      </c>
      <c r="DQ8" s="172" t="s">
        <v>1212</v>
      </c>
      <c r="DR8" s="170">
        <v>1</v>
      </c>
      <c r="DS8" s="170">
        <v>2E-3</v>
      </c>
      <c r="DT8" s="170">
        <v>0</v>
      </c>
      <c r="DU8" s="170">
        <v>0</v>
      </c>
      <c r="DV8" s="170">
        <v>0</v>
      </c>
      <c r="DW8" s="170">
        <v>0</v>
      </c>
      <c r="DX8" s="170">
        <v>0</v>
      </c>
      <c r="DY8" s="170">
        <v>0</v>
      </c>
      <c r="DZ8" s="170">
        <v>0</v>
      </c>
      <c r="EA8" s="170">
        <v>0</v>
      </c>
      <c r="EB8" s="170">
        <v>0</v>
      </c>
      <c r="EC8" s="172" t="s">
        <v>1213</v>
      </c>
      <c r="ED8" s="172" t="s">
        <v>1214</v>
      </c>
      <c r="EE8" s="172" t="s">
        <v>1215</v>
      </c>
      <c r="EF8" s="172" t="s">
        <v>1173</v>
      </c>
      <c r="EG8" s="172" t="s">
        <v>1173</v>
      </c>
      <c r="EH8" s="172" t="s">
        <v>1173</v>
      </c>
      <c r="EI8" s="172" t="s">
        <v>1173</v>
      </c>
      <c r="EJ8" s="172" t="s">
        <v>1173</v>
      </c>
      <c r="EK8" s="172" t="s">
        <v>1173</v>
      </c>
      <c r="EL8" s="172" t="s">
        <v>1173</v>
      </c>
      <c r="EM8" s="172" t="s">
        <v>1173</v>
      </c>
      <c r="EN8" s="170">
        <v>1</v>
      </c>
      <c r="EO8" s="170">
        <v>1</v>
      </c>
      <c r="EP8" s="170">
        <v>1</v>
      </c>
      <c r="EQ8" s="170">
        <v>1</v>
      </c>
      <c r="ER8" s="170">
        <v>1</v>
      </c>
      <c r="ES8" s="170">
        <v>1</v>
      </c>
      <c r="ET8" s="170">
        <v>1</v>
      </c>
      <c r="EU8" s="172" t="s">
        <v>343</v>
      </c>
      <c r="EV8" s="170">
        <v>43962</v>
      </c>
      <c r="EW8" s="170">
        <v>1</v>
      </c>
      <c r="EX8" s="170">
        <v>1</v>
      </c>
      <c r="EY8" s="170">
        <v>1</v>
      </c>
      <c r="EZ8" s="170">
        <v>1</v>
      </c>
      <c r="FA8" s="170">
        <v>1</v>
      </c>
      <c r="FB8" s="170">
        <v>1</v>
      </c>
      <c r="FC8" s="170">
        <v>1</v>
      </c>
      <c r="FD8" s="170">
        <v>0</v>
      </c>
      <c r="FE8" s="170">
        <v>0.875</v>
      </c>
      <c r="FF8" s="172" t="s">
        <v>357</v>
      </c>
      <c r="FG8" s="170">
        <v>43801</v>
      </c>
    </row>
    <row r="9" spans="1:163" ht="12" customHeight="1">
      <c r="A9" s="210" t="s">
        <v>1123</v>
      </c>
      <c r="B9" s="201" t="str">
        <f t="shared" si="0"/>
        <v>15821-G4010591</v>
      </c>
      <c r="C9" s="201">
        <v>15821</v>
      </c>
      <c r="D9" s="201" t="s">
        <v>1216</v>
      </c>
      <c r="E9" s="163" t="s">
        <v>1217</v>
      </c>
      <c r="F9" s="164" t="s">
        <v>81</v>
      </c>
      <c r="G9" s="164" t="s">
        <v>78</v>
      </c>
      <c r="H9" s="162" t="s">
        <v>88</v>
      </c>
      <c r="I9" s="162" t="s">
        <v>1124</v>
      </c>
      <c r="J9" s="163" t="s">
        <v>1218</v>
      </c>
      <c r="K9" s="212">
        <v>2.3130000000000002</v>
      </c>
      <c r="L9" s="212">
        <v>0.25</v>
      </c>
      <c r="M9" s="212">
        <v>0.47</v>
      </c>
      <c r="N9" s="212">
        <v>1.593</v>
      </c>
      <c r="O9" s="212">
        <v>2.5</v>
      </c>
      <c r="P9" s="166">
        <v>0.44800000000000006</v>
      </c>
      <c r="Q9" s="167">
        <f>IF(P9&gt;'3X3 Data'!$D$9,3,IF(P9&gt;'3X3 Data'!$D$10,2,IF(P9&lt;'3X3 Data'!$D$11,1)))</f>
        <v>2</v>
      </c>
      <c r="R9" s="166">
        <v>0.8</v>
      </c>
      <c r="S9" s="165">
        <v>19.687167900700018</v>
      </c>
      <c r="T9" s="165">
        <v>8.819851219513609</v>
      </c>
      <c r="U9" s="165">
        <v>-1.8505167136150236</v>
      </c>
      <c r="V9" s="165">
        <v>17.836651187084996</v>
      </c>
      <c r="W9" s="165">
        <v>6.9693345058985852</v>
      </c>
      <c r="X9" s="168">
        <f>IF(W9&gt;'3X3 Data'!$J$9,3,IF(W9&gt;'3X3 Data'!$J$10,2,IF(W9&lt;'3X3 Data'!$J$11,1)))</f>
        <v>2</v>
      </c>
      <c r="Y9" s="169">
        <v>24.773126648729161</v>
      </c>
      <c r="Z9" s="169">
        <v>9.6796312581924795</v>
      </c>
      <c r="AA9" s="168">
        <f>IF(Z9&gt;'3X3 Data'!$J$15,3,IF(Z9&gt;'3X3 Data'!$J$16,2,IF(Z9&lt;'3X3 Data'!$J$17,1)))</f>
        <v>2</v>
      </c>
      <c r="AB9" s="165">
        <f t="shared" si="1"/>
        <v>2</v>
      </c>
      <c r="AC9" s="168">
        <f t="shared" si="2"/>
        <v>2</v>
      </c>
      <c r="AD9" s="206">
        <v>9.6387409288731689</v>
      </c>
      <c r="AE9" s="206">
        <v>3.7661559361351795</v>
      </c>
      <c r="AF9" s="206">
        <v>9.7902051195775535</v>
      </c>
      <c r="AG9" s="240">
        <v>1.4047546593281595</v>
      </c>
      <c r="AH9" s="206">
        <v>19.687167900700018</v>
      </c>
      <c r="AI9" s="206">
        <v>0</v>
      </c>
      <c r="AJ9" s="206">
        <v>0</v>
      </c>
      <c r="AK9" s="206">
        <v>0</v>
      </c>
      <c r="AL9" s="206">
        <v>19.687167900700018</v>
      </c>
      <c r="AM9" s="206">
        <v>0</v>
      </c>
      <c r="AN9" s="206">
        <v>0</v>
      </c>
      <c r="AO9" s="206">
        <v>0</v>
      </c>
      <c r="AP9" s="206">
        <v>0</v>
      </c>
      <c r="AQ9" s="206">
        <v>0</v>
      </c>
      <c r="AR9" s="206">
        <v>0</v>
      </c>
      <c r="AS9" s="241">
        <v>8.819851219513609</v>
      </c>
      <c r="AT9" s="242">
        <v>0</v>
      </c>
      <c r="AU9" s="206">
        <v>0</v>
      </c>
      <c r="AV9" s="206">
        <v>0</v>
      </c>
      <c r="AW9" s="206">
        <v>8.819851219513609</v>
      </c>
      <c r="AX9" s="206">
        <v>0</v>
      </c>
      <c r="AY9" s="206">
        <v>0</v>
      </c>
      <c r="AZ9" s="206">
        <v>0</v>
      </c>
      <c r="BA9" s="206">
        <v>0</v>
      </c>
      <c r="BB9" s="206">
        <v>0</v>
      </c>
      <c r="BC9" s="243">
        <v>0</v>
      </c>
      <c r="BD9" s="244">
        <v>2.3130000000000002</v>
      </c>
      <c r="BE9" s="206">
        <v>0</v>
      </c>
      <c r="BF9" s="206">
        <v>1.391</v>
      </c>
      <c r="BG9" s="206">
        <v>0.92200000000000004</v>
      </c>
      <c r="BH9" s="206">
        <v>0</v>
      </c>
      <c r="BI9" s="206">
        <v>0</v>
      </c>
      <c r="BJ9" s="206">
        <v>0</v>
      </c>
      <c r="BK9" s="206">
        <v>0</v>
      </c>
      <c r="BL9" s="206">
        <v>0</v>
      </c>
      <c r="BM9" s="206">
        <v>0</v>
      </c>
      <c r="BN9" s="206">
        <v>0</v>
      </c>
      <c r="BO9" s="206">
        <v>0.25</v>
      </c>
      <c r="BP9" s="206">
        <v>0</v>
      </c>
      <c r="BQ9" s="206">
        <v>0.16700000000000001</v>
      </c>
      <c r="BR9" s="206">
        <v>8.3000000000000004E-2</v>
      </c>
      <c r="BS9" s="206">
        <v>0</v>
      </c>
      <c r="BT9" s="206">
        <v>0</v>
      </c>
      <c r="BU9" s="206">
        <v>0</v>
      </c>
      <c r="BV9" s="206">
        <v>0</v>
      </c>
      <c r="BW9" s="206">
        <v>0</v>
      </c>
      <c r="BX9" s="206">
        <v>0</v>
      </c>
      <c r="BY9" s="206">
        <v>0</v>
      </c>
      <c r="BZ9" s="206">
        <v>0.47</v>
      </c>
      <c r="CA9" s="206">
        <v>0</v>
      </c>
      <c r="CB9" s="206">
        <v>0.28299999999999997</v>
      </c>
      <c r="CC9" s="206">
        <v>0.187</v>
      </c>
      <c r="CD9" s="206">
        <v>0</v>
      </c>
      <c r="CE9" s="206">
        <v>0</v>
      </c>
      <c r="CF9" s="165">
        <v>0</v>
      </c>
      <c r="CG9" s="165">
        <v>0</v>
      </c>
      <c r="CH9" s="165">
        <v>0</v>
      </c>
      <c r="CI9" s="165">
        <v>0</v>
      </c>
      <c r="CJ9" s="165">
        <v>0</v>
      </c>
      <c r="CK9" s="165">
        <v>1.593</v>
      </c>
      <c r="CL9" s="165">
        <v>0</v>
      </c>
      <c r="CM9" s="165">
        <v>0.94099999999999995</v>
      </c>
      <c r="CN9" s="165">
        <v>0.65200000000000002</v>
      </c>
      <c r="CO9" s="165">
        <v>0</v>
      </c>
      <c r="CP9" s="165">
        <v>0</v>
      </c>
      <c r="CQ9" s="165">
        <v>0</v>
      </c>
      <c r="CR9" s="165">
        <v>0</v>
      </c>
      <c r="CS9" s="165">
        <v>0</v>
      </c>
      <c r="CT9" s="165">
        <v>0</v>
      </c>
      <c r="CU9" s="165">
        <v>0</v>
      </c>
      <c r="CV9" s="165" t="s">
        <v>1126</v>
      </c>
      <c r="CW9" s="165" t="s">
        <v>1126</v>
      </c>
      <c r="CX9" s="165" t="s">
        <v>1128</v>
      </c>
      <c r="CY9" s="165" t="s">
        <v>1128</v>
      </c>
      <c r="CZ9" s="165">
        <v>3</v>
      </c>
      <c r="DA9" s="165">
        <v>3</v>
      </c>
      <c r="DB9" s="165">
        <v>2</v>
      </c>
      <c r="DC9" s="165">
        <v>2</v>
      </c>
      <c r="DD9" s="171" t="s">
        <v>1161</v>
      </c>
      <c r="DE9" s="171" t="s">
        <v>1162</v>
      </c>
      <c r="DF9" s="171" t="s">
        <v>1163</v>
      </c>
      <c r="DG9" s="171" t="s">
        <v>1208</v>
      </c>
      <c r="DH9" s="170">
        <v>0.70000000000000007</v>
      </c>
      <c r="DI9" s="170">
        <v>1</v>
      </c>
      <c r="DJ9" s="170">
        <v>1</v>
      </c>
      <c r="DK9" s="170">
        <v>0.8</v>
      </c>
      <c r="DL9" s="170">
        <v>0.8</v>
      </c>
      <c r="DM9" s="172" t="s">
        <v>1219</v>
      </c>
      <c r="DN9" s="172" t="s">
        <v>1166</v>
      </c>
      <c r="DO9" s="172" t="s">
        <v>1220</v>
      </c>
      <c r="DP9" s="172" t="s">
        <v>1221</v>
      </c>
      <c r="DQ9" s="172" t="s">
        <v>1222</v>
      </c>
      <c r="DR9" s="170">
        <v>0.8</v>
      </c>
      <c r="DS9" s="170">
        <v>0</v>
      </c>
      <c r="DT9" s="170">
        <v>0</v>
      </c>
      <c r="DU9" s="170">
        <v>0</v>
      </c>
      <c r="DV9" s="170">
        <v>5.0000000000000001E-4</v>
      </c>
      <c r="DW9" s="170">
        <v>0</v>
      </c>
      <c r="DX9" s="170">
        <v>0</v>
      </c>
      <c r="DY9" s="170">
        <v>0</v>
      </c>
      <c r="DZ9" s="170">
        <v>0</v>
      </c>
      <c r="EA9" s="170">
        <v>0</v>
      </c>
      <c r="EB9" s="170">
        <v>0</v>
      </c>
      <c r="EC9" s="172" t="s">
        <v>1223</v>
      </c>
      <c r="ED9" s="172" t="s">
        <v>1173</v>
      </c>
      <c r="EE9" s="172" t="s">
        <v>1173</v>
      </c>
      <c r="EF9" s="172" t="s">
        <v>1173</v>
      </c>
      <c r="EG9" s="172" t="s">
        <v>1224</v>
      </c>
      <c r="EH9" s="172" t="s">
        <v>1173</v>
      </c>
      <c r="EI9" s="172" t="s">
        <v>1173</v>
      </c>
      <c r="EJ9" s="172" t="s">
        <v>1173</v>
      </c>
      <c r="EK9" s="172" t="s">
        <v>1173</v>
      </c>
      <c r="EL9" s="172" t="s">
        <v>1173</v>
      </c>
      <c r="EM9" s="172" t="s">
        <v>1173</v>
      </c>
      <c r="EN9" s="170">
        <v>1</v>
      </c>
      <c r="EO9" s="170">
        <v>1</v>
      </c>
      <c r="EP9" s="170">
        <v>1</v>
      </c>
      <c r="EQ9" s="170">
        <v>1</v>
      </c>
      <c r="ER9" s="170">
        <v>1</v>
      </c>
      <c r="ES9" s="170">
        <v>1</v>
      </c>
      <c r="ET9" s="170">
        <v>1</v>
      </c>
      <c r="EU9" s="172" t="s">
        <v>343</v>
      </c>
      <c r="EV9" s="170">
        <v>43962</v>
      </c>
      <c r="EW9" s="170">
        <v>1</v>
      </c>
      <c r="EX9" s="170">
        <v>1</v>
      </c>
      <c r="EY9" s="170">
        <v>1</v>
      </c>
      <c r="EZ9" s="170">
        <v>1</v>
      </c>
      <c r="FA9" s="170">
        <v>1</v>
      </c>
      <c r="FB9" s="170">
        <v>1</v>
      </c>
      <c r="FC9" s="170">
        <v>1</v>
      </c>
      <c r="FD9" s="170">
        <v>0</v>
      </c>
      <c r="FE9" s="170">
        <v>0.875</v>
      </c>
      <c r="FF9" s="172" t="s">
        <v>357</v>
      </c>
      <c r="FG9" s="170">
        <v>43791</v>
      </c>
    </row>
    <row r="10" spans="1:163" ht="12" customHeight="1">
      <c r="A10" s="210" t="s">
        <v>1123</v>
      </c>
      <c r="B10" s="201" t="str">
        <f>C10&amp;"-"&amp;D10</f>
        <v>15821-G4010145</v>
      </c>
      <c r="C10" s="201">
        <v>15821</v>
      </c>
      <c r="D10" s="201" t="s">
        <v>1225</v>
      </c>
      <c r="E10" s="163" t="s">
        <v>1226</v>
      </c>
      <c r="F10" s="164" t="s">
        <v>1227</v>
      </c>
      <c r="G10" s="164" t="s">
        <v>78</v>
      </c>
      <c r="H10" s="162" t="s">
        <v>88</v>
      </c>
      <c r="I10" s="162" t="s">
        <v>1206</v>
      </c>
      <c r="J10" s="163" t="s">
        <v>1228</v>
      </c>
      <c r="K10" s="212">
        <v>1.6679999999999999</v>
      </c>
      <c r="L10" s="212">
        <v>0.55000000000000004</v>
      </c>
      <c r="M10" s="212">
        <v>0.501</v>
      </c>
      <c r="N10" s="212">
        <v>0.61699999999999999</v>
      </c>
      <c r="O10" s="212">
        <v>2</v>
      </c>
      <c r="P10" s="166">
        <v>0.54000000000000015</v>
      </c>
      <c r="Q10" s="167">
        <f>IF(P10&gt;'3X3 Data'!$D$9,3,IF(P10&gt;'3X3 Data'!$D$10,2,IF(P10&lt;'3X3 Data'!$D$11,1)))</f>
        <v>2</v>
      </c>
      <c r="R10" s="166">
        <v>1</v>
      </c>
      <c r="S10" s="165">
        <v>7.389885939960517</v>
      </c>
      <c r="T10" s="165">
        <v>3.9905384075786801</v>
      </c>
      <c r="U10" s="165">
        <v>-1.3270718309859155</v>
      </c>
      <c r="V10" s="165">
        <v>6.0628141089746013</v>
      </c>
      <c r="W10" s="165">
        <v>2.6634665765927643</v>
      </c>
      <c r="X10" s="168">
        <f>IF(W10&gt;'3X3 Data'!$J$9,3,IF(W10&gt;'3X3 Data'!$J$10,2,IF(W10&lt;'3X3 Data'!$J$11,1)))</f>
        <v>1</v>
      </c>
      <c r="Y10" s="169">
        <v>5.7686147563982875</v>
      </c>
      <c r="Z10" s="169">
        <v>2.5342212907638095</v>
      </c>
      <c r="AA10" s="168">
        <f>IF(Z10&gt;'3X3 Data'!$J$15,3,IF(Z10&gt;'3X3 Data'!$J$16,2,IF(Z10&lt;'3X3 Data'!$J$17,1)))</f>
        <v>1</v>
      </c>
      <c r="AB10" s="165">
        <f>(2*AA10+X10)/3</f>
        <v>1</v>
      </c>
      <c r="AC10" s="168">
        <f>ROUND(AB10,)</f>
        <v>1</v>
      </c>
      <c r="AD10" s="206">
        <v>4.5685651427552205</v>
      </c>
      <c r="AE10" s="206">
        <v>2.0070251770878196</v>
      </c>
      <c r="AF10" s="206">
        <v>3.6831001735871278</v>
      </c>
      <c r="AG10" s="240">
        <v>1.3828219982015799</v>
      </c>
      <c r="AH10" s="206">
        <v>7.389885939960517</v>
      </c>
      <c r="AI10" s="206">
        <v>2.2596697810790856</v>
      </c>
      <c r="AJ10" s="206">
        <v>5.1302161588814315</v>
      </c>
      <c r="AK10" s="206">
        <v>0</v>
      </c>
      <c r="AL10" s="206">
        <v>0</v>
      </c>
      <c r="AM10" s="206">
        <v>0</v>
      </c>
      <c r="AN10" s="206">
        <v>0</v>
      </c>
      <c r="AO10" s="206">
        <v>0</v>
      </c>
      <c r="AP10" s="206">
        <v>0</v>
      </c>
      <c r="AQ10" s="206">
        <v>0</v>
      </c>
      <c r="AR10" s="206">
        <v>0</v>
      </c>
      <c r="AS10" s="241">
        <v>3.9905384075786801</v>
      </c>
      <c r="AT10" s="242">
        <v>1.2202216817827065</v>
      </c>
      <c r="AU10" s="206">
        <v>2.7703167257959738</v>
      </c>
      <c r="AV10" s="206">
        <v>0</v>
      </c>
      <c r="AW10" s="206">
        <v>0</v>
      </c>
      <c r="AX10" s="206">
        <v>0</v>
      </c>
      <c r="AY10" s="206">
        <v>0</v>
      </c>
      <c r="AZ10" s="206">
        <v>0</v>
      </c>
      <c r="BA10" s="206">
        <v>0</v>
      </c>
      <c r="BB10" s="206">
        <v>0</v>
      </c>
      <c r="BC10" s="243">
        <v>0</v>
      </c>
      <c r="BD10" s="244">
        <v>1.6679999999999999</v>
      </c>
      <c r="BE10" s="206">
        <v>0</v>
      </c>
      <c r="BF10" s="206">
        <v>0.85499999999999998</v>
      </c>
      <c r="BG10" s="206">
        <v>0.81299999999999994</v>
      </c>
      <c r="BH10" s="206">
        <v>0</v>
      </c>
      <c r="BI10" s="206">
        <v>0</v>
      </c>
      <c r="BJ10" s="206">
        <v>0</v>
      </c>
      <c r="BK10" s="206">
        <v>0</v>
      </c>
      <c r="BL10" s="206">
        <v>0</v>
      </c>
      <c r="BM10" s="206">
        <v>0</v>
      </c>
      <c r="BN10" s="206">
        <v>0</v>
      </c>
      <c r="BO10" s="206">
        <v>0.55000000000000004</v>
      </c>
      <c r="BP10" s="206">
        <v>0</v>
      </c>
      <c r="BQ10" s="206">
        <v>0.3</v>
      </c>
      <c r="BR10" s="206">
        <v>0.25</v>
      </c>
      <c r="BS10" s="206">
        <v>0</v>
      </c>
      <c r="BT10" s="206">
        <v>0</v>
      </c>
      <c r="BU10" s="206">
        <v>0</v>
      </c>
      <c r="BV10" s="206">
        <v>0</v>
      </c>
      <c r="BW10" s="206">
        <v>0</v>
      </c>
      <c r="BX10" s="206">
        <v>0</v>
      </c>
      <c r="BY10" s="206">
        <v>0</v>
      </c>
      <c r="BZ10" s="206">
        <v>0.501</v>
      </c>
      <c r="CA10" s="206">
        <v>0</v>
      </c>
      <c r="CB10" s="206">
        <v>0.245</v>
      </c>
      <c r="CC10" s="206">
        <v>0.25600000000000001</v>
      </c>
      <c r="CD10" s="206">
        <v>0</v>
      </c>
      <c r="CE10" s="206">
        <v>0</v>
      </c>
      <c r="CF10" s="165">
        <v>0</v>
      </c>
      <c r="CG10" s="165">
        <v>0</v>
      </c>
      <c r="CH10" s="165">
        <v>0</v>
      </c>
      <c r="CI10" s="165">
        <v>0</v>
      </c>
      <c r="CJ10" s="165">
        <v>0</v>
      </c>
      <c r="CK10" s="165">
        <v>0.61699999999999999</v>
      </c>
      <c r="CL10" s="165">
        <v>0</v>
      </c>
      <c r="CM10" s="165">
        <v>0.31</v>
      </c>
      <c r="CN10" s="165">
        <v>0.307</v>
      </c>
      <c r="CO10" s="165">
        <v>0</v>
      </c>
      <c r="CP10" s="165">
        <v>0</v>
      </c>
      <c r="CQ10" s="165">
        <v>0</v>
      </c>
      <c r="CR10" s="165">
        <v>0</v>
      </c>
      <c r="CS10" s="165">
        <v>0</v>
      </c>
      <c r="CT10" s="165">
        <v>0</v>
      </c>
      <c r="CU10" s="165">
        <v>0</v>
      </c>
      <c r="CV10" s="165" t="s">
        <v>1126</v>
      </c>
      <c r="CW10" s="165" t="s">
        <v>1191</v>
      </c>
      <c r="CX10" s="165" t="s">
        <v>1128</v>
      </c>
      <c r="CY10" s="165" t="s">
        <v>1128</v>
      </c>
      <c r="CZ10" s="165">
        <v>3</v>
      </c>
      <c r="DA10" s="165">
        <v>1</v>
      </c>
      <c r="DB10" s="165">
        <v>2</v>
      </c>
      <c r="DC10" s="165">
        <v>2</v>
      </c>
      <c r="DD10" s="171" t="s">
        <v>1229</v>
      </c>
      <c r="DE10" s="171" t="s">
        <v>1230</v>
      </c>
      <c r="DF10" s="171" t="s">
        <v>1231</v>
      </c>
      <c r="DG10" s="171" t="s">
        <v>1232</v>
      </c>
      <c r="DH10" s="170">
        <v>0.75</v>
      </c>
      <c r="DI10" s="170">
        <v>1</v>
      </c>
      <c r="DJ10" s="170">
        <v>0.8</v>
      </c>
      <c r="DK10" s="170">
        <v>1</v>
      </c>
      <c r="DL10" s="170">
        <v>0.9</v>
      </c>
      <c r="DM10" s="172" t="s">
        <v>1233</v>
      </c>
      <c r="DN10" s="172" t="s">
        <v>1234</v>
      </c>
      <c r="DO10" s="172" t="s">
        <v>1235</v>
      </c>
      <c r="DP10" s="172" t="s">
        <v>1236</v>
      </c>
      <c r="DQ10" s="172" t="s">
        <v>1237</v>
      </c>
      <c r="DR10" s="170">
        <v>1</v>
      </c>
      <c r="DS10" s="170">
        <v>5.0000000000000001E-4</v>
      </c>
      <c r="DT10" s="170">
        <v>1.2999999999999999E-3</v>
      </c>
      <c r="DU10" s="170">
        <v>0</v>
      </c>
      <c r="DV10" s="170">
        <v>0</v>
      </c>
      <c r="DW10" s="170">
        <v>0</v>
      </c>
      <c r="DX10" s="170">
        <v>0</v>
      </c>
      <c r="DY10" s="170">
        <v>0</v>
      </c>
      <c r="DZ10" s="170">
        <v>0</v>
      </c>
      <c r="EA10" s="170">
        <v>0</v>
      </c>
      <c r="EB10" s="170">
        <v>0</v>
      </c>
      <c r="EC10" s="172" t="s">
        <v>1238</v>
      </c>
      <c r="ED10" s="172" t="s">
        <v>1239</v>
      </c>
      <c r="EE10" s="172" t="s">
        <v>1240</v>
      </c>
      <c r="EF10" s="172" t="s">
        <v>1241</v>
      </c>
      <c r="EG10" s="172" t="s">
        <v>1242</v>
      </c>
      <c r="EH10" s="172" t="s">
        <v>1243</v>
      </c>
      <c r="EI10" s="172" t="s">
        <v>1244</v>
      </c>
      <c r="EJ10" s="172" t="s">
        <v>1245</v>
      </c>
      <c r="EK10" s="172" t="s">
        <v>1246</v>
      </c>
      <c r="EL10" s="172" t="s">
        <v>1247</v>
      </c>
      <c r="EM10" s="172" t="s">
        <v>1248</v>
      </c>
      <c r="EN10" s="170">
        <v>1</v>
      </c>
      <c r="EO10" s="170">
        <v>1</v>
      </c>
      <c r="EP10" s="170">
        <v>1</v>
      </c>
      <c r="EQ10" s="170">
        <v>1</v>
      </c>
      <c r="ER10" s="170">
        <v>1</v>
      </c>
      <c r="ES10" s="170">
        <v>1</v>
      </c>
      <c r="ET10" s="170">
        <v>1</v>
      </c>
      <c r="EU10" s="172" t="s">
        <v>343</v>
      </c>
      <c r="EV10" s="170">
        <v>43964</v>
      </c>
      <c r="EW10" s="170">
        <v>1</v>
      </c>
      <c r="EX10" s="170">
        <v>1</v>
      </c>
      <c r="EY10" s="170">
        <v>1</v>
      </c>
      <c r="EZ10" s="170">
        <v>1</v>
      </c>
      <c r="FA10" s="170">
        <v>1</v>
      </c>
      <c r="FB10" s="170">
        <v>1</v>
      </c>
      <c r="FC10" s="170">
        <v>1</v>
      </c>
      <c r="FD10" s="170">
        <v>1</v>
      </c>
      <c r="FE10" s="170">
        <v>1</v>
      </c>
      <c r="FF10" s="172" t="s">
        <v>1249</v>
      </c>
      <c r="FG10" s="170">
        <v>43795</v>
      </c>
    </row>
    <row r="11" spans="1:163" ht="12" customHeight="1">
      <c r="A11" s="210" t="s">
        <v>1123</v>
      </c>
      <c r="B11" s="201" t="str">
        <f>C11&amp;"-"&amp;D11</f>
        <v>15821-G4010590</v>
      </c>
      <c r="C11" s="201">
        <v>15821</v>
      </c>
      <c r="D11" s="201" t="s">
        <v>1250</v>
      </c>
      <c r="E11" s="163" t="s">
        <v>1251</v>
      </c>
      <c r="F11" s="164" t="s">
        <v>131</v>
      </c>
      <c r="G11" s="164" t="s">
        <v>78</v>
      </c>
      <c r="H11" s="162" t="s">
        <v>88</v>
      </c>
      <c r="I11" s="162" t="s">
        <v>1206</v>
      </c>
      <c r="J11" s="163" t="s">
        <v>1252</v>
      </c>
      <c r="K11" s="212">
        <v>1.073</v>
      </c>
      <c r="L11" s="212">
        <v>0.21099999999999999</v>
      </c>
      <c r="M11" s="212">
        <v>0.17199999999999999</v>
      </c>
      <c r="N11" s="212">
        <v>0.69</v>
      </c>
      <c r="O11" s="212">
        <v>2.25</v>
      </c>
      <c r="P11" s="166">
        <v>0.4900000000000001</v>
      </c>
      <c r="Q11" s="167">
        <f>IF(P11&gt;'3X3 Data'!$D$9,3,IF(P11&gt;'3X3 Data'!$D$10,2,IF(P11&lt;'3X3 Data'!$D$11,1)))</f>
        <v>2</v>
      </c>
      <c r="R11" s="166">
        <v>1</v>
      </c>
      <c r="S11" s="165">
        <v>5.5886317108347807</v>
      </c>
      <c r="T11" s="165">
        <v>2.7384295383090431</v>
      </c>
      <c r="U11" s="165">
        <v>-0.85668826291079814</v>
      </c>
      <c r="V11" s="165">
        <v>4.7319434479239826</v>
      </c>
      <c r="W11" s="165">
        <v>1.881741275398245</v>
      </c>
      <c r="X11" s="168">
        <f>IF(W11&gt;'3X3 Data'!$J$9,3,IF(W11&gt;'3X3 Data'!$J$10,2,IF(W11&lt;'3X3 Data'!$J$11,1)))</f>
        <v>1</v>
      </c>
      <c r="Y11" s="169">
        <v>12.35494372826105</v>
      </c>
      <c r="Z11" s="169">
        <v>4.9131625989510308</v>
      </c>
      <c r="AA11" s="168">
        <f>IF(Z11&gt;'3X3 Data'!$J$15,3,IF(Z11&gt;'3X3 Data'!$J$16,2,IF(Z11&lt;'3X3 Data'!$J$17,1)))</f>
        <v>2</v>
      </c>
      <c r="AB11" s="165">
        <f>(2*AA11+X11)/3</f>
        <v>1.6666666666666667</v>
      </c>
      <c r="AC11" s="168">
        <f>ROUND(AB11,)</f>
        <v>2</v>
      </c>
      <c r="AD11" s="206">
        <v>5.523530148348363</v>
      </c>
      <c r="AE11" s="206">
        <v>2.1965297726906989</v>
      </c>
      <c r="AF11" s="206">
        <v>2.7937569363488097</v>
      </c>
      <c r="AG11" s="240">
        <v>1.4846658107967308</v>
      </c>
      <c r="AH11" s="206">
        <v>5.5886317108347807</v>
      </c>
      <c r="AI11" s="206">
        <v>3.6154716497265373</v>
      </c>
      <c r="AJ11" s="206">
        <v>1.9731600611082434</v>
      </c>
      <c r="AK11" s="206">
        <v>0</v>
      </c>
      <c r="AL11" s="206">
        <v>0</v>
      </c>
      <c r="AM11" s="206">
        <v>0</v>
      </c>
      <c r="AN11" s="206">
        <v>0</v>
      </c>
      <c r="AO11" s="206">
        <v>0</v>
      </c>
      <c r="AP11" s="206">
        <v>0</v>
      </c>
      <c r="AQ11" s="206">
        <v>0</v>
      </c>
      <c r="AR11" s="206">
        <v>0</v>
      </c>
      <c r="AS11" s="241">
        <v>2.7384295383090431</v>
      </c>
      <c r="AT11" s="242">
        <v>1.7715811083660036</v>
      </c>
      <c r="AU11" s="206">
        <v>0.96684842994303943</v>
      </c>
      <c r="AV11" s="206">
        <v>0</v>
      </c>
      <c r="AW11" s="206">
        <v>0</v>
      </c>
      <c r="AX11" s="206">
        <v>0</v>
      </c>
      <c r="AY11" s="206">
        <v>0</v>
      </c>
      <c r="AZ11" s="206">
        <v>0</v>
      </c>
      <c r="BA11" s="206">
        <v>0</v>
      </c>
      <c r="BB11" s="206">
        <v>0</v>
      </c>
      <c r="BC11" s="243">
        <v>0</v>
      </c>
      <c r="BD11" s="244">
        <v>1.073</v>
      </c>
      <c r="BE11" s="206">
        <v>0</v>
      </c>
      <c r="BF11" s="206">
        <v>0.61</v>
      </c>
      <c r="BG11" s="206">
        <v>0.46299999999999997</v>
      </c>
      <c r="BH11" s="206">
        <v>0</v>
      </c>
      <c r="BI11" s="206">
        <v>0</v>
      </c>
      <c r="BJ11" s="206">
        <v>0</v>
      </c>
      <c r="BK11" s="206">
        <v>0</v>
      </c>
      <c r="BL11" s="206">
        <v>0</v>
      </c>
      <c r="BM11" s="206">
        <v>0</v>
      </c>
      <c r="BN11" s="206">
        <v>0</v>
      </c>
      <c r="BO11" s="206">
        <v>0.21099999999999999</v>
      </c>
      <c r="BP11" s="206">
        <v>0</v>
      </c>
      <c r="BQ11" s="206">
        <v>0.123</v>
      </c>
      <c r="BR11" s="206">
        <v>8.7999999999999995E-2</v>
      </c>
      <c r="BS11" s="206">
        <v>0</v>
      </c>
      <c r="BT11" s="206">
        <v>0</v>
      </c>
      <c r="BU11" s="206">
        <v>0</v>
      </c>
      <c r="BV11" s="206">
        <v>0</v>
      </c>
      <c r="BW11" s="206">
        <v>0</v>
      </c>
      <c r="BX11" s="206">
        <v>0</v>
      </c>
      <c r="BY11" s="206">
        <v>0</v>
      </c>
      <c r="BZ11" s="206">
        <v>0.17199999999999999</v>
      </c>
      <c r="CA11" s="206">
        <v>0</v>
      </c>
      <c r="CB11" s="206">
        <v>9.7000000000000003E-2</v>
      </c>
      <c r="CC11" s="206">
        <v>7.4999999999999997E-2</v>
      </c>
      <c r="CD11" s="206">
        <v>0</v>
      </c>
      <c r="CE11" s="206">
        <v>0</v>
      </c>
      <c r="CF11" s="165">
        <v>0</v>
      </c>
      <c r="CG11" s="165">
        <v>0</v>
      </c>
      <c r="CH11" s="165">
        <v>0</v>
      </c>
      <c r="CI11" s="165">
        <v>0</v>
      </c>
      <c r="CJ11" s="165">
        <v>0</v>
      </c>
      <c r="CK11" s="165">
        <v>0.69</v>
      </c>
      <c r="CL11" s="165">
        <v>0</v>
      </c>
      <c r="CM11" s="165">
        <v>0.39</v>
      </c>
      <c r="CN11" s="165">
        <v>0.3</v>
      </c>
      <c r="CO11" s="165">
        <v>0</v>
      </c>
      <c r="CP11" s="165">
        <v>0</v>
      </c>
      <c r="CQ11" s="165">
        <v>0</v>
      </c>
      <c r="CR11" s="165">
        <v>0</v>
      </c>
      <c r="CS11" s="165">
        <v>0</v>
      </c>
      <c r="CT11" s="165">
        <v>0</v>
      </c>
      <c r="CU11" s="165">
        <v>0</v>
      </c>
      <c r="CV11" s="165" t="s">
        <v>1126</v>
      </c>
      <c r="CW11" s="165" t="s">
        <v>1128</v>
      </c>
      <c r="CX11" s="165" t="s">
        <v>1128</v>
      </c>
      <c r="CY11" s="165" t="s">
        <v>1128</v>
      </c>
      <c r="CZ11" s="165">
        <v>3</v>
      </c>
      <c r="DA11" s="165">
        <v>2</v>
      </c>
      <c r="DB11" s="165">
        <v>2</v>
      </c>
      <c r="DC11" s="165">
        <v>2</v>
      </c>
      <c r="DD11" s="171" t="s">
        <v>1179</v>
      </c>
      <c r="DE11" s="171" t="s">
        <v>1253</v>
      </c>
      <c r="DF11" s="171" t="s">
        <v>1254</v>
      </c>
      <c r="DG11" s="171" t="s">
        <v>1182</v>
      </c>
      <c r="DH11" s="170">
        <v>0.70000000000000007</v>
      </c>
      <c r="DI11" s="170">
        <v>1</v>
      </c>
      <c r="DJ11" s="170">
        <v>1</v>
      </c>
      <c r="DK11" s="170">
        <v>1</v>
      </c>
      <c r="DL11" s="170">
        <v>0.70000000000000007</v>
      </c>
      <c r="DM11" s="172" t="s">
        <v>1255</v>
      </c>
      <c r="DN11" s="172" t="s">
        <v>1184</v>
      </c>
      <c r="DO11" s="172" t="s">
        <v>1184</v>
      </c>
      <c r="DP11" s="172" t="s">
        <v>1256</v>
      </c>
      <c r="DQ11" s="172" t="s">
        <v>1185</v>
      </c>
      <c r="DR11" s="170">
        <v>1</v>
      </c>
      <c r="DS11" s="170">
        <v>8.0000000000000004E-4</v>
      </c>
      <c r="DT11" s="170">
        <v>5.0000000000000001E-4</v>
      </c>
      <c r="DU11" s="170">
        <v>0</v>
      </c>
      <c r="DV11" s="170">
        <v>0</v>
      </c>
      <c r="DW11" s="170">
        <v>0</v>
      </c>
      <c r="DX11" s="170">
        <v>0</v>
      </c>
      <c r="DY11" s="170">
        <v>0</v>
      </c>
      <c r="DZ11" s="170">
        <v>0</v>
      </c>
      <c r="EA11" s="170">
        <v>0</v>
      </c>
      <c r="EB11" s="170">
        <v>0</v>
      </c>
      <c r="EC11" s="172" t="s">
        <v>1257</v>
      </c>
      <c r="ED11" s="172" t="s">
        <v>1258</v>
      </c>
      <c r="EE11" s="172" t="s">
        <v>1259</v>
      </c>
      <c r="EF11" s="172" t="s">
        <v>1184</v>
      </c>
      <c r="EG11" s="172" t="s">
        <v>1184</v>
      </c>
      <c r="EH11" s="172" t="s">
        <v>1184</v>
      </c>
      <c r="EI11" s="172" t="s">
        <v>1184</v>
      </c>
      <c r="EJ11" s="172" t="s">
        <v>1184</v>
      </c>
      <c r="EK11" s="172" t="s">
        <v>1184</v>
      </c>
      <c r="EL11" s="172" t="s">
        <v>1184</v>
      </c>
      <c r="EM11" s="172" t="s">
        <v>1184</v>
      </c>
      <c r="EN11" s="170">
        <v>1</v>
      </c>
      <c r="EO11" s="170">
        <v>1</v>
      </c>
      <c r="EP11" s="170">
        <v>1</v>
      </c>
      <c r="EQ11" s="170">
        <v>1</v>
      </c>
      <c r="ER11" s="170">
        <v>1</v>
      </c>
      <c r="ES11" s="170">
        <v>1</v>
      </c>
      <c r="ET11" s="170">
        <v>1</v>
      </c>
      <c r="EU11" s="172" t="s">
        <v>343</v>
      </c>
      <c r="EV11" s="170">
        <v>43962</v>
      </c>
      <c r="EW11" s="170">
        <v>0</v>
      </c>
      <c r="EX11" s="170">
        <v>0</v>
      </c>
      <c r="EY11" s="170">
        <v>0</v>
      </c>
      <c r="EZ11" s="170">
        <v>0</v>
      </c>
      <c r="FA11" s="170">
        <v>0</v>
      </c>
      <c r="FB11" s="170">
        <v>0</v>
      </c>
      <c r="FC11" s="170">
        <v>0</v>
      </c>
      <c r="FD11" s="170">
        <v>0</v>
      </c>
      <c r="FE11" s="170">
        <v>0</v>
      </c>
      <c r="FF11" s="172" t="s">
        <v>49</v>
      </c>
      <c r="FG11" s="170" t="s">
        <v>49</v>
      </c>
    </row>
    <row r="12" spans="1:163" ht="12" customHeight="1">
      <c r="A12" s="210" t="s">
        <v>1123</v>
      </c>
      <c r="B12" s="201" t="str">
        <f>C12&amp;"-"&amp;D12</f>
        <v>16027-G4004588</v>
      </c>
      <c r="C12" s="201">
        <v>16027</v>
      </c>
      <c r="D12" s="201" t="s">
        <v>600</v>
      </c>
      <c r="E12" s="163" t="s">
        <v>609</v>
      </c>
      <c r="F12" s="164" t="s">
        <v>292</v>
      </c>
      <c r="G12" s="164" t="s">
        <v>78</v>
      </c>
      <c r="H12" s="162" t="s">
        <v>88</v>
      </c>
      <c r="I12" s="162" t="s">
        <v>1124</v>
      </c>
      <c r="J12" s="163" t="s">
        <v>1260</v>
      </c>
      <c r="K12" s="212">
        <v>4.05</v>
      </c>
      <c r="L12" s="212">
        <v>1.1499999999999999</v>
      </c>
      <c r="M12" s="212">
        <v>2.9</v>
      </c>
      <c r="N12" s="212">
        <v>0</v>
      </c>
      <c r="O12" s="212">
        <v>1.75</v>
      </c>
      <c r="P12" s="166">
        <v>0.28687500000000005</v>
      </c>
      <c r="Q12" s="167">
        <f>IF(P12&gt;'3X3 Data'!$D$9,3,IF(P12&gt;'3X3 Data'!$D$10,2,IF(P12&lt;'3X3 Data'!$D$11,1)))</f>
        <v>2</v>
      </c>
      <c r="R12" s="166">
        <v>7.4999999999999997E-2</v>
      </c>
      <c r="S12" s="165">
        <v>120.9097670916892</v>
      </c>
      <c r="T12" s="165">
        <v>34.68598943442835</v>
      </c>
      <c r="U12" s="165">
        <v>-3.2559389671361503</v>
      </c>
      <c r="V12" s="165">
        <v>117.65382812455306</v>
      </c>
      <c r="W12" s="165">
        <v>31.430050467292201</v>
      </c>
      <c r="X12" s="168">
        <f>IF(W12&gt;'3X3 Data'!$J$9,3,IF(W12&gt;'3X3 Data'!$J$10,2,IF(W12&lt;'3X3 Data'!$J$11,1)))</f>
        <v>2</v>
      </c>
      <c r="Y12" s="169">
        <v>29.050327931988409</v>
      </c>
      <c r="Z12" s="169">
        <v>7.7605062882202969</v>
      </c>
      <c r="AA12" s="168">
        <f>IF(Z12&gt;'3X3 Data'!$J$15,3,IF(Z12&gt;'3X3 Data'!$J$16,2,IF(Z12&lt;'3X3 Data'!$J$17,1)))</f>
        <v>2</v>
      </c>
      <c r="AB12" s="165">
        <f>(2*AA12+X12)/3</f>
        <v>2</v>
      </c>
      <c r="AC12" s="168">
        <f>ROUND(AB12,)</f>
        <v>2</v>
      </c>
      <c r="AD12" s="206">
        <v>36.135145441021173</v>
      </c>
      <c r="AE12" s="206">
        <v>9.6531448483929534</v>
      </c>
      <c r="AF12" s="206">
        <v>54.68781437227355</v>
      </c>
      <c r="AG12" s="240">
        <v>1.7399849366829565</v>
      </c>
      <c r="AH12" s="206">
        <v>120.9097670916892</v>
      </c>
      <c r="AI12" s="206">
        <v>0</v>
      </c>
      <c r="AJ12" s="206">
        <v>-8.2872722566546209</v>
      </c>
      <c r="AK12" s="206">
        <v>0</v>
      </c>
      <c r="AL12" s="206">
        <v>129.19703934834382</v>
      </c>
      <c r="AM12" s="206">
        <v>0</v>
      </c>
      <c r="AN12" s="206">
        <v>0</v>
      </c>
      <c r="AO12" s="206">
        <v>0</v>
      </c>
      <c r="AP12" s="206">
        <v>0</v>
      </c>
      <c r="AQ12" s="206">
        <v>0</v>
      </c>
      <c r="AR12" s="206">
        <v>0</v>
      </c>
      <c r="AS12" s="241">
        <v>34.68598943442835</v>
      </c>
      <c r="AT12" s="242">
        <v>0</v>
      </c>
      <c r="AU12" s="206">
        <v>-2.3774112286277949</v>
      </c>
      <c r="AV12" s="206">
        <v>0</v>
      </c>
      <c r="AW12" s="206">
        <v>37.063400663056143</v>
      </c>
      <c r="AX12" s="206">
        <v>0</v>
      </c>
      <c r="AY12" s="206">
        <v>0</v>
      </c>
      <c r="AZ12" s="206">
        <v>0</v>
      </c>
      <c r="BA12" s="206">
        <v>0</v>
      </c>
      <c r="BB12" s="206">
        <v>0</v>
      </c>
      <c r="BC12" s="243">
        <v>0</v>
      </c>
      <c r="BD12" s="244">
        <v>4.05</v>
      </c>
      <c r="BE12" s="206">
        <v>0</v>
      </c>
      <c r="BF12" s="206">
        <v>2.75</v>
      </c>
      <c r="BG12" s="206">
        <v>1.3</v>
      </c>
      <c r="BH12" s="206">
        <v>0</v>
      </c>
      <c r="BI12" s="206">
        <v>0</v>
      </c>
      <c r="BJ12" s="206">
        <v>0</v>
      </c>
      <c r="BK12" s="206">
        <v>0</v>
      </c>
      <c r="BL12" s="206">
        <v>0</v>
      </c>
      <c r="BM12" s="206">
        <v>0</v>
      </c>
      <c r="BN12" s="206">
        <v>0</v>
      </c>
      <c r="BO12" s="206">
        <v>1.1499999999999999</v>
      </c>
      <c r="BP12" s="206">
        <v>0</v>
      </c>
      <c r="BQ12" s="206">
        <v>0.75</v>
      </c>
      <c r="BR12" s="206">
        <v>0.4</v>
      </c>
      <c r="BS12" s="206">
        <v>0</v>
      </c>
      <c r="BT12" s="206">
        <v>0</v>
      </c>
      <c r="BU12" s="206">
        <v>0</v>
      </c>
      <c r="BV12" s="206">
        <v>0</v>
      </c>
      <c r="BW12" s="206">
        <v>0</v>
      </c>
      <c r="BX12" s="206">
        <v>0</v>
      </c>
      <c r="BY12" s="206">
        <v>0</v>
      </c>
      <c r="BZ12" s="206">
        <v>2.9</v>
      </c>
      <c r="CA12" s="206">
        <v>0</v>
      </c>
      <c r="CB12" s="206">
        <v>2</v>
      </c>
      <c r="CC12" s="206">
        <v>0.9</v>
      </c>
      <c r="CD12" s="206">
        <v>0</v>
      </c>
      <c r="CE12" s="206">
        <v>0</v>
      </c>
      <c r="CF12" s="165">
        <v>0</v>
      </c>
      <c r="CG12" s="165">
        <v>0</v>
      </c>
      <c r="CH12" s="165">
        <v>0</v>
      </c>
      <c r="CI12" s="165">
        <v>0</v>
      </c>
      <c r="CJ12" s="165">
        <v>0</v>
      </c>
      <c r="CK12" s="165">
        <v>0</v>
      </c>
      <c r="CL12" s="165">
        <v>0</v>
      </c>
      <c r="CM12" s="165">
        <v>0</v>
      </c>
      <c r="CN12" s="165">
        <v>0</v>
      </c>
      <c r="CO12" s="165">
        <v>0</v>
      </c>
      <c r="CP12" s="165">
        <v>0</v>
      </c>
      <c r="CQ12" s="165">
        <v>0</v>
      </c>
      <c r="CR12" s="165">
        <v>0</v>
      </c>
      <c r="CS12" s="165">
        <v>0</v>
      </c>
      <c r="CT12" s="165">
        <v>0</v>
      </c>
      <c r="CU12" s="165">
        <v>0</v>
      </c>
      <c r="CV12" s="165" t="s">
        <v>1128</v>
      </c>
      <c r="CW12" s="165" t="s">
        <v>1128</v>
      </c>
      <c r="CX12" s="165" t="s">
        <v>1191</v>
      </c>
      <c r="CY12" s="165" t="s">
        <v>1128</v>
      </c>
      <c r="CZ12" s="165">
        <v>2</v>
      </c>
      <c r="DA12" s="165">
        <v>2</v>
      </c>
      <c r="DB12" s="165">
        <v>1</v>
      </c>
      <c r="DC12" s="165">
        <v>2</v>
      </c>
      <c r="DD12" s="171" t="s">
        <v>1261</v>
      </c>
      <c r="DE12" s="171" t="s">
        <v>1262</v>
      </c>
      <c r="DF12" s="171" t="s">
        <v>1263</v>
      </c>
      <c r="DG12" s="171" t="s">
        <v>1264</v>
      </c>
      <c r="DH12" s="170">
        <v>0.85000000000000009</v>
      </c>
      <c r="DI12" s="170">
        <v>1</v>
      </c>
      <c r="DJ12" s="170">
        <v>0.5</v>
      </c>
      <c r="DK12" s="170">
        <v>0.9</v>
      </c>
      <c r="DL12" s="170">
        <v>0.75</v>
      </c>
      <c r="DM12" s="172" t="s">
        <v>1265</v>
      </c>
      <c r="DN12" s="172" t="s">
        <v>1266</v>
      </c>
      <c r="DO12" s="172" t="s">
        <v>1267</v>
      </c>
      <c r="DP12" s="172" t="s">
        <v>1268</v>
      </c>
      <c r="DQ12" s="172" t="s">
        <v>1269</v>
      </c>
      <c r="DR12" s="170">
        <v>7.4999999999999997E-2</v>
      </c>
      <c r="DS12" s="170">
        <v>0</v>
      </c>
      <c r="DT12" s="170">
        <v>-2.8000000000000001E-2</v>
      </c>
      <c r="DU12" s="170">
        <v>0</v>
      </c>
      <c r="DV12" s="170">
        <v>3.5000000000000003E-2</v>
      </c>
      <c r="DW12" s="170">
        <v>0</v>
      </c>
      <c r="DX12" s="170">
        <v>0</v>
      </c>
      <c r="DY12" s="170">
        <v>0</v>
      </c>
      <c r="DZ12" s="170">
        <v>0</v>
      </c>
      <c r="EA12" s="170">
        <v>0</v>
      </c>
      <c r="EB12" s="170">
        <v>0</v>
      </c>
      <c r="EC12" s="172" t="s">
        <v>1270</v>
      </c>
      <c r="ED12" s="172" t="s">
        <v>49</v>
      </c>
      <c r="EE12" s="172" t="s">
        <v>1271</v>
      </c>
      <c r="EF12" s="172" t="s">
        <v>49</v>
      </c>
      <c r="EG12" s="172" t="s">
        <v>1272</v>
      </c>
      <c r="EH12" s="172" t="s">
        <v>49</v>
      </c>
      <c r="EI12" s="172" t="s">
        <v>49</v>
      </c>
      <c r="EJ12" s="172" t="s">
        <v>49</v>
      </c>
      <c r="EK12" s="172" t="s">
        <v>49</v>
      </c>
      <c r="EL12" s="172" t="s">
        <v>49</v>
      </c>
      <c r="EM12" s="172" t="s">
        <v>49</v>
      </c>
      <c r="EN12" s="170">
        <v>1</v>
      </c>
      <c r="EO12" s="170">
        <v>0</v>
      </c>
      <c r="EP12" s="170">
        <v>1</v>
      </c>
      <c r="EQ12" s="170">
        <v>1</v>
      </c>
      <c r="ER12" s="170">
        <v>1</v>
      </c>
      <c r="ES12" s="170">
        <v>0</v>
      </c>
      <c r="ET12" s="170">
        <v>0.66666666666666663</v>
      </c>
      <c r="EU12" s="172" t="s">
        <v>1157</v>
      </c>
      <c r="EV12" s="170">
        <v>43791</v>
      </c>
      <c r="EW12" s="170">
        <v>0</v>
      </c>
      <c r="EX12" s="170">
        <v>0</v>
      </c>
      <c r="EY12" s="170">
        <v>0</v>
      </c>
      <c r="EZ12" s="170">
        <v>0</v>
      </c>
      <c r="FA12" s="170">
        <v>0</v>
      </c>
      <c r="FB12" s="170">
        <v>0</v>
      </c>
      <c r="FC12" s="170">
        <v>0</v>
      </c>
      <c r="FD12" s="170">
        <v>0</v>
      </c>
      <c r="FE12" s="170">
        <v>0</v>
      </c>
      <c r="FF12" s="172" t="s">
        <v>49</v>
      </c>
      <c r="FG12" s="170" t="s">
        <v>49</v>
      </c>
    </row>
    <row r="13" spans="1:163" ht="12" customHeight="1">
      <c r="A13" s="210" t="s">
        <v>1123</v>
      </c>
      <c r="B13" s="201" t="str">
        <f t="shared" si="0"/>
        <v>15376-G4003505</v>
      </c>
      <c r="C13" s="201">
        <v>15376</v>
      </c>
      <c r="D13" s="201" t="s">
        <v>195</v>
      </c>
      <c r="E13" s="163" t="s">
        <v>937</v>
      </c>
      <c r="F13" s="164" t="s">
        <v>81</v>
      </c>
      <c r="G13" s="164" t="s">
        <v>78</v>
      </c>
      <c r="H13" s="162" t="s">
        <v>88</v>
      </c>
      <c r="I13" s="162" t="s">
        <v>1124</v>
      </c>
      <c r="J13" s="163" t="s">
        <v>1273</v>
      </c>
      <c r="K13" s="212">
        <v>7.83</v>
      </c>
      <c r="L13" s="212">
        <v>1.5</v>
      </c>
      <c r="M13" s="212">
        <v>6.33</v>
      </c>
      <c r="N13" s="212">
        <v>0</v>
      </c>
      <c r="O13" s="212">
        <v>2.5</v>
      </c>
      <c r="P13" s="166">
        <v>8.4000000000000019E-2</v>
      </c>
      <c r="Q13" s="167">
        <f>IF(P13&gt;'3X3 Data'!$D$9,3,IF(P13&gt;'3X3 Data'!$D$10,2,IF(P13&lt;'3X3 Data'!$D$11,1)))</f>
        <v>1</v>
      </c>
      <c r="R13" s="166">
        <v>0.1</v>
      </c>
      <c r="S13" s="165">
        <v>170.78618153857263</v>
      </c>
      <c r="T13" s="165">
        <v>14.346039249240105</v>
      </c>
      <c r="U13" s="165">
        <v>-6.0381755251383114</v>
      </c>
      <c r="V13" s="165">
        <v>164.74800601343432</v>
      </c>
      <c r="W13" s="165">
        <v>8.307863724101793</v>
      </c>
      <c r="X13" s="168">
        <f>IF(W13&gt;'3X3 Data'!$J$9,3,IF(W13&gt;'3X3 Data'!$J$10,2,IF(W13&lt;'3X3 Data'!$J$11,1)))</f>
        <v>2</v>
      </c>
      <c r="Y13" s="169">
        <v>21.040613794819198</v>
      </c>
      <c r="Z13" s="169">
        <v>1.0610298498214294</v>
      </c>
      <c r="AA13" s="168">
        <f>IF(Z13&gt;'3X3 Data'!$J$15,3,IF(Z13&gt;'3X3 Data'!$J$16,2,IF(Z13&lt;'3X3 Data'!$J$17,1)))</f>
        <v>1</v>
      </c>
      <c r="AB13" s="165">
        <f t="shared" si="1"/>
        <v>1.3333333333333333</v>
      </c>
      <c r="AC13" s="168">
        <f t="shared" si="2"/>
        <v>1</v>
      </c>
      <c r="AD13" s="206">
        <v>27.284401608987771</v>
      </c>
      <c r="AE13" s="206">
        <v>1.3758897351549733</v>
      </c>
      <c r="AF13" s="206">
        <v>47.374005756738271</v>
      </c>
      <c r="AG13" s="240">
        <v>5.7023089605216324</v>
      </c>
      <c r="AH13" s="206">
        <v>170.78618153857263</v>
      </c>
      <c r="AI13" s="206">
        <v>0</v>
      </c>
      <c r="AJ13" s="206">
        <v>0</v>
      </c>
      <c r="AK13" s="206">
        <v>0</v>
      </c>
      <c r="AL13" s="206">
        <v>170.78618153857263</v>
      </c>
      <c r="AM13" s="206">
        <v>0</v>
      </c>
      <c r="AN13" s="206">
        <v>0</v>
      </c>
      <c r="AO13" s="206">
        <v>0</v>
      </c>
      <c r="AP13" s="206">
        <v>0</v>
      </c>
      <c r="AQ13" s="206">
        <v>0</v>
      </c>
      <c r="AR13" s="206">
        <v>0</v>
      </c>
      <c r="AS13" s="241">
        <v>14.346039249240105</v>
      </c>
      <c r="AT13" s="242">
        <v>0</v>
      </c>
      <c r="AU13" s="206">
        <v>0</v>
      </c>
      <c r="AV13" s="206">
        <v>0</v>
      </c>
      <c r="AW13" s="206">
        <v>14.346039249240105</v>
      </c>
      <c r="AX13" s="206">
        <v>0</v>
      </c>
      <c r="AY13" s="206">
        <v>0</v>
      </c>
      <c r="AZ13" s="206">
        <v>0</v>
      </c>
      <c r="BA13" s="206">
        <v>0</v>
      </c>
      <c r="BB13" s="206">
        <v>0</v>
      </c>
      <c r="BC13" s="243">
        <v>0</v>
      </c>
      <c r="BD13" s="244">
        <v>7.83</v>
      </c>
      <c r="BE13" s="206">
        <v>0</v>
      </c>
      <c r="BF13" s="206">
        <v>2.63</v>
      </c>
      <c r="BG13" s="206">
        <v>2.6</v>
      </c>
      <c r="BH13" s="206">
        <v>2.6</v>
      </c>
      <c r="BI13" s="206">
        <v>0</v>
      </c>
      <c r="BJ13" s="206">
        <v>0</v>
      </c>
      <c r="BK13" s="206">
        <v>0</v>
      </c>
      <c r="BL13" s="206">
        <v>0</v>
      </c>
      <c r="BM13" s="206">
        <v>0</v>
      </c>
      <c r="BN13" s="206">
        <v>0</v>
      </c>
      <c r="BO13" s="206">
        <v>1.5</v>
      </c>
      <c r="BP13" s="206">
        <v>0</v>
      </c>
      <c r="BQ13" s="206">
        <v>0.5</v>
      </c>
      <c r="BR13" s="206">
        <v>0.5</v>
      </c>
      <c r="BS13" s="206">
        <v>0.5</v>
      </c>
      <c r="BT13" s="206">
        <v>0</v>
      </c>
      <c r="BU13" s="206">
        <v>0</v>
      </c>
      <c r="BV13" s="206">
        <v>0</v>
      </c>
      <c r="BW13" s="206">
        <v>0</v>
      </c>
      <c r="BX13" s="206">
        <v>0</v>
      </c>
      <c r="BY13" s="206">
        <v>0</v>
      </c>
      <c r="BZ13" s="206">
        <v>6.33</v>
      </c>
      <c r="CA13" s="206">
        <v>0</v>
      </c>
      <c r="CB13" s="206">
        <v>2.13</v>
      </c>
      <c r="CC13" s="206">
        <v>2.1</v>
      </c>
      <c r="CD13" s="206">
        <v>2.1</v>
      </c>
      <c r="CE13" s="206">
        <v>0</v>
      </c>
      <c r="CF13" s="165">
        <v>0</v>
      </c>
      <c r="CG13" s="165">
        <v>0</v>
      </c>
      <c r="CH13" s="165">
        <v>0</v>
      </c>
      <c r="CI13" s="165">
        <v>0</v>
      </c>
      <c r="CJ13" s="165">
        <v>0</v>
      </c>
      <c r="CK13" s="165">
        <v>0</v>
      </c>
      <c r="CL13" s="165">
        <v>0</v>
      </c>
      <c r="CM13" s="165">
        <v>0</v>
      </c>
      <c r="CN13" s="165">
        <v>0</v>
      </c>
      <c r="CO13" s="165">
        <v>0</v>
      </c>
      <c r="CP13" s="165">
        <v>0</v>
      </c>
      <c r="CQ13" s="165">
        <v>0</v>
      </c>
      <c r="CR13" s="165">
        <v>0</v>
      </c>
      <c r="CS13" s="165">
        <v>0</v>
      </c>
      <c r="CT13" s="165">
        <v>0</v>
      </c>
      <c r="CU13" s="165">
        <v>0</v>
      </c>
      <c r="CV13" s="165" t="s">
        <v>1126</v>
      </c>
      <c r="CW13" s="165" t="s">
        <v>1128</v>
      </c>
      <c r="CX13" s="165" t="s">
        <v>1128</v>
      </c>
      <c r="CY13" s="165" t="s">
        <v>1126</v>
      </c>
      <c r="CZ13" s="165">
        <v>3</v>
      </c>
      <c r="DA13" s="165">
        <v>2</v>
      </c>
      <c r="DB13" s="165">
        <v>2</v>
      </c>
      <c r="DC13" s="165">
        <v>3</v>
      </c>
      <c r="DD13" s="171" t="s">
        <v>1274</v>
      </c>
      <c r="DE13" s="171" t="s">
        <v>1275</v>
      </c>
      <c r="DF13" s="171" t="s">
        <v>1276</v>
      </c>
      <c r="DG13" s="171" t="s">
        <v>1277</v>
      </c>
      <c r="DH13" s="170">
        <v>0.30000000000000004</v>
      </c>
      <c r="DI13" s="170">
        <v>1</v>
      </c>
      <c r="DJ13" s="170">
        <v>0.5</v>
      </c>
      <c r="DK13" s="170">
        <v>0.70000000000000007</v>
      </c>
      <c r="DL13" s="170">
        <v>0.8</v>
      </c>
      <c r="DM13" s="172" t="s">
        <v>1278</v>
      </c>
      <c r="DN13" s="172" t="s">
        <v>1279</v>
      </c>
      <c r="DO13" s="172" t="s">
        <v>1280</v>
      </c>
      <c r="DP13" s="172" t="s">
        <v>1281</v>
      </c>
      <c r="DQ13" s="172" t="s">
        <v>1282</v>
      </c>
      <c r="DR13" s="170">
        <v>0.1</v>
      </c>
      <c r="DS13" s="170">
        <v>0</v>
      </c>
      <c r="DT13" s="170">
        <v>0</v>
      </c>
      <c r="DU13" s="170">
        <v>0</v>
      </c>
      <c r="DV13" s="170">
        <v>3.4700000000000002E-2</v>
      </c>
      <c r="DW13" s="170">
        <v>0</v>
      </c>
      <c r="DX13" s="170" t="s">
        <v>1150</v>
      </c>
      <c r="DY13" s="170" t="s">
        <v>1150</v>
      </c>
      <c r="DZ13" s="170" t="s">
        <v>1150</v>
      </c>
      <c r="EA13" s="170" t="s">
        <v>1150</v>
      </c>
      <c r="EB13" s="170" t="s">
        <v>1150</v>
      </c>
      <c r="EC13" s="172" t="s">
        <v>1283</v>
      </c>
      <c r="ED13" s="172" t="s">
        <v>49</v>
      </c>
      <c r="EE13" s="172" t="s">
        <v>1284</v>
      </c>
      <c r="EF13" s="172" t="s">
        <v>49</v>
      </c>
      <c r="EG13" s="172" t="s">
        <v>1285</v>
      </c>
      <c r="EH13" s="172" t="s">
        <v>49</v>
      </c>
      <c r="EI13" s="172" t="s">
        <v>49</v>
      </c>
      <c r="EJ13" s="172" t="s">
        <v>49</v>
      </c>
      <c r="EK13" s="172" t="s">
        <v>49</v>
      </c>
      <c r="EL13" s="172" t="s">
        <v>49</v>
      </c>
      <c r="EM13" s="172" t="s">
        <v>49</v>
      </c>
      <c r="EN13" s="170">
        <v>1</v>
      </c>
      <c r="EO13" s="170">
        <v>0</v>
      </c>
      <c r="EP13" s="170">
        <v>1</v>
      </c>
      <c r="EQ13" s="170">
        <v>1</v>
      </c>
      <c r="ER13" s="170">
        <v>1</v>
      </c>
      <c r="ES13" s="170">
        <v>0</v>
      </c>
      <c r="ET13" s="170">
        <v>0.66666666666666663</v>
      </c>
      <c r="EU13" s="172" t="s">
        <v>1157</v>
      </c>
      <c r="EV13" s="170">
        <v>43791</v>
      </c>
      <c r="EW13" s="170">
        <v>0</v>
      </c>
      <c r="EX13" s="170">
        <v>0</v>
      </c>
      <c r="EY13" s="170">
        <v>0</v>
      </c>
      <c r="EZ13" s="170">
        <v>0</v>
      </c>
      <c r="FA13" s="170">
        <v>0</v>
      </c>
      <c r="FB13" s="170">
        <v>0</v>
      </c>
      <c r="FC13" s="170">
        <v>0</v>
      </c>
      <c r="FD13" s="170">
        <v>0</v>
      </c>
      <c r="FE13" s="170">
        <v>0</v>
      </c>
      <c r="FF13" s="172" t="s">
        <v>49</v>
      </c>
      <c r="FG13" s="170" t="s">
        <v>49</v>
      </c>
    </row>
    <row r="14" spans="1:163" ht="12" customHeight="1">
      <c r="A14" s="210" t="s">
        <v>1123</v>
      </c>
      <c r="B14" s="201" t="str">
        <f t="shared" si="0"/>
        <v>12527-G3002791</v>
      </c>
      <c r="C14" s="201">
        <v>12527</v>
      </c>
      <c r="D14" s="201" t="s">
        <v>879</v>
      </c>
      <c r="E14" s="163" t="s">
        <v>877</v>
      </c>
      <c r="F14" s="164" t="s">
        <v>81</v>
      </c>
      <c r="G14" s="164" t="s">
        <v>78</v>
      </c>
      <c r="H14" s="162" t="s">
        <v>88</v>
      </c>
      <c r="I14" s="162" t="s">
        <v>1124</v>
      </c>
      <c r="J14" s="163" t="s">
        <v>1286</v>
      </c>
      <c r="K14" s="212">
        <v>2.5</v>
      </c>
      <c r="L14" s="212">
        <v>0.5</v>
      </c>
      <c r="M14" s="212">
        <v>2</v>
      </c>
      <c r="N14" s="212">
        <v>0</v>
      </c>
      <c r="O14" s="212">
        <v>3</v>
      </c>
      <c r="P14" s="166">
        <v>0.8</v>
      </c>
      <c r="Q14" s="167">
        <f>IF(P14&gt;'3X3 Data'!$D$9,3,IF(P14&gt;'3X3 Data'!$D$10,2,IF(P14&lt;'3X3 Data'!$D$11,1)))</f>
        <v>3</v>
      </c>
      <c r="R14" s="166">
        <v>1</v>
      </c>
      <c r="S14" s="165">
        <v>56.715927983961357</v>
      </c>
      <c r="T14" s="165">
        <v>45.37274238716909</v>
      </c>
      <c r="U14" s="165">
        <v>-1.9874413145539909</v>
      </c>
      <c r="V14" s="165">
        <v>54.728486669407367</v>
      </c>
      <c r="W14" s="165">
        <v>43.3853010726151</v>
      </c>
      <c r="X14" s="168">
        <f>IF(W14&gt;'3X3 Data'!$J$9,3,IF(W14&gt;'3X3 Data'!$J$10,2,IF(W14&lt;'3X3 Data'!$J$11,1)))</f>
        <v>2</v>
      </c>
      <c r="Y14" s="169">
        <v>21.891394667762945</v>
      </c>
      <c r="Z14" s="169">
        <v>17.354120429046041</v>
      </c>
      <c r="AA14" s="168">
        <f>IF(Z14&gt;'3X3 Data'!$J$15,3,IF(Z14&gt;'3X3 Data'!$J$16,2,IF(Z14&lt;'3X3 Data'!$J$17,1)))</f>
        <v>3</v>
      </c>
      <c r="AB14" s="165">
        <f t="shared" si="1"/>
        <v>2.6666666666666665</v>
      </c>
      <c r="AC14" s="168">
        <f t="shared" si="2"/>
        <v>3</v>
      </c>
      <c r="AD14" s="206">
        <v>27.537158591115023</v>
      </c>
      <c r="AE14" s="206">
        <v>21.829726872892021</v>
      </c>
      <c r="AF14" s="206">
        <v>22.686371193584542</v>
      </c>
      <c r="AG14" s="240">
        <v>0.52290454676374787</v>
      </c>
      <c r="AH14" s="206">
        <v>56.715927983961357</v>
      </c>
      <c r="AI14" s="206">
        <v>0</v>
      </c>
      <c r="AJ14" s="206">
        <v>7.4980082322113235</v>
      </c>
      <c r="AK14" s="206">
        <v>0</v>
      </c>
      <c r="AL14" s="206">
        <v>49.217919751750031</v>
      </c>
      <c r="AM14" s="206">
        <v>0</v>
      </c>
      <c r="AN14" s="206">
        <v>0</v>
      </c>
      <c r="AO14" s="206">
        <v>0</v>
      </c>
      <c r="AP14" s="206">
        <v>0</v>
      </c>
      <c r="AQ14" s="206">
        <v>0</v>
      </c>
      <c r="AR14" s="206">
        <v>0</v>
      </c>
      <c r="AS14" s="241">
        <v>45.37274238716909</v>
      </c>
      <c r="AT14" s="242">
        <v>0</v>
      </c>
      <c r="AU14" s="206">
        <v>5.9984065857690592</v>
      </c>
      <c r="AV14" s="206">
        <v>0</v>
      </c>
      <c r="AW14" s="206">
        <v>39.374335801400029</v>
      </c>
      <c r="AX14" s="206">
        <v>0</v>
      </c>
      <c r="AY14" s="206">
        <v>0</v>
      </c>
      <c r="AZ14" s="206">
        <v>0</v>
      </c>
      <c r="BA14" s="206">
        <v>0</v>
      </c>
      <c r="BB14" s="206">
        <v>0</v>
      </c>
      <c r="BC14" s="243">
        <v>0</v>
      </c>
      <c r="BD14" s="244">
        <v>2.5</v>
      </c>
      <c r="BE14" s="206">
        <v>0</v>
      </c>
      <c r="BF14" s="206">
        <v>1.25</v>
      </c>
      <c r="BG14" s="206">
        <v>1.25</v>
      </c>
      <c r="BH14" s="206">
        <v>0</v>
      </c>
      <c r="BI14" s="206">
        <v>0</v>
      </c>
      <c r="BJ14" s="206">
        <v>0</v>
      </c>
      <c r="BK14" s="206">
        <v>0</v>
      </c>
      <c r="BL14" s="206">
        <v>0</v>
      </c>
      <c r="BM14" s="206">
        <v>0</v>
      </c>
      <c r="BN14" s="206">
        <v>0</v>
      </c>
      <c r="BO14" s="206">
        <v>0.5</v>
      </c>
      <c r="BP14" s="206">
        <v>0</v>
      </c>
      <c r="BQ14" s="206">
        <v>0.25</v>
      </c>
      <c r="BR14" s="206">
        <v>0.25</v>
      </c>
      <c r="BS14" s="206">
        <v>0</v>
      </c>
      <c r="BT14" s="206">
        <v>0</v>
      </c>
      <c r="BU14" s="206">
        <v>0</v>
      </c>
      <c r="BV14" s="206">
        <v>0</v>
      </c>
      <c r="BW14" s="206">
        <v>0</v>
      </c>
      <c r="BX14" s="206">
        <v>0</v>
      </c>
      <c r="BY14" s="206">
        <v>0</v>
      </c>
      <c r="BZ14" s="206">
        <v>2</v>
      </c>
      <c r="CA14" s="206">
        <v>0</v>
      </c>
      <c r="CB14" s="206">
        <v>1</v>
      </c>
      <c r="CC14" s="206">
        <v>1</v>
      </c>
      <c r="CD14" s="206">
        <v>0</v>
      </c>
      <c r="CE14" s="206">
        <v>0</v>
      </c>
      <c r="CF14" s="165">
        <v>0</v>
      </c>
      <c r="CG14" s="165">
        <v>0</v>
      </c>
      <c r="CH14" s="165">
        <v>0</v>
      </c>
      <c r="CI14" s="165">
        <v>0</v>
      </c>
      <c r="CJ14" s="165">
        <v>0</v>
      </c>
      <c r="CK14" s="165">
        <v>0</v>
      </c>
      <c r="CL14" s="165">
        <v>0</v>
      </c>
      <c r="CM14" s="165">
        <v>0</v>
      </c>
      <c r="CN14" s="165">
        <v>0</v>
      </c>
      <c r="CO14" s="165">
        <v>0</v>
      </c>
      <c r="CP14" s="165">
        <v>0</v>
      </c>
      <c r="CQ14" s="165">
        <v>0</v>
      </c>
      <c r="CR14" s="165">
        <v>0</v>
      </c>
      <c r="CS14" s="165">
        <v>0</v>
      </c>
      <c r="CT14" s="165">
        <v>0</v>
      </c>
      <c r="CU14" s="165">
        <v>0</v>
      </c>
      <c r="CV14" s="165" t="s">
        <v>1126</v>
      </c>
      <c r="CW14" s="165" t="s">
        <v>1126</v>
      </c>
      <c r="CX14" s="165" t="s">
        <v>1126</v>
      </c>
      <c r="CY14" s="165" t="s">
        <v>1126</v>
      </c>
      <c r="CZ14" s="165">
        <v>3</v>
      </c>
      <c r="DA14" s="165">
        <v>3</v>
      </c>
      <c r="DB14" s="165">
        <v>3</v>
      </c>
      <c r="DC14" s="165">
        <v>3</v>
      </c>
      <c r="DD14" s="171" t="s">
        <v>1287</v>
      </c>
      <c r="DE14" s="171" t="s">
        <v>1288</v>
      </c>
      <c r="DF14" s="171" t="s">
        <v>1289</v>
      </c>
      <c r="DG14" s="171" t="s">
        <v>1290</v>
      </c>
      <c r="DH14" s="170">
        <v>1</v>
      </c>
      <c r="DI14" s="170">
        <v>1</v>
      </c>
      <c r="DJ14" s="170">
        <v>1</v>
      </c>
      <c r="DK14" s="170">
        <v>1</v>
      </c>
      <c r="DL14" s="170">
        <v>0.8</v>
      </c>
      <c r="DM14" s="172" t="s">
        <v>1291</v>
      </c>
      <c r="DN14" s="172" t="s">
        <v>1292</v>
      </c>
      <c r="DO14" s="172" t="s">
        <v>1293</v>
      </c>
      <c r="DP14" s="172" t="s">
        <v>1294</v>
      </c>
      <c r="DQ14" s="172" t="s">
        <v>1295</v>
      </c>
      <c r="DR14" s="170">
        <v>1</v>
      </c>
      <c r="DS14" s="170" t="s">
        <v>1150</v>
      </c>
      <c r="DT14" s="170">
        <v>1.9E-3</v>
      </c>
      <c r="DU14" s="170" t="s">
        <v>1150</v>
      </c>
      <c r="DV14" s="170">
        <v>1E-3</v>
      </c>
      <c r="DW14" s="170" t="s">
        <v>1150</v>
      </c>
      <c r="DX14" s="170" t="s">
        <v>1150</v>
      </c>
      <c r="DY14" s="170" t="s">
        <v>1150</v>
      </c>
      <c r="DZ14" s="170" t="s">
        <v>1150</v>
      </c>
      <c r="EA14" s="170" t="s">
        <v>1150</v>
      </c>
      <c r="EB14" s="170" t="s">
        <v>1150</v>
      </c>
      <c r="EC14" s="172" t="s">
        <v>1296</v>
      </c>
      <c r="ED14" s="172" t="s">
        <v>49</v>
      </c>
      <c r="EE14" s="172" t="s">
        <v>1297</v>
      </c>
      <c r="EF14" s="172" t="s">
        <v>49</v>
      </c>
      <c r="EG14" s="172" t="s">
        <v>49</v>
      </c>
      <c r="EH14" s="172" t="s">
        <v>49</v>
      </c>
      <c r="EI14" s="172" t="s">
        <v>49</v>
      </c>
      <c r="EJ14" s="172" t="s">
        <v>49</v>
      </c>
      <c r="EK14" s="172" t="s">
        <v>49</v>
      </c>
      <c r="EL14" s="172" t="s">
        <v>49</v>
      </c>
      <c r="EM14" s="172" t="s">
        <v>49</v>
      </c>
      <c r="EN14" s="170">
        <v>1</v>
      </c>
      <c r="EO14" s="170">
        <v>0</v>
      </c>
      <c r="EP14" s="170">
        <v>1</v>
      </c>
      <c r="EQ14" s="170">
        <v>1</v>
      </c>
      <c r="ER14" s="170">
        <v>1</v>
      </c>
      <c r="ES14" s="170">
        <v>0</v>
      </c>
      <c r="ET14" s="170">
        <v>0.66666666666666663</v>
      </c>
      <c r="EU14" s="172" t="s">
        <v>1157</v>
      </c>
      <c r="EV14" s="170">
        <v>43746</v>
      </c>
      <c r="EW14" s="170">
        <v>0</v>
      </c>
      <c r="EX14" s="170">
        <v>0</v>
      </c>
      <c r="EY14" s="170">
        <v>0</v>
      </c>
      <c r="EZ14" s="170">
        <v>0</v>
      </c>
      <c r="FA14" s="170">
        <v>0</v>
      </c>
      <c r="FB14" s="170">
        <v>0</v>
      </c>
      <c r="FC14" s="170">
        <v>0</v>
      </c>
      <c r="FD14" s="170">
        <v>0</v>
      </c>
      <c r="FE14" s="170">
        <v>0</v>
      </c>
      <c r="FF14" s="172" t="s">
        <v>49</v>
      </c>
      <c r="FG14" s="170" t="s">
        <v>49</v>
      </c>
    </row>
    <row r="15" spans="1:163" ht="12" customHeight="1">
      <c r="A15" s="210" t="s">
        <v>1123</v>
      </c>
      <c r="B15" s="201" t="str">
        <f t="shared" si="0"/>
        <v>12539-G3002639</v>
      </c>
      <c r="C15" s="201">
        <v>12539</v>
      </c>
      <c r="D15" s="201" t="s">
        <v>302</v>
      </c>
      <c r="E15" s="163" t="s">
        <v>935</v>
      </c>
      <c r="F15" s="164" t="s">
        <v>131</v>
      </c>
      <c r="G15" s="164" t="s">
        <v>78</v>
      </c>
      <c r="H15" s="162" t="s">
        <v>88</v>
      </c>
      <c r="I15" s="162" t="s">
        <v>1206</v>
      </c>
      <c r="J15" s="163" t="s">
        <v>1298</v>
      </c>
      <c r="K15" s="212">
        <v>0.94</v>
      </c>
      <c r="L15" s="212">
        <v>0</v>
      </c>
      <c r="M15" s="212">
        <v>0.94</v>
      </c>
      <c r="N15" s="212">
        <v>0</v>
      </c>
      <c r="O15" s="212">
        <v>2</v>
      </c>
      <c r="P15" s="166">
        <v>0.30870000000000009</v>
      </c>
      <c r="Q15" s="167">
        <f>IF(P15&gt;'3X3 Data'!$D$9,3,IF(P15&gt;'3X3 Data'!$D$10,2,IF(P15&lt;'3X3 Data'!$D$11,1)))</f>
        <v>2</v>
      </c>
      <c r="R15" s="166">
        <v>1</v>
      </c>
      <c r="S15" s="165">
        <v>4.340952134438135</v>
      </c>
      <c r="T15" s="165">
        <v>1.3400519239010527</v>
      </c>
      <c r="U15" s="165">
        <v>-0.77080000000000004</v>
      </c>
      <c r="V15" s="165">
        <v>3.5701521344381351</v>
      </c>
      <c r="W15" s="165">
        <v>0.56925192390105261</v>
      </c>
      <c r="X15" s="168">
        <f>IF(W15&gt;'3X3 Data'!$J$9,3,IF(W15&gt;'3X3 Data'!$J$10,2,IF(W15&lt;'3X3 Data'!$J$11,1)))</f>
        <v>1</v>
      </c>
      <c r="Y15" s="169">
        <v>3.7980341855724844</v>
      </c>
      <c r="Z15" s="169">
        <v>0.60558715308622624</v>
      </c>
      <c r="AA15" s="168">
        <f>IF(Z15&gt;'3X3 Data'!$J$15,3,IF(Z15&gt;'3X3 Data'!$J$16,2,IF(Z15&lt;'3X3 Data'!$J$17,1)))</f>
        <v>1</v>
      </c>
      <c r="AB15" s="165">
        <f t="shared" si="1"/>
        <v>1</v>
      </c>
      <c r="AC15" s="168">
        <f t="shared" si="2"/>
        <v>1</v>
      </c>
      <c r="AD15" s="206">
        <v>4.6317490067957117</v>
      </c>
      <c r="AE15" s="206">
        <v>0.73852091839783673</v>
      </c>
      <c r="AF15" s="206">
        <v>2.0053334138155905</v>
      </c>
      <c r="AG15" s="240">
        <v>3.522752106085385</v>
      </c>
      <c r="AH15" s="206">
        <v>4.340952134438135</v>
      </c>
      <c r="AI15" s="206">
        <v>0</v>
      </c>
      <c r="AJ15" s="206">
        <v>4.340952134438135</v>
      </c>
      <c r="AK15" s="206">
        <v>0</v>
      </c>
      <c r="AL15" s="206">
        <v>0</v>
      </c>
      <c r="AM15" s="206">
        <v>0</v>
      </c>
      <c r="AN15" s="206">
        <v>0</v>
      </c>
      <c r="AO15" s="206">
        <v>0</v>
      </c>
      <c r="AP15" s="206">
        <v>0</v>
      </c>
      <c r="AQ15" s="206">
        <v>0</v>
      </c>
      <c r="AR15" s="206">
        <v>0</v>
      </c>
      <c r="AS15" s="241">
        <v>1.3400519239010527</v>
      </c>
      <c r="AT15" s="242">
        <v>0</v>
      </c>
      <c r="AU15" s="206">
        <v>1.3400519239010527</v>
      </c>
      <c r="AV15" s="206">
        <v>0</v>
      </c>
      <c r="AW15" s="206">
        <v>0</v>
      </c>
      <c r="AX15" s="206">
        <v>0</v>
      </c>
      <c r="AY15" s="206">
        <v>0</v>
      </c>
      <c r="AZ15" s="206">
        <v>0</v>
      </c>
      <c r="BA15" s="206">
        <v>0</v>
      </c>
      <c r="BB15" s="206">
        <v>0</v>
      </c>
      <c r="BC15" s="243">
        <v>0</v>
      </c>
      <c r="BD15" s="244">
        <v>0.94</v>
      </c>
      <c r="BE15" s="206">
        <v>0</v>
      </c>
      <c r="BF15" s="206">
        <v>0.94</v>
      </c>
      <c r="BG15" s="206">
        <v>0</v>
      </c>
      <c r="BH15" s="206">
        <v>0</v>
      </c>
      <c r="BI15" s="206">
        <v>0</v>
      </c>
      <c r="BJ15" s="206">
        <v>0</v>
      </c>
      <c r="BK15" s="206">
        <v>0</v>
      </c>
      <c r="BL15" s="206">
        <v>0</v>
      </c>
      <c r="BM15" s="206">
        <v>0</v>
      </c>
      <c r="BN15" s="206">
        <v>0</v>
      </c>
      <c r="BO15" s="206">
        <v>0</v>
      </c>
      <c r="BP15" s="206">
        <v>0</v>
      </c>
      <c r="BQ15" s="206">
        <v>0</v>
      </c>
      <c r="BR15" s="206">
        <v>0</v>
      </c>
      <c r="BS15" s="206">
        <v>0</v>
      </c>
      <c r="BT15" s="206">
        <v>0</v>
      </c>
      <c r="BU15" s="206">
        <v>0</v>
      </c>
      <c r="BV15" s="206">
        <v>0</v>
      </c>
      <c r="BW15" s="206">
        <v>0</v>
      </c>
      <c r="BX15" s="206">
        <v>0</v>
      </c>
      <c r="BY15" s="206">
        <v>0</v>
      </c>
      <c r="BZ15" s="206">
        <v>0.94</v>
      </c>
      <c r="CA15" s="206">
        <v>0</v>
      </c>
      <c r="CB15" s="206">
        <v>0.94</v>
      </c>
      <c r="CC15" s="206">
        <v>0</v>
      </c>
      <c r="CD15" s="206">
        <v>0</v>
      </c>
      <c r="CE15" s="206">
        <v>0</v>
      </c>
      <c r="CF15" s="165">
        <v>0</v>
      </c>
      <c r="CG15" s="165">
        <v>0</v>
      </c>
      <c r="CH15" s="165">
        <v>0</v>
      </c>
      <c r="CI15" s="165">
        <v>0</v>
      </c>
      <c r="CJ15" s="165">
        <v>0</v>
      </c>
      <c r="CK15" s="165">
        <v>0</v>
      </c>
      <c r="CL15" s="165">
        <v>0</v>
      </c>
      <c r="CM15" s="165">
        <v>0</v>
      </c>
      <c r="CN15" s="165">
        <v>0</v>
      </c>
      <c r="CO15" s="165">
        <v>0</v>
      </c>
      <c r="CP15" s="165">
        <v>0</v>
      </c>
      <c r="CQ15" s="165">
        <v>0</v>
      </c>
      <c r="CR15" s="165">
        <v>0</v>
      </c>
      <c r="CS15" s="165">
        <v>0</v>
      </c>
      <c r="CT15" s="165">
        <v>0</v>
      </c>
      <c r="CU15" s="165">
        <v>0</v>
      </c>
      <c r="CV15" s="165" t="s">
        <v>1128</v>
      </c>
      <c r="CW15" s="165" t="s">
        <v>1128</v>
      </c>
      <c r="CX15" s="165" t="s">
        <v>1128</v>
      </c>
      <c r="CY15" s="165" t="s">
        <v>1128</v>
      </c>
      <c r="CZ15" s="165">
        <v>2</v>
      </c>
      <c r="DA15" s="165">
        <v>2</v>
      </c>
      <c r="DB15" s="165">
        <v>2</v>
      </c>
      <c r="DC15" s="165">
        <v>2</v>
      </c>
      <c r="DD15" s="171" t="s">
        <v>49</v>
      </c>
      <c r="DE15" s="171" t="s">
        <v>49</v>
      </c>
      <c r="DF15" s="171" t="s">
        <v>49</v>
      </c>
      <c r="DG15" s="171" t="s">
        <v>49</v>
      </c>
      <c r="DH15" s="170">
        <v>0.70000000000000007</v>
      </c>
      <c r="DI15" s="170">
        <v>1</v>
      </c>
      <c r="DJ15" s="170">
        <v>0.70000000000000007</v>
      </c>
      <c r="DK15" s="170">
        <v>0.9</v>
      </c>
      <c r="DL15" s="170">
        <v>0.70000000000000007</v>
      </c>
      <c r="DM15" s="172" t="s">
        <v>49</v>
      </c>
      <c r="DN15" s="172" t="s">
        <v>49</v>
      </c>
      <c r="DO15" s="172" t="s">
        <v>49</v>
      </c>
      <c r="DP15" s="172" t="s">
        <v>49</v>
      </c>
      <c r="DQ15" s="172" t="s">
        <v>49</v>
      </c>
      <c r="DR15" s="170">
        <v>1</v>
      </c>
      <c r="DS15" s="170" t="s">
        <v>1150</v>
      </c>
      <c r="DT15" s="170">
        <v>1.1000000000000001E-3</v>
      </c>
      <c r="DU15" s="170" t="s">
        <v>1150</v>
      </c>
      <c r="DV15" s="170" t="s">
        <v>1150</v>
      </c>
      <c r="DW15" s="170" t="s">
        <v>1150</v>
      </c>
      <c r="DX15" s="170" t="s">
        <v>1150</v>
      </c>
      <c r="DY15" s="170" t="s">
        <v>1150</v>
      </c>
      <c r="DZ15" s="170" t="s">
        <v>1150</v>
      </c>
      <c r="EA15" s="170" t="s">
        <v>1150</v>
      </c>
      <c r="EB15" s="170" t="s">
        <v>1150</v>
      </c>
      <c r="EC15" s="172" t="s">
        <v>1299</v>
      </c>
      <c r="ED15" s="172" t="s">
        <v>49</v>
      </c>
      <c r="EE15" s="172" t="s">
        <v>1300</v>
      </c>
      <c r="EF15" s="172" t="s">
        <v>49</v>
      </c>
      <c r="EG15" s="172" t="s">
        <v>49</v>
      </c>
      <c r="EH15" s="172" t="s">
        <v>49</v>
      </c>
      <c r="EI15" s="172" t="s">
        <v>49</v>
      </c>
      <c r="EJ15" s="172" t="s">
        <v>49</v>
      </c>
      <c r="EK15" s="172" t="s">
        <v>49</v>
      </c>
      <c r="EL15" s="172" t="s">
        <v>49</v>
      </c>
      <c r="EM15" s="172" t="s">
        <v>49</v>
      </c>
      <c r="EN15" s="170">
        <v>1</v>
      </c>
      <c r="EO15" s="170">
        <v>1</v>
      </c>
      <c r="EP15" s="170">
        <v>1</v>
      </c>
      <c r="EQ15" s="170">
        <v>0</v>
      </c>
      <c r="ER15" s="170">
        <v>0</v>
      </c>
      <c r="ES15" s="170">
        <v>0</v>
      </c>
      <c r="ET15" s="170">
        <v>0.5</v>
      </c>
      <c r="EU15" s="172" t="s">
        <v>343</v>
      </c>
      <c r="EV15" s="170">
        <v>43964</v>
      </c>
      <c r="EW15" s="170">
        <v>0</v>
      </c>
      <c r="EX15" s="170">
        <v>0</v>
      </c>
      <c r="EY15" s="170">
        <v>0</v>
      </c>
      <c r="EZ15" s="170">
        <v>0</v>
      </c>
      <c r="FA15" s="170">
        <v>0</v>
      </c>
      <c r="FB15" s="170">
        <v>0</v>
      </c>
      <c r="FC15" s="170">
        <v>0</v>
      </c>
      <c r="FD15" s="170">
        <v>0</v>
      </c>
      <c r="FE15" s="170">
        <v>0</v>
      </c>
      <c r="FF15" s="172" t="s">
        <v>49</v>
      </c>
      <c r="FG15" s="170" t="s">
        <v>49</v>
      </c>
    </row>
    <row r="16" spans="1:163" ht="12" customHeight="1">
      <c r="A16" s="210" t="s">
        <v>1123</v>
      </c>
      <c r="B16" s="201" t="str">
        <f t="shared" si="0"/>
        <v>15378-G4003494</v>
      </c>
      <c r="C16" s="202">
        <v>15378</v>
      </c>
      <c r="D16" s="202" t="s">
        <v>866</v>
      </c>
      <c r="E16" s="163" t="s">
        <v>130</v>
      </c>
      <c r="F16" s="164" t="s">
        <v>131</v>
      </c>
      <c r="G16" s="164" t="s">
        <v>78</v>
      </c>
      <c r="H16" s="162" t="s">
        <v>88</v>
      </c>
      <c r="I16" s="162" t="s">
        <v>1206</v>
      </c>
      <c r="J16" s="163" t="s">
        <v>1301</v>
      </c>
      <c r="K16" s="212">
        <v>0.9</v>
      </c>
      <c r="L16" s="212">
        <v>0</v>
      </c>
      <c r="M16" s="212">
        <v>0.9</v>
      </c>
      <c r="N16" s="212">
        <v>0</v>
      </c>
      <c r="O16" s="212">
        <v>2</v>
      </c>
      <c r="P16" s="166">
        <v>0.15000000000000002</v>
      </c>
      <c r="Q16" s="167">
        <f>IF(P16&gt;'3X3 Data'!$D$9,3,IF(P16&gt;'3X3 Data'!$D$10,2,IF(P16&lt;'3X3 Data'!$D$11,1)))</f>
        <v>1</v>
      </c>
      <c r="R16" s="166">
        <v>1</v>
      </c>
      <c r="S16" s="165">
        <v>21.240895942143407</v>
      </c>
      <c r="T16" s="165">
        <v>3.1861343913215117</v>
      </c>
      <c r="U16" s="165">
        <v>-0.7380000000000001</v>
      </c>
      <c r="V16" s="165">
        <v>20.502895942143407</v>
      </c>
      <c r="W16" s="165">
        <v>2.4481343913215117</v>
      </c>
      <c r="X16" s="168">
        <f>IF(W16&gt;'3X3 Data'!$J$9,3,IF(W16&gt;'3X3 Data'!$J$10,2,IF(W16&lt;'3X3 Data'!$J$11,1)))</f>
        <v>1</v>
      </c>
      <c r="Y16" s="169">
        <v>22.780995491270453</v>
      </c>
      <c r="Z16" s="169">
        <v>2.7201493236905683</v>
      </c>
      <c r="AA16" s="168">
        <f>IF(Z16&gt;'3X3 Data'!$J$15,3,IF(Z16&gt;'3X3 Data'!$J$16,2,IF(Z16&lt;'3X3 Data'!$J$17,1)))</f>
        <v>1</v>
      </c>
      <c r="AB16" s="165">
        <f t="shared" si="1"/>
        <v>1</v>
      </c>
      <c r="AC16" s="168">
        <f t="shared" si="2"/>
        <v>1</v>
      </c>
      <c r="AD16" s="206">
        <v>27.781701818622498</v>
      </c>
      <c r="AE16" s="206">
        <v>3.3172552727933757</v>
      </c>
      <c r="AF16" s="206">
        <v>7.5845169064471696</v>
      </c>
      <c r="AG16" s="240">
        <v>3.0980802905811964</v>
      </c>
      <c r="AH16" s="206">
        <v>21.240895942143407</v>
      </c>
      <c r="AI16" s="206">
        <v>21.240895942143407</v>
      </c>
      <c r="AJ16" s="206">
        <v>0</v>
      </c>
      <c r="AK16" s="206">
        <v>0</v>
      </c>
      <c r="AL16" s="206">
        <v>0</v>
      </c>
      <c r="AM16" s="206">
        <v>0</v>
      </c>
      <c r="AN16" s="206">
        <v>0</v>
      </c>
      <c r="AO16" s="206">
        <v>0</v>
      </c>
      <c r="AP16" s="206">
        <v>0</v>
      </c>
      <c r="AQ16" s="206">
        <v>0</v>
      </c>
      <c r="AR16" s="206">
        <v>0</v>
      </c>
      <c r="AS16" s="241">
        <v>3.1861343913215117</v>
      </c>
      <c r="AT16" s="242">
        <v>3.1861343913215117</v>
      </c>
      <c r="AU16" s="206">
        <v>0</v>
      </c>
      <c r="AV16" s="206">
        <v>0</v>
      </c>
      <c r="AW16" s="206">
        <v>0</v>
      </c>
      <c r="AX16" s="206">
        <v>0</v>
      </c>
      <c r="AY16" s="206">
        <v>0</v>
      </c>
      <c r="AZ16" s="206">
        <v>0</v>
      </c>
      <c r="BA16" s="206">
        <v>0</v>
      </c>
      <c r="BB16" s="206">
        <v>0</v>
      </c>
      <c r="BC16" s="243">
        <v>0</v>
      </c>
      <c r="BD16" s="244">
        <v>0.9</v>
      </c>
      <c r="BE16" s="206">
        <v>0</v>
      </c>
      <c r="BF16" s="206">
        <v>0.9</v>
      </c>
      <c r="BG16" s="206">
        <v>0</v>
      </c>
      <c r="BH16" s="206">
        <v>0</v>
      </c>
      <c r="BI16" s="206">
        <v>0</v>
      </c>
      <c r="BJ16" s="206">
        <v>0</v>
      </c>
      <c r="BK16" s="206">
        <v>0</v>
      </c>
      <c r="BL16" s="206">
        <v>0</v>
      </c>
      <c r="BM16" s="206">
        <v>0</v>
      </c>
      <c r="BN16" s="206">
        <v>0</v>
      </c>
      <c r="BO16" s="206">
        <v>0</v>
      </c>
      <c r="BP16" s="206">
        <v>0</v>
      </c>
      <c r="BQ16" s="206">
        <v>0</v>
      </c>
      <c r="BR16" s="206">
        <v>0</v>
      </c>
      <c r="BS16" s="206">
        <v>0</v>
      </c>
      <c r="BT16" s="206">
        <v>0</v>
      </c>
      <c r="BU16" s="206">
        <v>0</v>
      </c>
      <c r="BV16" s="206">
        <v>0</v>
      </c>
      <c r="BW16" s="206">
        <v>0</v>
      </c>
      <c r="BX16" s="206">
        <v>0</v>
      </c>
      <c r="BY16" s="206">
        <v>0</v>
      </c>
      <c r="BZ16" s="206">
        <v>0.9</v>
      </c>
      <c r="CA16" s="206">
        <v>0</v>
      </c>
      <c r="CB16" s="206">
        <v>0.9</v>
      </c>
      <c r="CC16" s="206">
        <v>0</v>
      </c>
      <c r="CD16" s="206">
        <v>0</v>
      </c>
      <c r="CE16" s="206">
        <v>0</v>
      </c>
      <c r="CF16" s="165">
        <v>0</v>
      </c>
      <c r="CG16" s="165">
        <v>0</v>
      </c>
      <c r="CH16" s="165">
        <v>0</v>
      </c>
      <c r="CI16" s="165">
        <v>0</v>
      </c>
      <c r="CJ16" s="165">
        <v>0</v>
      </c>
      <c r="CK16" s="165">
        <v>0</v>
      </c>
      <c r="CL16" s="165">
        <v>0</v>
      </c>
      <c r="CM16" s="165">
        <v>0</v>
      </c>
      <c r="CN16" s="165">
        <v>0</v>
      </c>
      <c r="CO16" s="165">
        <v>0</v>
      </c>
      <c r="CP16" s="165">
        <v>0</v>
      </c>
      <c r="CQ16" s="165">
        <v>0</v>
      </c>
      <c r="CR16" s="165">
        <v>0</v>
      </c>
      <c r="CS16" s="165">
        <v>0</v>
      </c>
      <c r="CT16" s="165">
        <v>0</v>
      </c>
      <c r="CU16" s="165">
        <v>0</v>
      </c>
      <c r="CV16" s="165" t="s">
        <v>1128</v>
      </c>
      <c r="CW16" s="165" t="s">
        <v>1128</v>
      </c>
      <c r="CX16" s="165" t="s">
        <v>1128</v>
      </c>
      <c r="CY16" s="165" t="s">
        <v>1128</v>
      </c>
      <c r="CZ16" s="165">
        <v>2</v>
      </c>
      <c r="DA16" s="165">
        <v>2</v>
      </c>
      <c r="DB16" s="165">
        <v>2</v>
      </c>
      <c r="DC16" s="165">
        <v>2</v>
      </c>
      <c r="DD16" s="171" t="s">
        <v>1302</v>
      </c>
      <c r="DE16" s="171" t="s">
        <v>1303</v>
      </c>
      <c r="DF16" s="171" t="s">
        <v>1304</v>
      </c>
      <c r="DG16" s="171" t="s">
        <v>1305</v>
      </c>
      <c r="DH16" s="170">
        <v>0.5</v>
      </c>
      <c r="DI16" s="170">
        <v>1</v>
      </c>
      <c r="DJ16" s="170">
        <v>1</v>
      </c>
      <c r="DK16" s="170">
        <v>0.60000000000000009</v>
      </c>
      <c r="DL16" s="170">
        <v>0.5</v>
      </c>
      <c r="DM16" s="172" t="s">
        <v>1306</v>
      </c>
      <c r="DN16" s="172" t="s">
        <v>1307</v>
      </c>
      <c r="DO16" s="172" t="s">
        <v>1308</v>
      </c>
      <c r="DP16" s="172" t="s">
        <v>1309</v>
      </c>
      <c r="DQ16" s="172" t="s">
        <v>1310</v>
      </c>
      <c r="DR16" s="170">
        <v>1</v>
      </c>
      <c r="DS16" s="170">
        <v>4.7000000000000002E-3</v>
      </c>
      <c r="DT16" s="170" t="s">
        <v>1150</v>
      </c>
      <c r="DU16" s="170" t="s">
        <v>1150</v>
      </c>
      <c r="DV16" s="170" t="s">
        <v>1150</v>
      </c>
      <c r="DW16" s="170" t="s">
        <v>1150</v>
      </c>
      <c r="DX16" s="170" t="s">
        <v>1150</v>
      </c>
      <c r="DY16" s="170" t="s">
        <v>1150</v>
      </c>
      <c r="DZ16" s="170" t="s">
        <v>1150</v>
      </c>
      <c r="EA16" s="170" t="s">
        <v>1150</v>
      </c>
      <c r="EB16" s="170" t="s">
        <v>1150</v>
      </c>
      <c r="EC16" s="172" t="s">
        <v>1311</v>
      </c>
      <c r="ED16" s="172" t="s">
        <v>1312</v>
      </c>
      <c r="EE16" s="172" t="s">
        <v>49</v>
      </c>
      <c r="EF16" s="172" t="s">
        <v>49</v>
      </c>
      <c r="EG16" s="172" t="s">
        <v>49</v>
      </c>
      <c r="EH16" s="172" t="s">
        <v>49</v>
      </c>
      <c r="EI16" s="172" t="s">
        <v>49</v>
      </c>
      <c r="EJ16" s="172" t="s">
        <v>49</v>
      </c>
      <c r="EK16" s="172" t="s">
        <v>49</v>
      </c>
      <c r="EL16" s="172" t="s">
        <v>49</v>
      </c>
      <c r="EM16" s="172" t="s">
        <v>49</v>
      </c>
      <c r="EN16" s="170">
        <v>1</v>
      </c>
      <c r="EO16" s="170">
        <v>1</v>
      </c>
      <c r="EP16" s="170">
        <v>1</v>
      </c>
      <c r="EQ16" s="170">
        <v>1</v>
      </c>
      <c r="ER16" s="170">
        <v>1</v>
      </c>
      <c r="ES16" s="170">
        <v>0</v>
      </c>
      <c r="ET16" s="170">
        <v>0.83333333333333337</v>
      </c>
      <c r="EU16" s="172" t="s">
        <v>1313</v>
      </c>
      <c r="EV16" s="170">
        <v>43796</v>
      </c>
      <c r="EW16" s="170">
        <v>0</v>
      </c>
      <c r="EX16" s="170">
        <v>0</v>
      </c>
      <c r="EY16" s="170">
        <v>0</v>
      </c>
      <c r="EZ16" s="170">
        <v>0</v>
      </c>
      <c r="FA16" s="170">
        <v>0</v>
      </c>
      <c r="FB16" s="170">
        <v>0</v>
      </c>
      <c r="FC16" s="170">
        <v>0</v>
      </c>
      <c r="FD16" s="170">
        <v>0</v>
      </c>
      <c r="FE16" s="170">
        <v>0</v>
      </c>
      <c r="FF16" s="172" t="s">
        <v>49</v>
      </c>
      <c r="FG16" s="170" t="s">
        <v>49</v>
      </c>
    </row>
    <row r="17" spans="1:163" ht="12" customHeight="1">
      <c r="A17" s="210" t="s">
        <v>1123</v>
      </c>
      <c r="B17" s="201" t="str">
        <f t="shared" si="0"/>
        <v>15586-G4006343</v>
      </c>
      <c r="C17" s="202">
        <v>15586</v>
      </c>
      <c r="D17" s="202" t="s">
        <v>719</v>
      </c>
      <c r="E17" s="163" t="s">
        <v>401</v>
      </c>
      <c r="F17" s="164" t="s">
        <v>131</v>
      </c>
      <c r="G17" s="164" t="s">
        <v>78</v>
      </c>
      <c r="H17" s="162" t="s">
        <v>88</v>
      </c>
      <c r="I17" s="162" t="s">
        <v>1206</v>
      </c>
      <c r="J17" s="163" t="s">
        <v>1314</v>
      </c>
      <c r="K17" s="212">
        <v>9.0501500000000004</v>
      </c>
      <c r="L17" s="212">
        <v>1.54111</v>
      </c>
      <c r="M17" s="212">
        <v>1.8251200000000001</v>
      </c>
      <c r="N17" s="212">
        <v>5.6839199999999996</v>
      </c>
      <c r="O17" s="212">
        <v>3</v>
      </c>
      <c r="P17" s="166">
        <v>0.64000000000000012</v>
      </c>
      <c r="Q17" s="167">
        <f>IF(P17&gt;'3X3 Data'!$D$9,3,IF(P17&gt;'3X3 Data'!$D$10,2,IF(P17&lt;'3X3 Data'!$D$11,1)))</f>
        <v>3</v>
      </c>
      <c r="R17" s="166">
        <v>1</v>
      </c>
      <c r="S17" s="165">
        <v>18.077358248632684</v>
      </c>
      <c r="T17" s="165">
        <v>11.569509279124921</v>
      </c>
      <c r="U17" s="165">
        <v>-7.147623903727216</v>
      </c>
      <c r="V17" s="165">
        <v>10.929734344905469</v>
      </c>
      <c r="W17" s="165">
        <v>4.4218853753977045</v>
      </c>
      <c r="X17" s="168">
        <f>IF(W17&gt;'3X3 Data'!$J$9,3,IF(W17&gt;'3X3 Data'!$J$10,2,IF(W17&lt;'3X3 Data'!$J$11,1)))</f>
        <v>1</v>
      </c>
      <c r="Y17" s="169">
        <v>3.2468768755864779</v>
      </c>
      <c r="Z17" s="169">
        <v>1.3136016776624606</v>
      </c>
      <c r="AA17" s="168">
        <f>IF(Z17&gt;'3X3 Data'!$J$15,3,IF(Z17&gt;'3X3 Data'!$J$16,2,IF(Z17&lt;'3X3 Data'!$J$17,1)))</f>
        <v>1</v>
      </c>
      <c r="AB17" s="165">
        <f t="shared" si="1"/>
        <v>1</v>
      </c>
      <c r="AC17" s="168">
        <f t="shared" si="2"/>
        <v>1</v>
      </c>
      <c r="AD17" s="206">
        <v>1.5291423404645039</v>
      </c>
      <c r="AE17" s="206">
        <v>0.61865109789728279</v>
      </c>
      <c r="AF17" s="206">
        <v>8.6771319593436882</v>
      </c>
      <c r="AG17" s="240">
        <v>1.9623149907098771</v>
      </c>
      <c r="AH17" s="206">
        <v>18.077358248632684</v>
      </c>
      <c r="AI17" s="206">
        <v>18.077358248632684</v>
      </c>
      <c r="AJ17" s="206">
        <v>0</v>
      </c>
      <c r="AK17" s="206">
        <v>0</v>
      </c>
      <c r="AL17" s="206">
        <v>0</v>
      </c>
      <c r="AM17" s="206">
        <v>0</v>
      </c>
      <c r="AN17" s="206">
        <v>0</v>
      </c>
      <c r="AO17" s="206">
        <v>0</v>
      </c>
      <c r="AP17" s="206">
        <v>0</v>
      </c>
      <c r="AQ17" s="206">
        <v>0</v>
      </c>
      <c r="AR17" s="206">
        <v>0</v>
      </c>
      <c r="AS17" s="241">
        <v>11.569509279124921</v>
      </c>
      <c r="AT17" s="242">
        <v>11.569509279124921</v>
      </c>
      <c r="AU17" s="206">
        <v>0</v>
      </c>
      <c r="AV17" s="206">
        <v>0</v>
      </c>
      <c r="AW17" s="206">
        <v>0</v>
      </c>
      <c r="AX17" s="206">
        <v>0</v>
      </c>
      <c r="AY17" s="206">
        <v>0</v>
      </c>
      <c r="AZ17" s="206">
        <v>0</v>
      </c>
      <c r="BA17" s="206">
        <v>0</v>
      </c>
      <c r="BB17" s="206">
        <v>0</v>
      </c>
      <c r="BC17" s="243">
        <v>0</v>
      </c>
      <c r="BD17" s="244">
        <v>9.0501500000000004</v>
      </c>
      <c r="BE17" s="206">
        <v>0</v>
      </c>
      <c r="BF17" s="206">
        <v>4.3612900000000003</v>
      </c>
      <c r="BG17" s="206">
        <v>3.8624299999999998</v>
      </c>
      <c r="BH17" s="206">
        <v>0.82643</v>
      </c>
      <c r="BI17" s="206">
        <v>0</v>
      </c>
      <c r="BJ17" s="206">
        <v>0</v>
      </c>
      <c r="BK17" s="206">
        <v>0</v>
      </c>
      <c r="BL17" s="206">
        <v>0</v>
      </c>
      <c r="BM17" s="206">
        <v>0</v>
      </c>
      <c r="BN17" s="206">
        <v>0</v>
      </c>
      <c r="BO17" s="206">
        <v>1.54111</v>
      </c>
      <c r="BP17" s="206">
        <v>0</v>
      </c>
      <c r="BQ17" s="206">
        <v>0.63714000000000004</v>
      </c>
      <c r="BR17" s="206">
        <v>0.66886000000000001</v>
      </c>
      <c r="BS17" s="206">
        <v>0.23511000000000001</v>
      </c>
      <c r="BT17" s="206">
        <v>0</v>
      </c>
      <c r="BU17" s="206">
        <v>0</v>
      </c>
      <c r="BV17" s="206">
        <v>0</v>
      </c>
      <c r="BW17" s="206">
        <v>0</v>
      </c>
      <c r="BX17" s="206">
        <v>0</v>
      </c>
      <c r="BY17" s="206">
        <v>0</v>
      </c>
      <c r="BZ17" s="206">
        <v>1.8251200000000001</v>
      </c>
      <c r="CA17" s="206">
        <v>0</v>
      </c>
      <c r="CB17" s="206">
        <v>0.93015000000000003</v>
      </c>
      <c r="CC17" s="206">
        <v>0.70457000000000003</v>
      </c>
      <c r="CD17" s="206">
        <v>0.19040000000000001</v>
      </c>
      <c r="CE17" s="206">
        <v>0</v>
      </c>
      <c r="CF17" s="165">
        <v>0</v>
      </c>
      <c r="CG17" s="165">
        <v>0</v>
      </c>
      <c r="CH17" s="165">
        <v>0</v>
      </c>
      <c r="CI17" s="165">
        <v>0</v>
      </c>
      <c r="CJ17" s="165">
        <v>0</v>
      </c>
      <c r="CK17" s="165">
        <v>5.6839199999999996</v>
      </c>
      <c r="CL17" s="165">
        <v>0</v>
      </c>
      <c r="CM17" s="165">
        <v>2.794</v>
      </c>
      <c r="CN17" s="165">
        <v>2.4889999999999999</v>
      </c>
      <c r="CO17" s="165">
        <v>0.40092</v>
      </c>
      <c r="CP17" s="165">
        <v>0</v>
      </c>
      <c r="CQ17" s="165">
        <v>0</v>
      </c>
      <c r="CR17" s="165">
        <v>0</v>
      </c>
      <c r="CS17" s="165">
        <v>0</v>
      </c>
      <c r="CT17" s="165">
        <v>0</v>
      </c>
      <c r="CU17" s="165">
        <v>0</v>
      </c>
      <c r="CV17" s="165" t="s">
        <v>1126</v>
      </c>
      <c r="CW17" s="165" t="s">
        <v>1126</v>
      </c>
      <c r="CX17" s="165" t="s">
        <v>1126</v>
      </c>
      <c r="CY17" s="165" t="s">
        <v>1126</v>
      </c>
      <c r="CZ17" s="165">
        <v>3</v>
      </c>
      <c r="DA17" s="165">
        <v>3</v>
      </c>
      <c r="DB17" s="165">
        <v>3</v>
      </c>
      <c r="DC17" s="165">
        <v>3</v>
      </c>
      <c r="DD17" s="171" t="s">
        <v>1315</v>
      </c>
      <c r="DE17" s="171" t="s">
        <v>1316</v>
      </c>
      <c r="DF17" s="171" t="s">
        <v>1317</v>
      </c>
      <c r="DG17" s="171" t="s">
        <v>1318</v>
      </c>
      <c r="DH17" s="170">
        <v>1</v>
      </c>
      <c r="DI17" s="170">
        <v>1</v>
      </c>
      <c r="DJ17" s="170">
        <v>1</v>
      </c>
      <c r="DK17" s="170">
        <v>0.8</v>
      </c>
      <c r="DL17" s="170">
        <v>0.8</v>
      </c>
      <c r="DM17" s="172" t="s">
        <v>1319</v>
      </c>
      <c r="DN17" s="172" t="s">
        <v>1320</v>
      </c>
      <c r="DO17" s="172" t="s">
        <v>1321</v>
      </c>
      <c r="DP17" s="172" t="s">
        <v>1322</v>
      </c>
      <c r="DQ17" s="172" t="s">
        <v>1323</v>
      </c>
      <c r="DR17" s="170">
        <v>1</v>
      </c>
      <c r="DS17" s="170">
        <v>4.0000000000000001E-3</v>
      </c>
      <c r="DT17" s="170">
        <v>0</v>
      </c>
      <c r="DU17" s="170">
        <v>0</v>
      </c>
      <c r="DV17" s="170">
        <v>0</v>
      </c>
      <c r="DW17" s="170">
        <v>0</v>
      </c>
      <c r="DX17" s="170">
        <v>0</v>
      </c>
      <c r="DY17" s="170">
        <v>0</v>
      </c>
      <c r="DZ17" s="170">
        <v>0</v>
      </c>
      <c r="EA17" s="170">
        <v>0</v>
      </c>
      <c r="EB17" s="170">
        <v>0</v>
      </c>
      <c r="EC17" s="172" t="s">
        <v>1324</v>
      </c>
      <c r="ED17" s="173" t="s">
        <v>1325</v>
      </c>
      <c r="EE17" s="172" t="s">
        <v>1326</v>
      </c>
      <c r="EF17" s="172" t="s">
        <v>1326</v>
      </c>
      <c r="EG17" s="172" t="s">
        <v>1326</v>
      </c>
      <c r="EH17" s="172" t="s">
        <v>1326</v>
      </c>
      <c r="EI17" s="172" t="s">
        <v>1326</v>
      </c>
      <c r="EJ17" s="172" t="s">
        <v>1326</v>
      </c>
      <c r="EK17" s="172" t="s">
        <v>1326</v>
      </c>
      <c r="EL17" s="172" t="s">
        <v>1326</v>
      </c>
      <c r="EM17" s="172" t="s">
        <v>1326</v>
      </c>
      <c r="EN17" s="170">
        <v>1</v>
      </c>
      <c r="EO17" s="170">
        <v>1</v>
      </c>
      <c r="EP17" s="170">
        <v>1</v>
      </c>
      <c r="EQ17" s="170">
        <v>1</v>
      </c>
      <c r="ER17" s="170">
        <v>1</v>
      </c>
      <c r="ES17" s="170">
        <v>1</v>
      </c>
      <c r="ET17" s="170">
        <v>1</v>
      </c>
      <c r="EU17" s="172" t="s">
        <v>1313</v>
      </c>
      <c r="EV17" s="170">
        <v>43804</v>
      </c>
      <c r="EW17" s="170">
        <v>1</v>
      </c>
      <c r="EX17" s="170">
        <v>1</v>
      </c>
      <c r="EY17" s="170">
        <v>1</v>
      </c>
      <c r="EZ17" s="170">
        <v>1</v>
      </c>
      <c r="FA17" s="170">
        <v>1</v>
      </c>
      <c r="FB17" s="170">
        <v>1</v>
      </c>
      <c r="FC17" s="170">
        <v>1</v>
      </c>
      <c r="FD17" s="170">
        <v>0</v>
      </c>
      <c r="FE17" s="170">
        <v>0.875</v>
      </c>
      <c r="FF17" s="172" t="s">
        <v>1327</v>
      </c>
      <c r="FG17" s="170">
        <v>43782</v>
      </c>
    </row>
    <row r="18" spans="1:163" ht="12" customHeight="1">
      <c r="A18" s="210" t="s">
        <v>1123</v>
      </c>
      <c r="B18" s="201" t="str">
        <f t="shared" si="0"/>
        <v>12528-G3002812</v>
      </c>
      <c r="C18" s="202">
        <v>12528</v>
      </c>
      <c r="D18" s="202" t="s">
        <v>471</v>
      </c>
      <c r="E18" s="163" t="s">
        <v>1328</v>
      </c>
      <c r="F18" s="164" t="s">
        <v>131</v>
      </c>
      <c r="G18" s="164" t="s">
        <v>78</v>
      </c>
      <c r="H18" s="162" t="s">
        <v>88</v>
      </c>
      <c r="I18" s="162" t="s">
        <v>1206</v>
      </c>
      <c r="J18" s="163" t="s">
        <v>1329</v>
      </c>
      <c r="K18" s="212">
        <v>4.5999999999999996</v>
      </c>
      <c r="L18" s="212">
        <v>0</v>
      </c>
      <c r="M18" s="212">
        <v>1.9</v>
      </c>
      <c r="N18" s="212">
        <v>2.7</v>
      </c>
      <c r="O18" s="212">
        <v>2.5</v>
      </c>
      <c r="P18" s="166">
        <v>0.35280000000000011</v>
      </c>
      <c r="Q18" s="167">
        <f>IF(P18&gt;'3X3 Data'!$D$9,3,IF(P18&gt;'3X3 Data'!$D$10,2,IF(P18&lt;'3X3 Data'!$D$11,1)))</f>
        <v>2</v>
      </c>
      <c r="R18" s="166">
        <v>1</v>
      </c>
      <c r="S18" s="165">
        <v>30.386664941066947</v>
      </c>
      <c r="T18" s="165">
        <v>10.720415391208423</v>
      </c>
      <c r="U18" s="165">
        <v>-3.7719999999999998</v>
      </c>
      <c r="V18" s="165">
        <v>26.614664941066948</v>
      </c>
      <c r="W18" s="165">
        <v>6.9484153912084228</v>
      </c>
      <c r="X18" s="168">
        <f>IF(W18&gt;'3X3 Data'!$J$9,3,IF(W18&gt;'3X3 Data'!$J$10,2,IF(W18&lt;'3X3 Data'!$J$11,1)))</f>
        <v>2</v>
      </c>
      <c r="Y18" s="169">
        <v>14.007718390035237</v>
      </c>
      <c r="Z18" s="169">
        <v>3.6570607322149593</v>
      </c>
      <c r="AA18" s="168">
        <f>IF(Z18&gt;'3X3 Data'!$J$15,3,IF(Z18&gt;'3X3 Data'!$J$16,2,IF(Z18&lt;'3X3 Data'!$J$17,1)))</f>
        <v>1</v>
      </c>
      <c r="AB18" s="165">
        <f t="shared" si="1"/>
        <v>1.3333333333333333</v>
      </c>
      <c r="AC18" s="168">
        <f t="shared" si="2"/>
        <v>1</v>
      </c>
      <c r="AD18" s="206">
        <v>7.0558496662425636</v>
      </c>
      <c r="AE18" s="206">
        <v>1.8421037622503773</v>
      </c>
      <c r="AF18" s="206">
        <v>14.519998772784005</v>
      </c>
      <c r="AG18" s="240">
        <v>2.089684907317952</v>
      </c>
      <c r="AH18" s="206">
        <v>30.386664941066947</v>
      </c>
      <c r="AI18" s="206">
        <v>0</v>
      </c>
      <c r="AJ18" s="206">
        <v>30.386664941066947</v>
      </c>
      <c r="AK18" s="206">
        <v>0</v>
      </c>
      <c r="AL18" s="206">
        <v>0</v>
      </c>
      <c r="AM18" s="206">
        <v>0</v>
      </c>
      <c r="AN18" s="206">
        <v>0</v>
      </c>
      <c r="AO18" s="206">
        <v>0</v>
      </c>
      <c r="AP18" s="206">
        <v>0</v>
      </c>
      <c r="AQ18" s="206">
        <v>0</v>
      </c>
      <c r="AR18" s="206">
        <v>0</v>
      </c>
      <c r="AS18" s="241">
        <v>10.720415391208423</v>
      </c>
      <c r="AT18" s="242">
        <v>0</v>
      </c>
      <c r="AU18" s="206">
        <v>10.720415391208423</v>
      </c>
      <c r="AV18" s="206">
        <v>0</v>
      </c>
      <c r="AW18" s="206">
        <v>0</v>
      </c>
      <c r="AX18" s="206">
        <v>0</v>
      </c>
      <c r="AY18" s="206">
        <v>0</v>
      </c>
      <c r="AZ18" s="206">
        <v>0</v>
      </c>
      <c r="BA18" s="206">
        <v>0</v>
      </c>
      <c r="BB18" s="206">
        <v>0</v>
      </c>
      <c r="BC18" s="243">
        <v>0</v>
      </c>
      <c r="BD18" s="244">
        <v>4.5999999999999996</v>
      </c>
      <c r="BE18" s="206">
        <v>0</v>
      </c>
      <c r="BF18" s="206">
        <v>4.5999999999999996</v>
      </c>
      <c r="BG18" s="206">
        <v>0</v>
      </c>
      <c r="BH18" s="206">
        <v>0</v>
      </c>
      <c r="BI18" s="206">
        <v>0</v>
      </c>
      <c r="BJ18" s="206">
        <v>0</v>
      </c>
      <c r="BK18" s="206">
        <v>0</v>
      </c>
      <c r="BL18" s="206">
        <v>0</v>
      </c>
      <c r="BM18" s="206">
        <v>0</v>
      </c>
      <c r="BN18" s="206">
        <v>0</v>
      </c>
      <c r="BO18" s="206">
        <v>0</v>
      </c>
      <c r="BP18" s="206">
        <v>0</v>
      </c>
      <c r="BQ18" s="206">
        <v>0</v>
      </c>
      <c r="BR18" s="206">
        <v>0</v>
      </c>
      <c r="BS18" s="206">
        <v>0</v>
      </c>
      <c r="BT18" s="206">
        <v>0</v>
      </c>
      <c r="BU18" s="206">
        <v>0</v>
      </c>
      <c r="BV18" s="206">
        <v>0</v>
      </c>
      <c r="BW18" s="206">
        <v>0</v>
      </c>
      <c r="BX18" s="206">
        <v>0</v>
      </c>
      <c r="BY18" s="206">
        <v>0</v>
      </c>
      <c r="BZ18" s="206">
        <v>1.9</v>
      </c>
      <c r="CA18" s="206">
        <v>0</v>
      </c>
      <c r="CB18" s="206">
        <v>1.9</v>
      </c>
      <c r="CC18" s="206">
        <v>0</v>
      </c>
      <c r="CD18" s="206">
        <v>0</v>
      </c>
      <c r="CE18" s="206">
        <v>0</v>
      </c>
      <c r="CF18" s="165">
        <v>0</v>
      </c>
      <c r="CG18" s="165">
        <v>0</v>
      </c>
      <c r="CH18" s="165">
        <v>0</v>
      </c>
      <c r="CI18" s="165">
        <v>0</v>
      </c>
      <c r="CJ18" s="165">
        <v>0</v>
      </c>
      <c r="CK18" s="165">
        <v>2.7</v>
      </c>
      <c r="CL18" s="165">
        <v>0</v>
      </c>
      <c r="CM18" s="165">
        <v>2.7</v>
      </c>
      <c r="CN18" s="165">
        <v>0</v>
      </c>
      <c r="CO18" s="165">
        <v>0</v>
      </c>
      <c r="CP18" s="165">
        <v>0</v>
      </c>
      <c r="CQ18" s="165">
        <v>0</v>
      </c>
      <c r="CR18" s="165">
        <v>0</v>
      </c>
      <c r="CS18" s="165">
        <v>0</v>
      </c>
      <c r="CT18" s="165">
        <v>0</v>
      </c>
      <c r="CU18" s="165">
        <v>0</v>
      </c>
      <c r="CV18" s="165" t="s">
        <v>1128</v>
      </c>
      <c r="CW18" s="165" t="s">
        <v>1126</v>
      </c>
      <c r="CX18" s="165" t="s">
        <v>1128</v>
      </c>
      <c r="CY18" s="165" t="s">
        <v>1126</v>
      </c>
      <c r="CZ18" s="165">
        <v>2</v>
      </c>
      <c r="DA18" s="165">
        <v>3</v>
      </c>
      <c r="DB18" s="165">
        <v>2</v>
      </c>
      <c r="DC18" s="165">
        <v>3</v>
      </c>
      <c r="DD18" s="171" t="s">
        <v>1330</v>
      </c>
      <c r="DE18" s="171" t="s">
        <v>1331</v>
      </c>
      <c r="DF18" s="171" t="s">
        <v>1332</v>
      </c>
      <c r="DG18" s="171" t="s">
        <v>1333</v>
      </c>
      <c r="DH18" s="170">
        <v>0.8</v>
      </c>
      <c r="DI18" s="170">
        <v>1</v>
      </c>
      <c r="DJ18" s="170">
        <v>0.9</v>
      </c>
      <c r="DK18" s="170">
        <v>0.70000000000000007</v>
      </c>
      <c r="DL18" s="170">
        <v>0.70000000000000007</v>
      </c>
      <c r="DM18" s="172" t="s">
        <v>1334</v>
      </c>
      <c r="DN18" s="172" t="s">
        <v>1335</v>
      </c>
      <c r="DO18" s="172" t="s">
        <v>1336</v>
      </c>
      <c r="DP18" s="172" t="s">
        <v>1337</v>
      </c>
      <c r="DQ18" s="172" t="s">
        <v>1338</v>
      </c>
      <c r="DR18" s="170">
        <v>1</v>
      </c>
      <c r="DS18" s="170" t="s">
        <v>1150</v>
      </c>
      <c r="DT18" s="170">
        <v>7.7000000000000002E-3</v>
      </c>
      <c r="DU18" s="170" t="s">
        <v>1150</v>
      </c>
      <c r="DV18" s="170" t="s">
        <v>1150</v>
      </c>
      <c r="DW18" s="170" t="s">
        <v>1150</v>
      </c>
      <c r="DX18" s="170" t="s">
        <v>1150</v>
      </c>
      <c r="DY18" s="170" t="s">
        <v>1150</v>
      </c>
      <c r="DZ18" s="170" t="s">
        <v>1150</v>
      </c>
      <c r="EA18" s="170" t="s">
        <v>1150</v>
      </c>
      <c r="EB18" s="170" t="s">
        <v>1150</v>
      </c>
      <c r="EC18" s="172" t="s">
        <v>1339</v>
      </c>
      <c r="ED18" s="172" t="s">
        <v>49</v>
      </c>
      <c r="EE18" s="172" t="s">
        <v>1340</v>
      </c>
      <c r="EF18" s="172" t="s">
        <v>49</v>
      </c>
      <c r="EG18" s="172" t="s">
        <v>49</v>
      </c>
      <c r="EH18" s="172" t="s">
        <v>49</v>
      </c>
      <c r="EI18" s="172" t="s">
        <v>49</v>
      </c>
      <c r="EJ18" s="172" t="s">
        <v>49</v>
      </c>
      <c r="EK18" s="172" t="s">
        <v>49</v>
      </c>
      <c r="EL18" s="172" t="s">
        <v>49</v>
      </c>
      <c r="EM18" s="172" t="s">
        <v>49</v>
      </c>
      <c r="EN18" s="170">
        <v>1</v>
      </c>
      <c r="EO18" s="170">
        <v>1</v>
      </c>
      <c r="EP18" s="170">
        <v>1</v>
      </c>
      <c r="EQ18" s="170">
        <v>1</v>
      </c>
      <c r="ER18" s="170">
        <v>1</v>
      </c>
      <c r="ES18" s="170">
        <v>0</v>
      </c>
      <c r="ET18" s="170">
        <v>0.83333333333333337</v>
      </c>
      <c r="EU18" s="172" t="s">
        <v>1313</v>
      </c>
      <c r="EV18" s="170">
        <v>43804</v>
      </c>
      <c r="EW18" s="170">
        <v>0</v>
      </c>
      <c r="EX18" s="170">
        <v>0</v>
      </c>
      <c r="EY18" s="170">
        <v>0</v>
      </c>
      <c r="EZ18" s="170">
        <v>0</v>
      </c>
      <c r="FA18" s="170">
        <v>0</v>
      </c>
      <c r="FB18" s="170">
        <v>0</v>
      </c>
      <c r="FC18" s="170">
        <v>0</v>
      </c>
      <c r="FD18" s="170">
        <v>0</v>
      </c>
      <c r="FE18" s="170">
        <v>0</v>
      </c>
      <c r="FF18" s="172" t="s">
        <v>49</v>
      </c>
      <c r="FG18" s="170" t="s">
        <v>49</v>
      </c>
    </row>
    <row r="19" spans="1:163" ht="12" customHeight="1">
      <c r="A19" s="210" t="s">
        <v>1123</v>
      </c>
      <c r="B19" s="201" t="str">
        <f t="shared" si="0"/>
        <v>15070-G4010804</v>
      </c>
      <c r="C19" s="202">
        <v>15070</v>
      </c>
      <c r="D19" s="202" t="s">
        <v>1341</v>
      </c>
      <c r="E19" s="163" t="s">
        <v>1342</v>
      </c>
      <c r="F19" s="164" t="s">
        <v>131</v>
      </c>
      <c r="G19" s="164" t="s">
        <v>78</v>
      </c>
      <c r="H19" s="162" t="s">
        <v>88</v>
      </c>
      <c r="I19" s="162" t="s">
        <v>1206</v>
      </c>
      <c r="J19" s="163" t="s">
        <v>1343</v>
      </c>
      <c r="K19" s="212">
        <v>1.1000000000000001</v>
      </c>
      <c r="L19" s="212">
        <v>0.25</v>
      </c>
      <c r="M19" s="212">
        <v>0.85</v>
      </c>
      <c r="N19" s="212">
        <v>0</v>
      </c>
      <c r="O19" s="212">
        <v>2.75</v>
      </c>
      <c r="P19" s="166">
        <v>0.64000000000000012</v>
      </c>
      <c r="Q19" s="167">
        <f>IF(P19&gt;'3X3 Data'!$D$9,3,IF(P19&gt;'3X3 Data'!$D$10,2,IF(P19&lt;'3X3 Data'!$D$11,1)))</f>
        <v>3</v>
      </c>
      <c r="R19" s="166">
        <v>1</v>
      </c>
      <c r="S19" s="165">
        <v>3.8414386278344463</v>
      </c>
      <c r="T19" s="165">
        <v>2.4585207218140464</v>
      </c>
      <c r="U19" s="165">
        <v>-0.87197183098591569</v>
      </c>
      <c r="V19" s="165">
        <v>2.9694667968485309</v>
      </c>
      <c r="W19" s="165">
        <v>1.5865488908281307</v>
      </c>
      <c r="X19" s="168">
        <f>IF(W19&gt;'3X3 Data'!$J$9,3,IF(W19&gt;'3X3 Data'!$J$10,2,IF(W19&lt;'3X3 Data'!$J$11,1)))</f>
        <v>1</v>
      </c>
      <c r="Y19" s="169">
        <v>2.6995152698623004</v>
      </c>
      <c r="Z19" s="169">
        <v>1.4423171734801186</v>
      </c>
      <c r="AA19" s="168">
        <f>IF(Z19&gt;'3X3 Data'!$J$15,3,IF(Z19&gt;'3X3 Data'!$J$16,2,IF(Z19&lt;'3X3 Data'!$J$17,1)))</f>
        <v>1</v>
      </c>
      <c r="AB19" s="165">
        <f t="shared" si="1"/>
        <v>1</v>
      </c>
      <c r="AC19" s="168">
        <f t="shared" si="2"/>
        <v>1</v>
      </c>
      <c r="AD19" s="206">
        <v>3.4054618409989605</v>
      </c>
      <c r="AE19" s="206">
        <v>1.8194955782393354</v>
      </c>
      <c r="AF19" s="206">
        <v>1.8438905413605342</v>
      </c>
      <c r="AG19" s="240">
        <v>1.1622021558995759</v>
      </c>
      <c r="AH19" s="206">
        <v>3.8414386278344463</v>
      </c>
      <c r="AI19" s="206">
        <v>3.8414386278344463</v>
      </c>
      <c r="AJ19" s="206">
        <v>0</v>
      </c>
      <c r="AK19" s="206">
        <v>0</v>
      </c>
      <c r="AL19" s="206">
        <v>0</v>
      </c>
      <c r="AM19" s="206">
        <v>0</v>
      </c>
      <c r="AN19" s="206">
        <v>0</v>
      </c>
      <c r="AO19" s="206">
        <v>0</v>
      </c>
      <c r="AP19" s="206">
        <v>0</v>
      </c>
      <c r="AQ19" s="206">
        <v>0</v>
      </c>
      <c r="AR19" s="206">
        <v>0</v>
      </c>
      <c r="AS19" s="241">
        <v>2.4585207218140464</v>
      </c>
      <c r="AT19" s="242">
        <v>2.4585207218140464</v>
      </c>
      <c r="AU19" s="206">
        <v>0</v>
      </c>
      <c r="AV19" s="206">
        <v>0</v>
      </c>
      <c r="AW19" s="206">
        <v>0</v>
      </c>
      <c r="AX19" s="206">
        <v>0</v>
      </c>
      <c r="AY19" s="206">
        <v>0</v>
      </c>
      <c r="AZ19" s="206">
        <v>0</v>
      </c>
      <c r="BA19" s="206">
        <v>0</v>
      </c>
      <c r="BB19" s="206">
        <v>0</v>
      </c>
      <c r="BC19" s="243">
        <v>0</v>
      </c>
      <c r="BD19" s="244">
        <v>1.1000000000000001</v>
      </c>
      <c r="BE19" s="206">
        <v>0</v>
      </c>
      <c r="BF19" s="206">
        <v>0.5</v>
      </c>
      <c r="BG19" s="206">
        <v>0.6</v>
      </c>
      <c r="BH19" s="206">
        <v>0</v>
      </c>
      <c r="BI19" s="206">
        <v>0</v>
      </c>
      <c r="BJ19" s="206">
        <v>0</v>
      </c>
      <c r="BK19" s="206">
        <v>0</v>
      </c>
      <c r="BL19" s="206">
        <v>0</v>
      </c>
      <c r="BM19" s="206">
        <v>0</v>
      </c>
      <c r="BN19" s="206">
        <v>0</v>
      </c>
      <c r="BO19" s="206">
        <v>0.25</v>
      </c>
      <c r="BP19" s="206">
        <v>0</v>
      </c>
      <c r="BQ19" s="206">
        <v>0.25</v>
      </c>
      <c r="BR19" s="206">
        <v>0</v>
      </c>
      <c r="BS19" s="206">
        <v>0</v>
      </c>
      <c r="BT19" s="206">
        <v>0</v>
      </c>
      <c r="BU19" s="206">
        <v>0</v>
      </c>
      <c r="BV19" s="206">
        <v>0</v>
      </c>
      <c r="BW19" s="206">
        <v>0</v>
      </c>
      <c r="BX19" s="206">
        <v>0</v>
      </c>
      <c r="BY19" s="206">
        <v>0</v>
      </c>
      <c r="BZ19" s="206">
        <v>0.85</v>
      </c>
      <c r="CA19" s="206">
        <v>0</v>
      </c>
      <c r="CB19" s="206">
        <v>0.25</v>
      </c>
      <c r="CC19" s="206">
        <v>0.6</v>
      </c>
      <c r="CD19" s="206">
        <v>0</v>
      </c>
      <c r="CE19" s="206">
        <v>0</v>
      </c>
      <c r="CF19" s="165">
        <v>0</v>
      </c>
      <c r="CG19" s="165">
        <v>0</v>
      </c>
      <c r="CH19" s="165">
        <v>0</v>
      </c>
      <c r="CI19" s="165">
        <v>0</v>
      </c>
      <c r="CJ19" s="165">
        <v>0</v>
      </c>
      <c r="CK19" s="165">
        <v>0</v>
      </c>
      <c r="CL19" s="165">
        <v>0</v>
      </c>
      <c r="CM19" s="165">
        <v>0</v>
      </c>
      <c r="CN19" s="165">
        <v>0</v>
      </c>
      <c r="CO19" s="165">
        <v>0</v>
      </c>
      <c r="CP19" s="165">
        <v>0</v>
      </c>
      <c r="CQ19" s="165">
        <v>0</v>
      </c>
      <c r="CR19" s="165">
        <v>0</v>
      </c>
      <c r="CS19" s="165">
        <v>0</v>
      </c>
      <c r="CT19" s="165">
        <v>0</v>
      </c>
      <c r="CU19" s="165">
        <v>0</v>
      </c>
      <c r="CV19" s="165" t="s">
        <v>1128</v>
      </c>
      <c r="CW19" s="165" t="s">
        <v>1126</v>
      </c>
      <c r="CX19" s="165" t="s">
        <v>1126</v>
      </c>
      <c r="CY19" s="165" t="s">
        <v>1126</v>
      </c>
      <c r="CZ19" s="165">
        <v>2</v>
      </c>
      <c r="DA19" s="165">
        <v>3</v>
      </c>
      <c r="DB19" s="165">
        <v>3</v>
      </c>
      <c r="DC19" s="165">
        <v>3</v>
      </c>
      <c r="DD19" s="171" t="s">
        <v>1344</v>
      </c>
      <c r="DE19" s="171" t="s">
        <v>1345</v>
      </c>
      <c r="DF19" s="171" t="s">
        <v>1346</v>
      </c>
      <c r="DG19" s="171" t="s">
        <v>1347</v>
      </c>
      <c r="DH19" s="170">
        <v>0.8</v>
      </c>
      <c r="DI19" s="170">
        <v>1</v>
      </c>
      <c r="DJ19" s="170">
        <v>1</v>
      </c>
      <c r="DK19" s="170">
        <v>1</v>
      </c>
      <c r="DL19" s="170">
        <v>0.8</v>
      </c>
      <c r="DM19" s="172" t="s">
        <v>1348</v>
      </c>
      <c r="DN19" s="172" t="s">
        <v>1349</v>
      </c>
      <c r="DO19" s="172" t="s">
        <v>1350</v>
      </c>
      <c r="DP19" s="172" t="s">
        <v>1351</v>
      </c>
      <c r="DQ19" s="172" t="s">
        <v>1352</v>
      </c>
      <c r="DR19" s="170">
        <v>1</v>
      </c>
      <c r="DS19" s="170">
        <v>8.5000000000000006E-4</v>
      </c>
      <c r="DT19" s="170">
        <v>0</v>
      </c>
      <c r="DU19" s="170">
        <v>0</v>
      </c>
      <c r="DV19" s="170">
        <v>0</v>
      </c>
      <c r="DW19" s="170">
        <v>0</v>
      </c>
      <c r="DX19" s="170">
        <v>0</v>
      </c>
      <c r="DY19" s="170">
        <v>0</v>
      </c>
      <c r="DZ19" s="170">
        <v>0</v>
      </c>
      <c r="EA19" s="170">
        <v>0</v>
      </c>
      <c r="EB19" s="170">
        <v>0</v>
      </c>
      <c r="EC19" s="172" t="s">
        <v>1353</v>
      </c>
      <c r="ED19" s="173" t="s">
        <v>1354</v>
      </c>
      <c r="EE19" s="172" t="s">
        <v>1326</v>
      </c>
      <c r="EF19" s="172" t="s">
        <v>1326</v>
      </c>
      <c r="EG19" s="172" t="s">
        <v>1326</v>
      </c>
      <c r="EH19" s="172" t="s">
        <v>1326</v>
      </c>
      <c r="EI19" s="172" t="s">
        <v>1326</v>
      </c>
      <c r="EJ19" s="172" t="s">
        <v>1326</v>
      </c>
      <c r="EK19" s="172" t="s">
        <v>1326</v>
      </c>
      <c r="EL19" s="172" t="s">
        <v>1326</v>
      </c>
      <c r="EM19" s="172" t="s">
        <v>1326</v>
      </c>
      <c r="EN19" s="170">
        <v>1</v>
      </c>
      <c r="EO19" s="170">
        <v>1</v>
      </c>
      <c r="EP19" s="170">
        <v>1</v>
      </c>
      <c r="EQ19" s="170">
        <v>1</v>
      </c>
      <c r="ER19" s="170">
        <v>1</v>
      </c>
      <c r="ES19" s="170">
        <v>1</v>
      </c>
      <c r="ET19" s="170">
        <v>1</v>
      </c>
      <c r="EU19" s="172" t="s">
        <v>343</v>
      </c>
      <c r="EV19" s="170">
        <v>43964</v>
      </c>
      <c r="EW19" s="170">
        <v>1</v>
      </c>
      <c r="EX19" s="170">
        <v>1</v>
      </c>
      <c r="EY19" s="170">
        <v>1</v>
      </c>
      <c r="EZ19" s="170">
        <v>1</v>
      </c>
      <c r="FA19" s="170">
        <v>1</v>
      </c>
      <c r="FB19" s="170">
        <v>1</v>
      </c>
      <c r="FC19" s="170">
        <v>1</v>
      </c>
      <c r="FD19" s="170">
        <v>1</v>
      </c>
      <c r="FE19" s="170">
        <v>1</v>
      </c>
      <c r="FF19" s="172" t="s">
        <v>1355</v>
      </c>
      <c r="FG19" s="170">
        <v>43788</v>
      </c>
    </row>
    <row r="20" spans="1:163" ht="12" customHeight="1">
      <c r="A20" s="210" t="s">
        <v>1123</v>
      </c>
      <c r="B20" s="201" t="str">
        <f t="shared" si="0"/>
        <v>15070-G3004231</v>
      </c>
      <c r="C20" s="202">
        <v>15070</v>
      </c>
      <c r="D20" s="202" t="s">
        <v>882</v>
      </c>
      <c r="E20" s="163" t="s">
        <v>1356</v>
      </c>
      <c r="F20" s="164" t="s">
        <v>131</v>
      </c>
      <c r="G20" s="164" t="s">
        <v>78</v>
      </c>
      <c r="H20" s="162" t="s">
        <v>88</v>
      </c>
      <c r="I20" s="162" t="s">
        <v>1124</v>
      </c>
      <c r="J20" s="163" t="s">
        <v>1357</v>
      </c>
      <c r="K20" s="212">
        <v>1</v>
      </c>
      <c r="L20" s="212">
        <v>0.5</v>
      </c>
      <c r="M20" s="212">
        <v>0.5</v>
      </c>
      <c r="N20" s="212">
        <v>0</v>
      </c>
      <c r="O20" s="212">
        <v>2.25</v>
      </c>
      <c r="P20" s="166">
        <v>0.9</v>
      </c>
      <c r="Q20" s="167">
        <f>IF(P20&gt;'3X3 Data'!$D$9,3,IF(P20&gt;'3X3 Data'!$D$10,2,IF(P20&lt;'3X3 Data'!$D$11,1)))</f>
        <v>3</v>
      </c>
      <c r="R20" s="166">
        <v>1</v>
      </c>
      <c r="S20" s="165">
        <v>6.2775938438224541</v>
      </c>
      <c r="T20" s="165">
        <v>5.6498344594402088</v>
      </c>
      <c r="U20" s="165">
        <v>-0.82000000000000006</v>
      </c>
      <c r="V20" s="165">
        <v>5.4575938438224538</v>
      </c>
      <c r="W20" s="165">
        <v>4.8298344594402085</v>
      </c>
      <c r="X20" s="168">
        <f>IF(W20&gt;'3X3 Data'!$J$9,3,IF(W20&gt;'3X3 Data'!$J$10,2,IF(W20&lt;'3X3 Data'!$J$11,1)))</f>
        <v>1</v>
      </c>
      <c r="Y20" s="169">
        <v>5.4575938438224538</v>
      </c>
      <c r="Z20" s="169">
        <v>4.8298344594402085</v>
      </c>
      <c r="AA20" s="168">
        <f>IF(Z20&gt;'3X3 Data'!$J$15,3,IF(Z20&gt;'3X3 Data'!$J$16,2,IF(Z20&lt;'3X3 Data'!$J$17,1)))</f>
        <v>2</v>
      </c>
      <c r="AB20" s="165">
        <f t="shared" si="1"/>
        <v>1.6666666666666667</v>
      </c>
      <c r="AC20" s="168">
        <f t="shared" si="2"/>
        <v>2</v>
      </c>
      <c r="AD20" s="206">
        <v>6.6556022485639676</v>
      </c>
      <c r="AE20" s="206">
        <v>5.8900420237075712</v>
      </c>
      <c r="AF20" s="206">
        <v>1.8832781531467362</v>
      </c>
      <c r="AG20" s="240">
        <v>0.38992602520066771</v>
      </c>
      <c r="AH20" s="206">
        <v>6.2775938438224541</v>
      </c>
      <c r="AI20" s="206">
        <v>1.3558018686474516</v>
      </c>
      <c r="AJ20" s="206">
        <v>0</v>
      </c>
      <c r="AK20" s="206">
        <v>0</v>
      </c>
      <c r="AL20" s="206">
        <v>4.9217919751750028</v>
      </c>
      <c r="AM20" s="206">
        <v>0</v>
      </c>
      <c r="AN20" s="206">
        <v>0</v>
      </c>
      <c r="AO20" s="206">
        <v>0</v>
      </c>
      <c r="AP20" s="206">
        <v>0</v>
      </c>
      <c r="AQ20" s="206">
        <v>0</v>
      </c>
      <c r="AR20" s="206">
        <v>0</v>
      </c>
      <c r="AS20" s="241">
        <v>5.6498344594402088</v>
      </c>
      <c r="AT20" s="242">
        <v>1.2202216817827065</v>
      </c>
      <c r="AU20" s="206">
        <v>0</v>
      </c>
      <c r="AV20" s="206">
        <v>0</v>
      </c>
      <c r="AW20" s="206">
        <v>4.4296127776575025</v>
      </c>
      <c r="AX20" s="206">
        <v>0</v>
      </c>
      <c r="AY20" s="206">
        <v>0</v>
      </c>
      <c r="AZ20" s="206">
        <v>0</v>
      </c>
      <c r="BA20" s="206">
        <v>0</v>
      </c>
      <c r="BB20" s="206">
        <v>0</v>
      </c>
      <c r="BC20" s="243">
        <v>0</v>
      </c>
      <c r="BD20" s="244">
        <v>1</v>
      </c>
      <c r="BE20" s="206">
        <v>0</v>
      </c>
      <c r="BF20" s="206">
        <v>1</v>
      </c>
      <c r="BG20" s="206">
        <v>0</v>
      </c>
      <c r="BH20" s="206">
        <v>0</v>
      </c>
      <c r="BI20" s="206">
        <v>0</v>
      </c>
      <c r="BJ20" s="206">
        <v>0</v>
      </c>
      <c r="BK20" s="206">
        <v>0</v>
      </c>
      <c r="BL20" s="206">
        <v>0</v>
      </c>
      <c r="BM20" s="206">
        <v>0</v>
      </c>
      <c r="BN20" s="206">
        <v>0</v>
      </c>
      <c r="BO20" s="206">
        <v>0.5</v>
      </c>
      <c r="BP20" s="206">
        <v>0</v>
      </c>
      <c r="BQ20" s="206">
        <v>0.5</v>
      </c>
      <c r="BR20" s="206">
        <v>0</v>
      </c>
      <c r="BS20" s="206">
        <v>0</v>
      </c>
      <c r="BT20" s="206">
        <v>0</v>
      </c>
      <c r="BU20" s="206">
        <v>0</v>
      </c>
      <c r="BV20" s="206">
        <v>0</v>
      </c>
      <c r="BW20" s="206">
        <v>0</v>
      </c>
      <c r="BX20" s="206">
        <v>0</v>
      </c>
      <c r="BY20" s="206">
        <v>0</v>
      </c>
      <c r="BZ20" s="206">
        <v>0.5</v>
      </c>
      <c r="CA20" s="206">
        <v>0</v>
      </c>
      <c r="CB20" s="206">
        <v>0.5</v>
      </c>
      <c r="CC20" s="206">
        <v>0</v>
      </c>
      <c r="CD20" s="206">
        <v>0</v>
      </c>
      <c r="CE20" s="206">
        <v>0</v>
      </c>
      <c r="CF20" s="165">
        <v>0</v>
      </c>
      <c r="CG20" s="165">
        <v>0</v>
      </c>
      <c r="CH20" s="165">
        <v>0</v>
      </c>
      <c r="CI20" s="165">
        <v>0</v>
      </c>
      <c r="CJ20" s="165">
        <v>0</v>
      </c>
      <c r="CK20" s="165">
        <v>0</v>
      </c>
      <c r="CL20" s="165">
        <v>0</v>
      </c>
      <c r="CM20" s="165">
        <v>0</v>
      </c>
      <c r="CN20" s="165">
        <v>0</v>
      </c>
      <c r="CO20" s="165">
        <v>0</v>
      </c>
      <c r="CP20" s="165">
        <v>0</v>
      </c>
      <c r="CQ20" s="165">
        <v>0</v>
      </c>
      <c r="CR20" s="165">
        <v>0</v>
      </c>
      <c r="CS20" s="165">
        <v>0</v>
      </c>
      <c r="CT20" s="165">
        <v>0</v>
      </c>
      <c r="CU20" s="165">
        <v>0</v>
      </c>
      <c r="CV20" s="165" t="s">
        <v>1128</v>
      </c>
      <c r="CW20" s="165" t="s">
        <v>1126</v>
      </c>
      <c r="CX20" s="165" t="s">
        <v>1128</v>
      </c>
      <c r="CY20" s="165" t="s">
        <v>1128</v>
      </c>
      <c r="CZ20" s="165">
        <v>2</v>
      </c>
      <c r="DA20" s="165">
        <v>3</v>
      </c>
      <c r="DB20" s="165">
        <v>2</v>
      </c>
      <c r="DC20" s="165">
        <v>2</v>
      </c>
      <c r="DD20" s="171" t="s">
        <v>1358</v>
      </c>
      <c r="DE20" s="171" t="s">
        <v>1359</v>
      </c>
      <c r="DF20" s="171" t="s">
        <v>1360</v>
      </c>
      <c r="DG20" s="171" t="s">
        <v>1361</v>
      </c>
      <c r="DH20" s="170">
        <v>1</v>
      </c>
      <c r="DI20" s="170">
        <v>1</v>
      </c>
      <c r="DJ20" s="170">
        <v>1</v>
      </c>
      <c r="DK20" s="170">
        <v>0.9</v>
      </c>
      <c r="DL20" s="170">
        <v>1</v>
      </c>
      <c r="DM20" s="172" t="s">
        <v>1362</v>
      </c>
      <c r="DN20" s="172" t="s">
        <v>1363</v>
      </c>
      <c r="DO20" s="172" t="s">
        <v>1364</v>
      </c>
      <c r="DP20" s="172" t="s">
        <v>1365</v>
      </c>
      <c r="DQ20" s="172" t="s">
        <v>1366</v>
      </c>
      <c r="DR20" s="170">
        <v>1</v>
      </c>
      <c r="DS20" s="170">
        <v>3.0000000000000003E-4</v>
      </c>
      <c r="DT20" s="170" t="s">
        <v>1150</v>
      </c>
      <c r="DU20" s="170" t="s">
        <v>1150</v>
      </c>
      <c r="DV20" s="170">
        <v>1E-4</v>
      </c>
      <c r="DW20" s="170" t="s">
        <v>1150</v>
      </c>
      <c r="DX20" s="170" t="s">
        <v>1150</v>
      </c>
      <c r="DY20" s="170" t="s">
        <v>1150</v>
      </c>
      <c r="DZ20" s="170" t="s">
        <v>1150</v>
      </c>
      <c r="EA20" s="170" t="s">
        <v>1150</v>
      </c>
      <c r="EB20" s="170" t="s">
        <v>1150</v>
      </c>
      <c r="EC20" s="172" t="s">
        <v>1367</v>
      </c>
      <c r="ED20" s="172" t="s">
        <v>1368</v>
      </c>
      <c r="EE20" s="172" t="s">
        <v>49</v>
      </c>
      <c r="EF20" s="172" t="s">
        <v>49</v>
      </c>
      <c r="EG20" s="172" t="s">
        <v>1369</v>
      </c>
      <c r="EH20" s="172" t="s">
        <v>49</v>
      </c>
      <c r="EI20" s="172" t="s">
        <v>49</v>
      </c>
      <c r="EJ20" s="172" t="s">
        <v>49</v>
      </c>
      <c r="EK20" s="172" t="s">
        <v>49</v>
      </c>
      <c r="EL20" s="172" t="s">
        <v>49</v>
      </c>
      <c r="EM20" s="172" t="s">
        <v>49</v>
      </c>
      <c r="EN20" s="170">
        <v>1</v>
      </c>
      <c r="EO20" s="170">
        <v>1</v>
      </c>
      <c r="EP20" s="170">
        <v>1</v>
      </c>
      <c r="EQ20" s="170">
        <v>1</v>
      </c>
      <c r="ER20" s="170">
        <v>1</v>
      </c>
      <c r="ES20" s="170">
        <v>0</v>
      </c>
      <c r="ET20" s="170">
        <v>0.83333333333333337</v>
      </c>
      <c r="EU20" s="172" t="s">
        <v>1313</v>
      </c>
      <c r="EV20" s="170">
        <v>43804</v>
      </c>
      <c r="EW20" s="170">
        <v>0</v>
      </c>
      <c r="EX20" s="170">
        <v>0</v>
      </c>
      <c r="EY20" s="170">
        <v>0</v>
      </c>
      <c r="EZ20" s="170">
        <v>0</v>
      </c>
      <c r="FA20" s="170">
        <v>0</v>
      </c>
      <c r="FB20" s="170">
        <v>0</v>
      </c>
      <c r="FC20" s="170">
        <v>0</v>
      </c>
      <c r="FD20" s="170">
        <v>0</v>
      </c>
      <c r="FE20" s="170">
        <v>0</v>
      </c>
      <c r="FF20" s="172" t="s">
        <v>49</v>
      </c>
      <c r="FG20" s="170" t="s">
        <v>49</v>
      </c>
    </row>
    <row r="21" spans="1:163" ht="12" customHeight="1">
      <c r="A21" s="210" t="s">
        <v>1123</v>
      </c>
      <c r="B21" s="201" t="str">
        <f t="shared" si="0"/>
        <v>15070-G4010832</v>
      </c>
      <c r="C21" s="202">
        <v>15070</v>
      </c>
      <c r="D21" s="202" t="s">
        <v>1370</v>
      </c>
      <c r="E21" s="163" t="s">
        <v>1371</v>
      </c>
      <c r="F21" s="164" t="s">
        <v>131</v>
      </c>
      <c r="G21" s="164" t="s">
        <v>78</v>
      </c>
      <c r="H21" s="162" t="s">
        <v>88</v>
      </c>
      <c r="I21" s="162" t="s">
        <v>1206</v>
      </c>
      <c r="J21" s="163" t="s">
        <v>1372</v>
      </c>
      <c r="K21" s="212">
        <v>0.29000000000000004</v>
      </c>
      <c r="L21" s="212">
        <v>0.14000000000000001</v>
      </c>
      <c r="M21" s="212">
        <v>0.15</v>
      </c>
      <c r="N21" s="212">
        <v>0</v>
      </c>
      <c r="O21" s="212">
        <v>2.75</v>
      </c>
      <c r="P21" s="166">
        <v>0.64000000000000012</v>
      </c>
      <c r="Q21" s="167">
        <f>IF(P21&gt;'3X3 Data'!$D$9,3,IF(P21&gt;'3X3 Data'!$D$10,2,IF(P21&lt;'3X3 Data'!$D$11,1)))</f>
        <v>3</v>
      </c>
      <c r="R21" s="166">
        <v>1</v>
      </c>
      <c r="S21" s="165">
        <v>4.067405605942354</v>
      </c>
      <c r="T21" s="165">
        <v>2.6031395878031072</v>
      </c>
      <c r="U21" s="165">
        <v>-0.23780000000000004</v>
      </c>
      <c r="V21" s="165">
        <v>3.829605605942354</v>
      </c>
      <c r="W21" s="165">
        <v>2.3653395878031072</v>
      </c>
      <c r="X21" s="168">
        <f>IF(W21&gt;'3X3 Data'!$J$9,3,IF(W21&gt;'3X3 Data'!$J$10,2,IF(W21&lt;'3X3 Data'!$J$11,1)))</f>
        <v>1</v>
      </c>
      <c r="Y21" s="169">
        <v>13.205536572215012</v>
      </c>
      <c r="Z21" s="169">
        <v>8.1563434062176103</v>
      </c>
      <c r="AA21" s="168">
        <f>IF(Z21&gt;'3X3 Data'!$J$15,3,IF(Z21&gt;'3X3 Data'!$J$16,2,IF(Z21&lt;'3X3 Data'!$J$17,1)))</f>
        <v>2</v>
      </c>
      <c r="AB21" s="165">
        <f t="shared" si="1"/>
        <v>1.6666666666666667</v>
      </c>
      <c r="AC21" s="168">
        <f t="shared" si="2"/>
        <v>2</v>
      </c>
      <c r="AD21" s="206">
        <v>16.104312892945135</v>
      </c>
      <c r="AE21" s="206">
        <v>9.9467602514848892</v>
      </c>
      <c r="AF21" s="206">
        <v>1.9523546908523299</v>
      </c>
      <c r="AG21" s="240">
        <v>0.82540143534554733</v>
      </c>
      <c r="AH21" s="206">
        <v>4.067405605942354</v>
      </c>
      <c r="AI21" s="206">
        <v>4.067405605942354</v>
      </c>
      <c r="AJ21" s="206">
        <v>0</v>
      </c>
      <c r="AK21" s="206">
        <v>0</v>
      </c>
      <c r="AL21" s="206">
        <v>0</v>
      </c>
      <c r="AM21" s="206">
        <v>0</v>
      </c>
      <c r="AN21" s="206">
        <v>0</v>
      </c>
      <c r="AO21" s="206">
        <v>0</v>
      </c>
      <c r="AP21" s="206">
        <v>0</v>
      </c>
      <c r="AQ21" s="206">
        <v>0</v>
      </c>
      <c r="AR21" s="206">
        <v>0</v>
      </c>
      <c r="AS21" s="241">
        <v>2.6031395878031072</v>
      </c>
      <c r="AT21" s="242">
        <v>2.6031395878031072</v>
      </c>
      <c r="AU21" s="206">
        <v>0</v>
      </c>
      <c r="AV21" s="206">
        <v>0</v>
      </c>
      <c r="AW21" s="206">
        <v>0</v>
      </c>
      <c r="AX21" s="206">
        <v>0</v>
      </c>
      <c r="AY21" s="206">
        <v>0</v>
      </c>
      <c r="AZ21" s="206">
        <v>0</v>
      </c>
      <c r="BA21" s="206">
        <v>0</v>
      </c>
      <c r="BB21" s="206">
        <v>0</v>
      </c>
      <c r="BC21" s="243">
        <v>0</v>
      </c>
      <c r="BD21" s="244">
        <v>0.29000000000000004</v>
      </c>
      <c r="BE21" s="206">
        <v>0</v>
      </c>
      <c r="BF21" s="206">
        <v>0.29000000000000004</v>
      </c>
      <c r="BG21" s="206">
        <v>0</v>
      </c>
      <c r="BH21" s="206">
        <v>0</v>
      </c>
      <c r="BI21" s="206">
        <v>0</v>
      </c>
      <c r="BJ21" s="206">
        <v>0</v>
      </c>
      <c r="BK21" s="206">
        <v>0</v>
      </c>
      <c r="BL21" s="206">
        <v>0</v>
      </c>
      <c r="BM21" s="206">
        <v>0</v>
      </c>
      <c r="BN21" s="206">
        <v>0</v>
      </c>
      <c r="BO21" s="206">
        <v>0.14000000000000001</v>
      </c>
      <c r="BP21" s="206">
        <v>0</v>
      </c>
      <c r="BQ21" s="206">
        <v>0.14000000000000001</v>
      </c>
      <c r="BR21" s="206">
        <v>0</v>
      </c>
      <c r="BS21" s="206">
        <v>0</v>
      </c>
      <c r="BT21" s="206">
        <v>0</v>
      </c>
      <c r="BU21" s="206">
        <v>0</v>
      </c>
      <c r="BV21" s="206">
        <v>0</v>
      </c>
      <c r="BW21" s="206">
        <v>0</v>
      </c>
      <c r="BX21" s="206">
        <v>0</v>
      </c>
      <c r="BY21" s="206">
        <v>0</v>
      </c>
      <c r="BZ21" s="206">
        <v>0.15</v>
      </c>
      <c r="CA21" s="206">
        <v>0</v>
      </c>
      <c r="CB21" s="206">
        <v>0.15</v>
      </c>
      <c r="CC21" s="206">
        <v>0</v>
      </c>
      <c r="CD21" s="206">
        <v>0</v>
      </c>
      <c r="CE21" s="206">
        <v>0</v>
      </c>
      <c r="CF21" s="165">
        <v>0</v>
      </c>
      <c r="CG21" s="165">
        <v>0</v>
      </c>
      <c r="CH21" s="165">
        <v>0</v>
      </c>
      <c r="CI21" s="165">
        <v>0</v>
      </c>
      <c r="CJ21" s="165">
        <v>0</v>
      </c>
      <c r="CK21" s="165">
        <v>0</v>
      </c>
      <c r="CL21" s="165">
        <v>0</v>
      </c>
      <c r="CM21" s="165">
        <v>0</v>
      </c>
      <c r="CN21" s="165">
        <v>0</v>
      </c>
      <c r="CO21" s="165">
        <v>0</v>
      </c>
      <c r="CP21" s="165">
        <v>0</v>
      </c>
      <c r="CQ21" s="165">
        <v>0</v>
      </c>
      <c r="CR21" s="165">
        <v>0</v>
      </c>
      <c r="CS21" s="165">
        <v>0</v>
      </c>
      <c r="CT21" s="165">
        <v>0</v>
      </c>
      <c r="CU21" s="165">
        <v>0</v>
      </c>
      <c r="CV21" s="165" t="s">
        <v>1126</v>
      </c>
      <c r="CW21" s="165" t="s">
        <v>1126</v>
      </c>
      <c r="CX21" s="165" t="s">
        <v>1128</v>
      </c>
      <c r="CY21" s="165" t="s">
        <v>1126</v>
      </c>
      <c r="CZ21" s="165">
        <v>3</v>
      </c>
      <c r="DA21" s="165">
        <v>3</v>
      </c>
      <c r="DB21" s="165">
        <v>2</v>
      </c>
      <c r="DC21" s="165">
        <v>3</v>
      </c>
      <c r="DD21" s="171" t="s">
        <v>1373</v>
      </c>
      <c r="DE21" s="171" t="s">
        <v>1374</v>
      </c>
      <c r="DF21" s="171" t="s">
        <v>1375</v>
      </c>
      <c r="DG21" s="171" t="s">
        <v>1376</v>
      </c>
      <c r="DH21" s="170">
        <v>0.8</v>
      </c>
      <c r="DI21" s="170">
        <v>1</v>
      </c>
      <c r="DJ21" s="170">
        <v>0.8</v>
      </c>
      <c r="DK21" s="170">
        <v>1</v>
      </c>
      <c r="DL21" s="170">
        <v>1</v>
      </c>
      <c r="DM21" s="172" t="s">
        <v>1377</v>
      </c>
      <c r="DN21" s="172" t="s">
        <v>1349</v>
      </c>
      <c r="DO21" s="172" t="s">
        <v>1378</v>
      </c>
      <c r="DP21" s="172" t="s">
        <v>1379</v>
      </c>
      <c r="DQ21" s="172" t="s">
        <v>1380</v>
      </c>
      <c r="DR21" s="170">
        <v>1</v>
      </c>
      <c r="DS21" s="170">
        <v>8.9999999999999998E-4</v>
      </c>
      <c r="DT21" s="170">
        <v>0</v>
      </c>
      <c r="DU21" s="170">
        <v>0</v>
      </c>
      <c r="DV21" s="170">
        <v>0</v>
      </c>
      <c r="DW21" s="170">
        <v>0</v>
      </c>
      <c r="DX21" s="170">
        <v>0</v>
      </c>
      <c r="DY21" s="170">
        <v>0</v>
      </c>
      <c r="DZ21" s="170">
        <v>0</v>
      </c>
      <c r="EA21" s="170">
        <v>0</v>
      </c>
      <c r="EB21" s="170">
        <v>0</v>
      </c>
      <c r="EC21" s="172" t="s">
        <v>1381</v>
      </c>
      <c r="ED21" s="173" t="s">
        <v>1382</v>
      </c>
      <c r="EE21" s="172" t="s">
        <v>1326</v>
      </c>
      <c r="EF21" s="172" t="s">
        <v>1326</v>
      </c>
      <c r="EG21" s="172" t="s">
        <v>1326</v>
      </c>
      <c r="EH21" s="172" t="s">
        <v>1326</v>
      </c>
      <c r="EI21" s="172" t="s">
        <v>1326</v>
      </c>
      <c r="EJ21" s="172" t="s">
        <v>1326</v>
      </c>
      <c r="EK21" s="172" t="s">
        <v>1326</v>
      </c>
      <c r="EL21" s="172" t="s">
        <v>1326</v>
      </c>
      <c r="EM21" s="172" t="s">
        <v>1326</v>
      </c>
      <c r="EN21" s="170">
        <v>1</v>
      </c>
      <c r="EO21" s="170">
        <v>1</v>
      </c>
      <c r="EP21" s="170">
        <v>1</v>
      </c>
      <c r="EQ21" s="170">
        <v>1</v>
      </c>
      <c r="ER21" s="170">
        <v>1</v>
      </c>
      <c r="ES21" s="170">
        <v>1</v>
      </c>
      <c r="ET21" s="170">
        <v>1</v>
      </c>
      <c r="EU21" s="172" t="s">
        <v>343</v>
      </c>
      <c r="EV21" s="170">
        <v>43964</v>
      </c>
      <c r="EW21" s="170">
        <v>1</v>
      </c>
      <c r="EX21" s="170">
        <v>1</v>
      </c>
      <c r="EY21" s="170">
        <v>1</v>
      </c>
      <c r="EZ21" s="170">
        <v>1</v>
      </c>
      <c r="FA21" s="170">
        <v>1</v>
      </c>
      <c r="FB21" s="170">
        <v>1</v>
      </c>
      <c r="FC21" s="170">
        <v>1</v>
      </c>
      <c r="FD21" s="170">
        <v>1</v>
      </c>
      <c r="FE21" s="170">
        <v>1</v>
      </c>
      <c r="FF21" s="172" t="s">
        <v>1383</v>
      </c>
      <c r="FG21" s="170">
        <v>43786</v>
      </c>
    </row>
    <row r="22" spans="1:163" ht="12" customHeight="1">
      <c r="A22" s="210" t="s">
        <v>1123</v>
      </c>
      <c r="B22" s="201" t="str">
        <f t="shared" si="0"/>
        <v>12528-G4009622</v>
      </c>
      <c r="C22" s="202">
        <v>12528</v>
      </c>
      <c r="D22" s="202" t="s">
        <v>1384</v>
      </c>
      <c r="E22" s="163" t="s">
        <v>1385</v>
      </c>
      <c r="F22" s="164" t="s">
        <v>131</v>
      </c>
      <c r="G22" s="164" t="s">
        <v>78</v>
      </c>
      <c r="H22" s="162" t="s">
        <v>88</v>
      </c>
      <c r="I22" s="162" t="s">
        <v>1124</v>
      </c>
      <c r="J22" s="163" t="s">
        <v>1386</v>
      </c>
      <c r="K22" s="212">
        <v>138.21722</v>
      </c>
      <c r="L22" s="212">
        <v>2.8542000000000001</v>
      </c>
      <c r="M22" s="212">
        <v>135.36302000000001</v>
      </c>
      <c r="N22" s="212">
        <v>0</v>
      </c>
      <c r="O22" s="212">
        <v>2</v>
      </c>
      <c r="P22" s="166">
        <v>9.3843750000000031E-2</v>
      </c>
      <c r="Q22" s="167">
        <f>IF(P22&gt;'3X3 Data'!$D$9,3,IF(P22&gt;'3X3 Data'!$D$10,2,IF(P22&lt;'3X3 Data'!$D$11,1)))</f>
        <v>1</v>
      </c>
      <c r="R22" s="166">
        <v>0.5</v>
      </c>
      <c r="S22" s="165">
        <v>11504.155925621521</v>
      </c>
      <c r="T22" s="165">
        <v>1079.593132645045</v>
      </c>
      <c r="U22" s="165">
        <v>-76.972803020655576</v>
      </c>
      <c r="V22" s="165">
        <v>11427.183122600865</v>
      </c>
      <c r="W22" s="165">
        <v>1002.6203296243895</v>
      </c>
      <c r="X22" s="168">
        <f>IF(W22&gt;'3X3 Data'!$J$9,3,IF(W22&gt;'3X3 Data'!$J$10,2,IF(W22&lt;'3X3 Data'!$J$11,1)))</f>
        <v>3</v>
      </c>
      <c r="Y22" s="169">
        <v>82.675538710739986</v>
      </c>
      <c r="Z22" s="169">
        <v>7.2539465749954273</v>
      </c>
      <c r="AA22" s="168">
        <f>IF(Z22&gt;'3X3 Data'!$J$15,3,IF(Z22&gt;'3X3 Data'!$J$16,2,IF(Z22&lt;'3X3 Data'!$J$17,1)))</f>
        <v>2</v>
      </c>
      <c r="AB22" s="165">
        <f t="shared" si="1"/>
        <v>2.3333333333333335</v>
      </c>
      <c r="AC22" s="168">
        <f t="shared" si="2"/>
        <v>2</v>
      </c>
      <c r="AD22" s="206">
        <v>148.45741189306037</v>
      </c>
      <c r="AE22" s="206">
        <v>13.025643997339388</v>
      </c>
      <c r="AF22" s="206">
        <v>3354.7408844983024</v>
      </c>
      <c r="AG22" s="240">
        <v>3.3459733314554727</v>
      </c>
      <c r="AH22" s="206">
        <v>11504.155925621521</v>
      </c>
      <c r="AI22" s="206">
        <v>0</v>
      </c>
      <c r="AJ22" s="206">
        <v>6.5114282016572034</v>
      </c>
      <c r="AK22" s="206">
        <v>2893.1959569535347</v>
      </c>
      <c r="AL22" s="206">
        <v>492.17919751750031</v>
      </c>
      <c r="AM22" s="206">
        <v>0</v>
      </c>
      <c r="AN22" s="206">
        <v>0</v>
      </c>
      <c r="AO22" s="206">
        <v>0</v>
      </c>
      <c r="AP22" s="206">
        <v>8112.2693429488281</v>
      </c>
      <c r="AQ22" s="206">
        <v>0</v>
      </c>
      <c r="AR22" s="206">
        <v>0</v>
      </c>
      <c r="AS22" s="241">
        <v>1079.593132645045</v>
      </c>
      <c r="AT22" s="242">
        <v>0</v>
      </c>
      <c r="AU22" s="206">
        <v>0.61105684029926843</v>
      </c>
      <c r="AV22" s="206">
        <v>271.50835808535834</v>
      </c>
      <c r="AW22" s="206">
        <v>46.187941567032937</v>
      </c>
      <c r="AX22" s="206">
        <v>0</v>
      </c>
      <c r="AY22" s="206">
        <v>0</v>
      </c>
      <c r="AZ22" s="206">
        <v>0</v>
      </c>
      <c r="BA22" s="206">
        <v>761.28577615235429</v>
      </c>
      <c r="BB22" s="206">
        <v>0</v>
      </c>
      <c r="BC22" s="243">
        <v>0</v>
      </c>
      <c r="BD22" s="244">
        <v>138.21722</v>
      </c>
      <c r="BE22" s="206">
        <v>0</v>
      </c>
      <c r="BF22" s="206">
        <v>0.18920000000000001</v>
      </c>
      <c r="BG22" s="206">
        <v>0.6</v>
      </c>
      <c r="BH22" s="206">
        <v>2.5367999999999999</v>
      </c>
      <c r="BI22" s="206">
        <v>5.8228999999999997</v>
      </c>
      <c r="BJ22" s="206">
        <v>9.5739999999999998</v>
      </c>
      <c r="BK22" s="206">
        <v>18.947999999999997</v>
      </c>
      <c r="BL22" s="206">
        <v>33.515439999999998</v>
      </c>
      <c r="BM22" s="206">
        <v>33.515439999999998</v>
      </c>
      <c r="BN22" s="206">
        <v>33.515439999999998</v>
      </c>
      <c r="BO22" s="206">
        <v>2.8542000000000001</v>
      </c>
      <c r="BP22" s="206">
        <v>0</v>
      </c>
      <c r="BQ22" s="206">
        <v>4.1999999999999997E-3</v>
      </c>
      <c r="BR22" s="206">
        <v>0.35</v>
      </c>
      <c r="BS22" s="206">
        <v>0.1</v>
      </c>
      <c r="BT22" s="206">
        <v>0.2</v>
      </c>
      <c r="BU22" s="206">
        <v>0.3</v>
      </c>
      <c r="BV22" s="206">
        <v>0.4</v>
      </c>
      <c r="BW22" s="206">
        <v>0.5</v>
      </c>
      <c r="BX22" s="206">
        <v>0.5</v>
      </c>
      <c r="BY22" s="206">
        <v>0.5</v>
      </c>
      <c r="BZ22" s="206">
        <v>135.36302000000001</v>
      </c>
      <c r="CA22" s="206">
        <v>0</v>
      </c>
      <c r="CB22" s="206">
        <v>0.185</v>
      </c>
      <c r="CC22" s="206">
        <v>0.25</v>
      </c>
      <c r="CD22" s="206">
        <v>2.4367999999999999</v>
      </c>
      <c r="CE22" s="206">
        <v>5.6228999999999996</v>
      </c>
      <c r="CF22" s="165">
        <v>9.2739999999999991</v>
      </c>
      <c r="CG22" s="165">
        <v>18.547999999999998</v>
      </c>
      <c r="CH22" s="165">
        <v>33.015439999999998</v>
      </c>
      <c r="CI22" s="165">
        <v>33.015439999999998</v>
      </c>
      <c r="CJ22" s="165">
        <v>33.015439999999998</v>
      </c>
      <c r="CK22" s="165">
        <v>0</v>
      </c>
      <c r="CL22" s="165">
        <v>0</v>
      </c>
      <c r="CM22" s="165">
        <v>0</v>
      </c>
      <c r="CN22" s="165">
        <v>0</v>
      </c>
      <c r="CO22" s="165">
        <v>0</v>
      </c>
      <c r="CP22" s="165">
        <v>0</v>
      </c>
      <c r="CQ22" s="165">
        <v>0</v>
      </c>
      <c r="CR22" s="165">
        <v>0</v>
      </c>
      <c r="CS22" s="165">
        <v>0</v>
      </c>
      <c r="CT22" s="165">
        <v>0</v>
      </c>
      <c r="CU22" s="165">
        <v>0</v>
      </c>
      <c r="CV22" s="165" t="s">
        <v>1128</v>
      </c>
      <c r="CW22" s="165" t="s">
        <v>1128</v>
      </c>
      <c r="CX22" s="165" t="s">
        <v>1128</v>
      </c>
      <c r="CY22" s="165" t="s">
        <v>1128</v>
      </c>
      <c r="CZ22" s="165">
        <v>2</v>
      </c>
      <c r="DA22" s="165">
        <v>2</v>
      </c>
      <c r="DB22" s="165">
        <v>2</v>
      </c>
      <c r="DC22" s="165">
        <v>2</v>
      </c>
      <c r="DD22" s="171" t="s">
        <v>1387</v>
      </c>
      <c r="DE22" s="171" t="s">
        <v>1388</v>
      </c>
      <c r="DF22" s="171" t="s">
        <v>1389</v>
      </c>
      <c r="DG22" s="171" t="s">
        <v>1390</v>
      </c>
      <c r="DH22" s="170">
        <v>0.55000000000000004</v>
      </c>
      <c r="DI22" s="170">
        <v>1</v>
      </c>
      <c r="DJ22" s="170">
        <v>0.75</v>
      </c>
      <c r="DK22" s="170">
        <v>0.65</v>
      </c>
      <c r="DL22" s="170">
        <v>0.35000000000000003</v>
      </c>
      <c r="DM22" s="172" t="s">
        <v>1391</v>
      </c>
      <c r="DN22" s="172" t="s">
        <v>1392</v>
      </c>
      <c r="DO22" s="172" t="s">
        <v>1393</v>
      </c>
      <c r="DP22" s="172" t="s">
        <v>1394</v>
      </c>
      <c r="DQ22" s="172" t="s">
        <v>1395</v>
      </c>
      <c r="DR22" s="170">
        <v>0.5</v>
      </c>
      <c r="DS22" s="170">
        <v>0</v>
      </c>
      <c r="DT22" s="170">
        <v>3.3E-3</v>
      </c>
      <c r="DU22" s="170">
        <v>0.05</v>
      </c>
      <c r="DV22" s="170">
        <v>0.02</v>
      </c>
      <c r="DW22" s="170">
        <v>0</v>
      </c>
      <c r="DX22" s="170">
        <v>0</v>
      </c>
      <c r="DY22" s="170">
        <v>0</v>
      </c>
      <c r="DZ22" s="170">
        <v>0.1</v>
      </c>
      <c r="EA22" s="170">
        <v>0</v>
      </c>
      <c r="EB22" s="170">
        <v>0</v>
      </c>
      <c r="EC22" s="172" t="s">
        <v>1396</v>
      </c>
      <c r="ED22" s="172" t="s">
        <v>1397</v>
      </c>
      <c r="EE22" s="172" t="s">
        <v>1398</v>
      </c>
      <c r="EF22" s="172" t="s">
        <v>1399</v>
      </c>
      <c r="EG22" s="172" t="s">
        <v>1400</v>
      </c>
      <c r="EH22" s="172" t="s">
        <v>1397</v>
      </c>
      <c r="EI22" s="172" t="s">
        <v>1397</v>
      </c>
      <c r="EJ22" s="172" t="s">
        <v>1397</v>
      </c>
      <c r="EK22" s="172" t="s">
        <v>1401</v>
      </c>
      <c r="EL22" s="172" t="s">
        <v>1397</v>
      </c>
      <c r="EM22" s="172" t="s">
        <v>1397</v>
      </c>
      <c r="EN22" s="170">
        <v>1</v>
      </c>
      <c r="EO22" s="170">
        <v>1</v>
      </c>
      <c r="EP22" s="170">
        <v>1</v>
      </c>
      <c r="EQ22" s="170">
        <v>1</v>
      </c>
      <c r="ER22" s="170">
        <v>1</v>
      </c>
      <c r="ES22" s="170">
        <v>1</v>
      </c>
      <c r="ET22" s="170">
        <v>1</v>
      </c>
      <c r="EU22" s="172" t="s">
        <v>1402</v>
      </c>
      <c r="EV22" s="170">
        <v>43963</v>
      </c>
      <c r="EW22" s="170">
        <v>0</v>
      </c>
      <c r="EX22" s="170">
        <v>0</v>
      </c>
      <c r="EY22" s="170">
        <v>0</v>
      </c>
      <c r="EZ22" s="170">
        <v>0</v>
      </c>
      <c r="FA22" s="170">
        <v>0</v>
      </c>
      <c r="FB22" s="170">
        <v>0</v>
      </c>
      <c r="FC22" s="170">
        <v>0</v>
      </c>
      <c r="FD22" s="170">
        <v>0</v>
      </c>
      <c r="FE22" s="170">
        <v>0</v>
      </c>
      <c r="FF22" s="172" t="s">
        <v>49</v>
      </c>
      <c r="FG22" s="170" t="s">
        <v>49</v>
      </c>
    </row>
    <row r="23" spans="1:163" ht="12" customHeight="1">
      <c r="A23" s="210" t="s">
        <v>1123</v>
      </c>
      <c r="B23" s="201" t="str">
        <f t="shared" si="0"/>
        <v>15070-G4010805</v>
      </c>
      <c r="C23" s="202">
        <v>15070</v>
      </c>
      <c r="D23" s="202" t="s">
        <v>1403</v>
      </c>
      <c r="E23" s="163" t="s">
        <v>1404</v>
      </c>
      <c r="F23" s="164" t="s">
        <v>131</v>
      </c>
      <c r="G23" s="164" t="s">
        <v>78</v>
      </c>
      <c r="H23" s="162" t="s">
        <v>88</v>
      </c>
      <c r="I23" s="162" t="s">
        <v>1124</v>
      </c>
      <c r="J23" s="163" t="s">
        <v>1405</v>
      </c>
      <c r="K23" s="212">
        <v>1.2610000000000003</v>
      </c>
      <c r="L23" s="212">
        <v>0.35000000000000003</v>
      </c>
      <c r="M23" s="212">
        <v>0.91100000000000003</v>
      </c>
      <c r="N23" s="212">
        <v>0</v>
      </c>
      <c r="O23" s="212">
        <v>2.75</v>
      </c>
      <c r="P23" s="166">
        <v>0.31200000000000006</v>
      </c>
      <c r="Q23" s="167">
        <f>IF(P23&gt;'3X3 Data'!$D$9,3,IF(P23&gt;'3X3 Data'!$D$10,2,IF(P23&lt;'3X3 Data'!$D$11,1)))</f>
        <v>2</v>
      </c>
      <c r="R23" s="166">
        <v>0.6</v>
      </c>
      <c r="S23" s="165">
        <v>29.801912224779507</v>
      </c>
      <c r="T23" s="165">
        <v>9.2981966141312071</v>
      </c>
      <c r="U23" s="165">
        <v>-0.95623361478796987</v>
      </c>
      <c r="V23" s="165">
        <v>28.845678609991538</v>
      </c>
      <c r="W23" s="165">
        <v>8.341962999343238</v>
      </c>
      <c r="X23" s="168">
        <f>IF(W23&gt;'3X3 Data'!$J$9,3,IF(W23&gt;'3X3 Data'!$J$10,2,IF(W23&lt;'3X3 Data'!$J$11,1)))</f>
        <v>2</v>
      </c>
      <c r="Y23" s="169">
        <v>22.875240769224057</v>
      </c>
      <c r="Z23" s="169">
        <v>6.6153552730715601</v>
      </c>
      <c r="AA23" s="168">
        <f>IF(Z23&gt;'3X3 Data'!$J$15,3,IF(Z23&gt;'3X3 Data'!$J$16,2,IF(Z23&lt;'3X3 Data'!$J$17,1)))</f>
        <v>2</v>
      </c>
      <c r="AB23" s="165">
        <f t="shared" si="1"/>
        <v>2</v>
      </c>
      <c r="AC23" s="168">
        <f t="shared" si="2"/>
        <v>2</v>
      </c>
      <c r="AD23" s="206">
        <v>30.165932428957358</v>
      </c>
      <c r="AE23" s="206">
        <v>8.7237709178346972</v>
      </c>
      <c r="AF23" s="206">
        <v>13.807518932380255</v>
      </c>
      <c r="AG23" s="240">
        <v>1.6551882252974892</v>
      </c>
      <c r="AH23" s="206">
        <v>29.801912224779507</v>
      </c>
      <c r="AI23" s="206">
        <v>0.27116037372949031</v>
      </c>
      <c r="AJ23" s="206">
        <v>0</v>
      </c>
      <c r="AK23" s="206">
        <v>0</v>
      </c>
      <c r="AL23" s="206">
        <v>29.530751851050017</v>
      </c>
      <c r="AM23" s="206">
        <v>0</v>
      </c>
      <c r="AN23" s="206">
        <v>0</v>
      </c>
      <c r="AO23" s="206">
        <v>0</v>
      </c>
      <c r="AP23" s="206">
        <v>0</v>
      </c>
      <c r="AQ23" s="206">
        <v>0</v>
      </c>
      <c r="AR23" s="206">
        <v>0</v>
      </c>
      <c r="AS23" s="241">
        <v>9.2981966141312071</v>
      </c>
      <c r="AT23" s="242">
        <v>8.4602036603600994E-2</v>
      </c>
      <c r="AU23" s="206">
        <v>0</v>
      </c>
      <c r="AV23" s="206">
        <v>0</v>
      </c>
      <c r="AW23" s="206">
        <v>9.2135945775276067</v>
      </c>
      <c r="AX23" s="206">
        <v>0</v>
      </c>
      <c r="AY23" s="206">
        <v>0</v>
      </c>
      <c r="AZ23" s="206">
        <v>0</v>
      </c>
      <c r="BA23" s="206">
        <v>0</v>
      </c>
      <c r="BB23" s="206">
        <v>0</v>
      </c>
      <c r="BC23" s="243">
        <v>0</v>
      </c>
      <c r="BD23" s="244">
        <v>1.2610000000000003</v>
      </c>
      <c r="BE23" s="206">
        <v>0</v>
      </c>
      <c r="BF23" s="206">
        <v>0.61599999999999999</v>
      </c>
      <c r="BG23" s="206">
        <v>0.29499999999999998</v>
      </c>
      <c r="BH23" s="206">
        <v>7.0000000000000007E-2</v>
      </c>
      <c r="BI23" s="206">
        <v>7.0000000000000007E-2</v>
      </c>
      <c r="BJ23" s="206">
        <v>7.0000000000000007E-2</v>
      </c>
      <c r="BK23" s="206">
        <v>7.0000000000000007E-2</v>
      </c>
      <c r="BL23" s="206">
        <v>7.0000000000000007E-2</v>
      </c>
      <c r="BM23" s="206">
        <v>0</v>
      </c>
      <c r="BN23" s="206">
        <v>0</v>
      </c>
      <c r="BO23" s="206">
        <v>0.35000000000000003</v>
      </c>
      <c r="BP23" s="206">
        <v>0</v>
      </c>
      <c r="BQ23" s="206">
        <v>0</v>
      </c>
      <c r="BR23" s="206">
        <v>0</v>
      </c>
      <c r="BS23" s="206">
        <v>7.0000000000000007E-2</v>
      </c>
      <c r="BT23" s="206">
        <v>7.0000000000000007E-2</v>
      </c>
      <c r="BU23" s="206">
        <v>7.0000000000000007E-2</v>
      </c>
      <c r="BV23" s="206">
        <v>7.0000000000000007E-2</v>
      </c>
      <c r="BW23" s="206">
        <v>7.0000000000000007E-2</v>
      </c>
      <c r="BX23" s="206">
        <v>0</v>
      </c>
      <c r="BY23" s="206">
        <v>0</v>
      </c>
      <c r="BZ23" s="206">
        <v>0.91100000000000003</v>
      </c>
      <c r="CA23" s="206">
        <v>0</v>
      </c>
      <c r="CB23" s="206">
        <v>0.61599999999999999</v>
      </c>
      <c r="CC23" s="206">
        <v>0.29499999999999998</v>
      </c>
      <c r="CD23" s="206">
        <v>0</v>
      </c>
      <c r="CE23" s="206">
        <v>0</v>
      </c>
      <c r="CF23" s="165">
        <v>0</v>
      </c>
      <c r="CG23" s="165">
        <v>0</v>
      </c>
      <c r="CH23" s="165">
        <v>0</v>
      </c>
      <c r="CI23" s="165">
        <v>0</v>
      </c>
      <c r="CJ23" s="165">
        <v>0</v>
      </c>
      <c r="CK23" s="165">
        <v>0</v>
      </c>
      <c r="CL23" s="165">
        <v>0</v>
      </c>
      <c r="CM23" s="165">
        <v>0</v>
      </c>
      <c r="CN23" s="165">
        <v>0</v>
      </c>
      <c r="CO23" s="165">
        <v>0</v>
      </c>
      <c r="CP23" s="165">
        <v>0</v>
      </c>
      <c r="CQ23" s="165">
        <v>0</v>
      </c>
      <c r="CR23" s="165">
        <v>0</v>
      </c>
      <c r="CS23" s="165">
        <v>0</v>
      </c>
      <c r="CT23" s="165">
        <v>0</v>
      </c>
      <c r="CU23" s="165">
        <v>0</v>
      </c>
      <c r="CV23" s="165" t="s">
        <v>1126</v>
      </c>
      <c r="CW23" s="165" t="s">
        <v>1126</v>
      </c>
      <c r="CX23" s="165" t="s">
        <v>1128</v>
      </c>
      <c r="CY23" s="165" t="s">
        <v>1126</v>
      </c>
      <c r="CZ23" s="165">
        <v>3</v>
      </c>
      <c r="DA23" s="165">
        <v>3</v>
      </c>
      <c r="DB23" s="165">
        <v>2</v>
      </c>
      <c r="DC23" s="165">
        <v>3</v>
      </c>
      <c r="DD23" s="171" t="s">
        <v>1406</v>
      </c>
      <c r="DE23" s="171" t="s">
        <v>1407</v>
      </c>
      <c r="DF23" s="171" t="s">
        <v>1408</v>
      </c>
      <c r="DG23" s="171" t="s">
        <v>1409</v>
      </c>
      <c r="DH23" s="170">
        <v>0.8</v>
      </c>
      <c r="DI23" s="170">
        <v>1</v>
      </c>
      <c r="DJ23" s="170">
        <v>0.8</v>
      </c>
      <c r="DK23" s="170">
        <v>0.65</v>
      </c>
      <c r="DL23" s="170">
        <v>0.75</v>
      </c>
      <c r="DM23" s="172" t="s">
        <v>1410</v>
      </c>
      <c r="DN23" s="172" t="s">
        <v>1349</v>
      </c>
      <c r="DO23" s="172" t="s">
        <v>1411</v>
      </c>
      <c r="DP23" s="172" t="s">
        <v>1412</v>
      </c>
      <c r="DQ23" s="172" t="s">
        <v>1413</v>
      </c>
      <c r="DR23" s="170">
        <v>0.6</v>
      </c>
      <c r="DS23" s="170">
        <v>1E-4</v>
      </c>
      <c r="DT23" s="170">
        <v>0</v>
      </c>
      <c r="DU23" s="170">
        <v>0</v>
      </c>
      <c r="DV23" s="170">
        <v>1E-3</v>
      </c>
      <c r="DW23" s="170">
        <v>0</v>
      </c>
      <c r="DX23" s="170">
        <v>0</v>
      </c>
      <c r="DY23" s="170">
        <v>0</v>
      </c>
      <c r="DZ23" s="170">
        <v>0</v>
      </c>
      <c r="EA23" s="170">
        <v>0</v>
      </c>
      <c r="EB23" s="170">
        <v>0</v>
      </c>
      <c r="EC23" s="172" t="s">
        <v>1414</v>
      </c>
      <c r="ED23" s="172" t="s">
        <v>1415</v>
      </c>
      <c r="EE23" s="172" t="s">
        <v>1326</v>
      </c>
      <c r="EF23" s="172" t="s">
        <v>1326</v>
      </c>
      <c r="EG23" s="172" t="s">
        <v>1416</v>
      </c>
      <c r="EH23" s="172" t="s">
        <v>1326</v>
      </c>
      <c r="EI23" s="172" t="s">
        <v>1326</v>
      </c>
      <c r="EJ23" s="172" t="s">
        <v>1326</v>
      </c>
      <c r="EK23" s="172" t="s">
        <v>1326</v>
      </c>
      <c r="EL23" s="172" t="s">
        <v>1326</v>
      </c>
      <c r="EM23" s="172" t="s">
        <v>1326</v>
      </c>
      <c r="EN23" s="170">
        <v>1</v>
      </c>
      <c r="EO23" s="170">
        <v>1</v>
      </c>
      <c r="EP23" s="170">
        <v>1</v>
      </c>
      <c r="EQ23" s="170">
        <v>1</v>
      </c>
      <c r="ER23" s="170">
        <v>1</v>
      </c>
      <c r="ES23" s="170">
        <v>1</v>
      </c>
      <c r="ET23" s="170">
        <v>1</v>
      </c>
      <c r="EU23" s="172" t="s">
        <v>1417</v>
      </c>
      <c r="EV23" s="170">
        <v>43984</v>
      </c>
      <c r="EW23" s="170">
        <v>1</v>
      </c>
      <c r="EX23" s="170">
        <v>1</v>
      </c>
      <c r="EY23" s="170">
        <v>1</v>
      </c>
      <c r="EZ23" s="170">
        <v>1</v>
      </c>
      <c r="FA23" s="170">
        <v>1</v>
      </c>
      <c r="FB23" s="170">
        <v>1</v>
      </c>
      <c r="FC23" s="170">
        <v>1</v>
      </c>
      <c r="FD23" s="170">
        <v>1</v>
      </c>
      <c r="FE23" s="170">
        <v>1</v>
      </c>
      <c r="FF23" s="172" t="s">
        <v>1383</v>
      </c>
      <c r="FG23" s="170">
        <v>43786</v>
      </c>
    </row>
    <row r="24" spans="1:163" ht="12" customHeight="1">
      <c r="A24" s="210" t="s">
        <v>1123</v>
      </c>
      <c r="B24" s="201" t="str">
        <f t="shared" si="0"/>
        <v>15377-G4003495</v>
      </c>
      <c r="C24" s="202">
        <v>15377</v>
      </c>
      <c r="D24" s="202" t="s">
        <v>884</v>
      </c>
      <c r="E24" s="163" t="s">
        <v>934</v>
      </c>
      <c r="F24" s="164" t="s">
        <v>101</v>
      </c>
      <c r="G24" s="164" t="s">
        <v>78</v>
      </c>
      <c r="H24" s="162" t="s">
        <v>88</v>
      </c>
      <c r="I24" s="162" t="s">
        <v>1139</v>
      </c>
      <c r="J24" s="163" t="s">
        <v>1418</v>
      </c>
      <c r="K24" s="212">
        <v>22.5</v>
      </c>
      <c r="L24" s="212">
        <v>7.5</v>
      </c>
      <c r="M24" s="212">
        <v>15</v>
      </c>
      <c r="N24" s="212">
        <v>0</v>
      </c>
      <c r="O24" s="212">
        <v>3</v>
      </c>
      <c r="P24" s="166">
        <v>0.19200000000000006</v>
      </c>
      <c r="Q24" s="167">
        <f>IF(P24&gt;'3X3 Data'!$D$9,3,IF(P24&gt;'3X3 Data'!$D$10,2,IF(P24&lt;'3X3 Data'!$D$11,1)))</f>
        <v>1</v>
      </c>
      <c r="R24" s="166">
        <v>0.05</v>
      </c>
      <c r="S24" s="165">
        <v>774.33873097562264</v>
      </c>
      <c r="T24" s="165">
        <v>148.67303634731957</v>
      </c>
      <c r="U24" s="165">
        <v>-16.331196839971177</v>
      </c>
      <c r="V24" s="165">
        <v>758.00753413565144</v>
      </c>
      <c r="W24" s="165">
        <v>132.3418395073484</v>
      </c>
      <c r="X24" s="168">
        <f>IF(W24&gt;'3X3 Data'!$J$9,3,IF(W24&gt;'3X3 Data'!$J$10,2,IF(W24&lt;'3X3 Data'!$J$11,1)))</f>
        <v>3</v>
      </c>
      <c r="Y24" s="169">
        <v>33.689223739362284</v>
      </c>
      <c r="Z24" s="169">
        <v>5.8818595336599291</v>
      </c>
      <c r="AA24" s="168">
        <f>IF(Z24&gt;'3X3 Data'!$J$15,3,IF(Z24&gt;'3X3 Data'!$J$16,2,IF(Z24&lt;'3X3 Data'!$J$17,1)))</f>
        <v>2</v>
      </c>
      <c r="AB24" s="165">
        <f t="shared" si="1"/>
        <v>2.3333333333333335</v>
      </c>
      <c r="AC24" s="168">
        <f t="shared" si="2"/>
        <v>2</v>
      </c>
      <c r="AD24" s="206">
        <v>46.414695846442889</v>
      </c>
      <c r="AE24" s="206">
        <v>8.1036216025170358</v>
      </c>
      <c r="AF24" s="206">
        <v>304.99117783756407</v>
      </c>
      <c r="AG24" s="240">
        <v>2.3045710938650599</v>
      </c>
      <c r="AH24" s="206">
        <v>774.33873097562264</v>
      </c>
      <c r="AI24" s="206">
        <v>0</v>
      </c>
      <c r="AJ24" s="206">
        <v>0</v>
      </c>
      <c r="AK24" s="206">
        <v>405.04743397349483</v>
      </c>
      <c r="AL24" s="206">
        <v>0</v>
      </c>
      <c r="AM24" s="206">
        <v>0</v>
      </c>
      <c r="AN24" s="206">
        <v>0</v>
      </c>
      <c r="AO24" s="206">
        <v>369.29129700212781</v>
      </c>
      <c r="AP24" s="206">
        <v>0</v>
      </c>
      <c r="AQ24" s="206">
        <v>0</v>
      </c>
      <c r="AR24" s="206">
        <v>0</v>
      </c>
      <c r="AS24" s="241">
        <v>148.67303634731957</v>
      </c>
      <c r="AT24" s="242">
        <v>0</v>
      </c>
      <c r="AU24" s="206">
        <v>0</v>
      </c>
      <c r="AV24" s="206">
        <v>77.769107322911026</v>
      </c>
      <c r="AW24" s="206">
        <v>0</v>
      </c>
      <c r="AX24" s="206">
        <v>0</v>
      </c>
      <c r="AY24" s="206">
        <v>0</v>
      </c>
      <c r="AZ24" s="206">
        <v>70.903929024408555</v>
      </c>
      <c r="BA24" s="206">
        <v>0</v>
      </c>
      <c r="BB24" s="206">
        <v>0</v>
      </c>
      <c r="BC24" s="243">
        <v>0</v>
      </c>
      <c r="BD24" s="244">
        <v>22.5</v>
      </c>
      <c r="BE24" s="206">
        <v>0</v>
      </c>
      <c r="BF24" s="206">
        <v>4.5</v>
      </c>
      <c r="BG24" s="206">
        <v>4.5</v>
      </c>
      <c r="BH24" s="206">
        <v>4.5</v>
      </c>
      <c r="BI24" s="206">
        <v>4.5</v>
      </c>
      <c r="BJ24" s="206">
        <v>4.5</v>
      </c>
      <c r="BK24" s="206">
        <v>0</v>
      </c>
      <c r="BL24" s="206">
        <v>0</v>
      </c>
      <c r="BM24" s="206">
        <v>0</v>
      </c>
      <c r="BN24" s="206">
        <v>0</v>
      </c>
      <c r="BO24" s="206">
        <v>7.5</v>
      </c>
      <c r="BP24" s="206">
        <v>0</v>
      </c>
      <c r="BQ24" s="206">
        <v>1.5</v>
      </c>
      <c r="BR24" s="206">
        <v>1.5</v>
      </c>
      <c r="BS24" s="206">
        <v>1.5</v>
      </c>
      <c r="BT24" s="206">
        <v>1.5</v>
      </c>
      <c r="BU24" s="206">
        <v>1.5</v>
      </c>
      <c r="BV24" s="206">
        <v>0</v>
      </c>
      <c r="BW24" s="206">
        <v>0</v>
      </c>
      <c r="BX24" s="206">
        <v>0</v>
      </c>
      <c r="BY24" s="206">
        <v>0</v>
      </c>
      <c r="BZ24" s="206">
        <v>15</v>
      </c>
      <c r="CA24" s="206">
        <v>0</v>
      </c>
      <c r="CB24" s="206">
        <v>3</v>
      </c>
      <c r="CC24" s="206">
        <v>3</v>
      </c>
      <c r="CD24" s="206">
        <v>3</v>
      </c>
      <c r="CE24" s="206">
        <v>3</v>
      </c>
      <c r="CF24" s="165">
        <v>3</v>
      </c>
      <c r="CG24" s="165">
        <v>0</v>
      </c>
      <c r="CH24" s="165">
        <v>0</v>
      </c>
      <c r="CI24" s="165">
        <v>0</v>
      </c>
      <c r="CJ24" s="165">
        <v>0</v>
      </c>
      <c r="CK24" s="165">
        <v>0</v>
      </c>
      <c r="CL24" s="165">
        <v>0</v>
      </c>
      <c r="CM24" s="165">
        <v>0</v>
      </c>
      <c r="CN24" s="165">
        <v>0</v>
      </c>
      <c r="CO24" s="165">
        <v>0</v>
      </c>
      <c r="CP24" s="165">
        <v>0</v>
      </c>
      <c r="CQ24" s="165">
        <v>0</v>
      </c>
      <c r="CR24" s="165">
        <v>0</v>
      </c>
      <c r="CS24" s="165">
        <v>0</v>
      </c>
      <c r="CT24" s="165">
        <v>0</v>
      </c>
      <c r="CU24" s="165">
        <v>0</v>
      </c>
      <c r="CV24" s="165" t="s">
        <v>1126</v>
      </c>
      <c r="CW24" s="165" t="s">
        <v>1126</v>
      </c>
      <c r="CX24" s="165" t="s">
        <v>1126</v>
      </c>
      <c r="CY24" s="165" t="s">
        <v>1126</v>
      </c>
      <c r="CZ24" s="165">
        <v>3</v>
      </c>
      <c r="DA24" s="165">
        <v>3</v>
      </c>
      <c r="DB24" s="165">
        <v>3</v>
      </c>
      <c r="DC24" s="165">
        <v>3</v>
      </c>
      <c r="DD24" s="171" t="s">
        <v>1419</v>
      </c>
      <c r="DE24" s="171" t="s">
        <v>1420</v>
      </c>
      <c r="DF24" s="171" t="s">
        <v>1421</v>
      </c>
      <c r="DG24" s="171" t="s">
        <v>1422</v>
      </c>
      <c r="DH24" s="170">
        <v>0.60000000000000009</v>
      </c>
      <c r="DI24" s="170">
        <v>0.5</v>
      </c>
      <c r="DJ24" s="170">
        <v>0.8</v>
      </c>
      <c r="DK24" s="170">
        <v>1</v>
      </c>
      <c r="DL24" s="170">
        <v>0.8</v>
      </c>
      <c r="DM24" s="172" t="s">
        <v>1423</v>
      </c>
      <c r="DN24" s="172" t="s">
        <v>1424</v>
      </c>
      <c r="DO24" s="172" t="s">
        <v>1425</v>
      </c>
      <c r="DP24" s="172" t="s">
        <v>1426</v>
      </c>
      <c r="DQ24" s="172" t="s">
        <v>1427</v>
      </c>
      <c r="DR24" s="170">
        <v>0.05</v>
      </c>
      <c r="DS24" s="170">
        <v>0</v>
      </c>
      <c r="DT24" s="170">
        <v>0</v>
      </c>
      <c r="DU24" s="170">
        <v>7.0000000000000007E-2</v>
      </c>
      <c r="DV24" s="170">
        <v>0</v>
      </c>
      <c r="DW24" s="170">
        <v>0</v>
      </c>
      <c r="DX24" s="170">
        <v>0</v>
      </c>
      <c r="DY24" s="170">
        <v>0.05</v>
      </c>
      <c r="DZ24" s="170">
        <v>0</v>
      </c>
      <c r="EA24" s="170">
        <v>0</v>
      </c>
      <c r="EB24" s="170">
        <v>0</v>
      </c>
      <c r="EC24" s="172" t="s">
        <v>1428</v>
      </c>
      <c r="ED24" s="172" t="s">
        <v>1326</v>
      </c>
      <c r="EE24" s="172" t="s">
        <v>1326</v>
      </c>
      <c r="EF24" s="172" t="s">
        <v>1429</v>
      </c>
      <c r="EG24" s="172" t="s">
        <v>1430</v>
      </c>
      <c r="EH24" s="172" t="s">
        <v>1431</v>
      </c>
      <c r="EI24" s="172" t="s">
        <v>1432</v>
      </c>
      <c r="EJ24" s="172" t="s">
        <v>1433</v>
      </c>
      <c r="EK24" s="172" t="s">
        <v>1434</v>
      </c>
      <c r="EL24" s="172" t="s">
        <v>1435</v>
      </c>
      <c r="EM24" s="172" t="s">
        <v>1436</v>
      </c>
      <c r="EN24" s="170">
        <v>1</v>
      </c>
      <c r="EO24" s="170">
        <v>0</v>
      </c>
      <c r="EP24" s="170">
        <v>1</v>
      </c>
      <c r="EQ24" s="170">
        <v>1</v>
      </c>
      <c r="ER24" s="170">
        <v>1</v>
      </c>
      <c r="ES24" s="170">
        <v>1</v>
      </c>
      <c r="ET24" s="170">
        <v>0.83333333333333337</v>
      </c>
      <c r="EU24" s="172" t="s">
        <v>1157</v>
      </c>
      <c r="EV24" s="170">
        <v>43770</v>
      </c>
      <c r="EW24" s="170">
        <v>0</v>
      </c>
      <c r="EX24" s="170">
        <v>0</v>
      </c>
      <c r="EY24" s="170">
        <v>0</v>
      </c>
      <c r="EZ24" s="170">
        <v>0</v>
      </c>
      <c r="FA24" s="170">
        <v>0</v>
      </c>
      <c r="FB24" s="170">
        <v>0</v>
      </c>
      <c r="FC24" s="170">
        <v>0</v>
      </c>
      <c r="FD24" s="170">
        <v>0</v>
      </c>
      <c r="FE24" s="170">
        <v>0</v>
      </c>
      <c r="FF24" s="172" t="s">
        <v>49</v>
      </c>
      <c r="FG24" s="170" t="s">
        <v>49</v>
      </c>
    </row>
    <row r="25" spans="1:163" ht="12" customHeight="1">
      <c r="A25" s="210" t="s">
        <v>1123</v>
      </c>
      <c r="B25" s="201" t="str">
        <f t="shared" si="0"/>
        <v>12497-G3002652</v>
      </c>
      <c r="C25" s="202">
        <v>12497</v>
      </c>
      <c r="D25" s="202" t="s">
        <v>422</v>
      </c>
      <c r="E25" s="163" t="s">
        <v>1437</v>
      </c>
      <c r="F25" s="164" t="s">
        <v>1227</v>
      </c>
      <c r="G25" s="164" t="s">
        <v>78</v>
      </c>
      <c r="H25" s="162" t="s">
        <v>70</v>
      </c>
      <c r="I25" s="162" t="s">
        <v>1206</v>
      </c>
      <c r="J25" s="163" t="s">
        <v>1438</v>
      </c>
      <c r="K25" s="212">
        <v>1.2</v>
      </c>
      <c r="L25" s="212">
        <v>0.5</v>
      </c>
      <c r="M25" s="212">
        <v>0.7</v>
      </c>
      <c r="N25" s="212">
        <v>0</v>
      </c>
      <c r="O25" s="212">
        <v>2.25</v>
      </c>
      <c r="P25" s="166">
        <v>0.72900000000000009</v>
      </c>
      <c r="Q25" s="167">
        <f>IF(P25&gt;'3X3 Data'!$D$9,3,IF(P25&gt;'3X3 Data'!$D$10,2,IF(P25&lt;'3X3 Data'!$D$11,1)))</f>
        <v>3</v>
      </c>
      <c r="R25" s="166">
        <v>1</v>
      </c>
      <c r="S25" s="165">
        <v>36.154716497265369</v>
      </c>
      <c r="T25" s="165">
        <v>26.356788326506457</v>
      </c>
      <c r="U25" s="165">
        <v>-0.98399999999999999</v>
      </c>
      <c r="V25" s="165">
        <v>35.170716497265367</v>
      </c>
      <c r="W25" s="165">
        <v>25.372788326506459</v>
      </c>
      <c r="X25" s="168">
        <f>IF(W25&gt;'3X3 Data'!$J$9,3,IF(W25&gt;'3X3 Data'!$J$10,2,IF(W25&lt;'3X3 Data'!$J$11,1)))</f>
        <v>2</v>
      </c>
      <c r="Y25" s="169">
        <v>29.308930414387806</v>
      </c>
      <c r="Z25" s="169">
        <v>21.143990272088718</v>
      </c>
      <c r="AA25" s="168">
        <f>IF(Z25&gt;'3X3 Data'!$J$15,3,IF(Z25&gt;'3X3 Data'!$J$16,2,IF(Z25&lt;'3X3 Data'!$J$17,1)))</f>
        <v>3</v>
      </c>
      <c r="AB25" s="165">
        <f t="shared" si="1"/>
        <v>2.6666666666666665</v>
      </c>
      <c r="AC25" s="168">
        <f t="shared" si="2"/>
        <v>3</v>
      </c>
      <c r="AD25" s="206">
        <v>35.742598066326593</v>
      </c>
      <c r="AE25" s="206">
        <v>25.785353990352093</v>
      </c>
      <c r="AF25" s="206">
        <v>16.069907244132036</v>
      </c>
      <c r="AG25" s="240">
        <v>0.63335203988377253</v>
      </c>
      <c r="AH25" s="206">
        <v>36.154716497265369</v>
      </c>
      <c r="AI25" s="206">
        <v>36.154716497265369</v>
      </c>
      <c r="AJ25" s="206">
        <v>0</v>
      </c>
      <c r="AK25" s="206">
        <v>0</v>
      </c>
      <c r="AL25" s="206">
        <v>0</v>
      </c>
      <c r="AM25" s="206">
        <v>0</v>
      </c>
      <c r="AN25" s="206">
        <v>0</v>
      </c>
      <c r="AO25" s="206">
        <v>0</v>
      </c>
      <c r="AP25" s="206">
        <v>0</v>
      </c>
      <c r="AQ25" s="206">
        <v>0</v>
      </c>
      <c r="AR25" s="206">
        <v>0</v>
      </c>
      <c r="AS25" s="241">
        <v>26.356788326506457</v>
      </c>
      <c r="AT25" s="242">
        <v>26.356788326506457</v>
      </c>
      <c r="AU25" s="206">
        <v>0</v>
      </c>
      <c r="AV25" s="206">
        <v>0</v>
      </c>
      <c r="AW25" s="206">
        <v>0</v>
      </c>
      <c r="AX25" s="206">
        <v>0</v>
      </c>
      <c r="AY25" s="206">
        <v>0</v>
      </c>
      <c r="AZ25" s="206">
        <v>0</v>
      </c>
      <c r="BA25" s="206">
        <v>0</v>
      </c>
      <c r="BB25" s="206">
        <v>0</v>
      </c>
      <c r="BC25" s="243">
        <v>0</v>
      </c>
      <c r="BD25" s="244">
        <v>1.2</v>
      </c>
      <c r="BE25" s="206">
        <v>0</v>
      </c>
      <c r="BF25" s="206">
        <v>1.2</v>
      </c>
      <c r="BG25" s="206">
        <v>0</v>
      </c>
      <c r="BH25" s="206">
        <v>0</v>
      </c>
      <c r="BI25" s="206">
        <v>0</v>
      </c>
      <c r="BJ25" s="206">
        <v>0</v>
      </c>
      <c r="BK25" s="206">
        <v>0</v>
      </c>
      <c r="BL25" s="206">
        <v>0</v>
      </c>
      <c r="BM25" s="206">
        <v>0</v>
      </c>
      <c r="BN25" s="206">
        <v>0</v>
      </c>
      <c r="BO25" s="206">
        <v>0.5</v>
      </c>
      <c r="BP25" s="206">
        <v>0</v>
      </c>
      <c r="BQ25" s="206">
        <v>0.5</v>
      </c>
      <c r="BR25" s="206">
        <v>0</v>
      </c>
      <c r="BS25" s="206">
        <v>0</v>
      </c>
      <c r="BT25" s="206">
        <v>0</v>
      </c>
      <c r="BU25" s="206">
        <v>0</v>
      </c>
      <c r="BV25" s="206">
        <v>0</v>
      </c>
      <c r="BW25" s="206">
        <v>0</v>
      </c>
      <c r="BX25" s="206">
        <v>0</v>
      </c>
      <c r="BY25" s="206">
        <v>0</v>
      </c>
      <c r="BZ25" s="206">
        <v>0.7</v>
      </c>
      <c r="CA25" s="206">
        <v>0</v>
      </c>
      <c r="CB25" s="206">
        <v>0.7</v>
      </c>
      <c r="CC25" s="206">
        <v>0</v>
      </c>
      <c r="CD25" s="206">
        <v>0</v>
      </c>
      <c r="CE25" s="206">
        <v>0</v>
      </c>
      <c r="CF25" s="165">
        <v>0</v>
      </c>
      <c r="CG25" s="165">
        <v>0</v>
      </c>
      <c r="CH25" s="165">
        <v>0</v>
      </c>
      <c r="CI25" s="165">
        <v>0</v>
      </c>
      <c r="CJ25" s="165">
        <v>0</v>
      </c>
      <c r="CK25" s="165">
        <v>0</v>
      </c>
      <c r="CL25" s="165">
        <v>0</v>
      </c>
      <c r="CM25" s="165">
        <v>0</v>
      </c>
      <c r="CN25" s="165">
        <v>0</v>
      </c>
      <c r="CO25" s="165">
        <v>0</v>
      </c>
      <c r="CP25" s="165">
        <v>0</v>
      </c>
      <c r="CQ25" s="165">
        <v>0</v>
      </c>
      <c r="CR25" s="165">
        <v>0</v>
      </c>
      <c r="CS25" s="165">
        <v>0</v>
      </c>
      <c r="CT25" s="165">
        <v>0</v>
      </c>
      <c r="CU25" s="165">
        <v>0</v>
      </c>
      <c r="CV25" s="165" t="s">
        <v>1128</v>
      </c>
      <c r="CW25" s="165" t="s">
        <v>1128</v>
      </c>
      <c r="CX25" s="165" t="s">
        <v>1128</v>
      </c>
      <c r="CY25" s="165" t="s">
        <v>1126</v>
      </c>
      <c r="CZ25" s="165">
        <v>2</v>
      </c>
      <c r="DA25" s="165">
        <v>2</v>
      </c>
      <c r="DB25" s="165">
        <v>2</v>
      </c>
      <c r="DC25" s="165">
        <v>3</v>
      </c>
      <c r="DD25" s="171" t="s">
        <v>1439</v>
      </c>
      <c r="DE25" s="171" t="s">
        <v>1440</v>
      </c>
      <c r="DF25" s="171" t="s">
        <v>1441</v>
      </c>
      <c r="DG25" s="171" t="s">
        <v>1442</v>
      </c>
      <c r="DH25" s="170">
        <v>0.9</v>
      </c>
      <c r="DI25" s="170">
        <v>1</v>
      </c>
      <c r="DJ25" s="170">
        <v>0.9</v>
      </c>
      <c r="DK25" s="170">
        <v>1</v>
      </c>
      <c r="DL25" s="170">
        <v>0.9</v>
      </c>
      <c r="DM25" s="172" t="s">
        <v>1443</v>
      </c>
      <c r="DN25" s="172" t="s">
        <v>1444</v>
      </c>
      <c r="DO25" s="172" t="s">
        <v>1445</v>
      </c>
      <c r="DP25" s="172" t="s">
        <v>1446</v>
      </c>
      <c r="DQ25" s="172" t="s">
        <v>1447</v>
      </c>
      <c r="DR25" s="170">
        <v>1</v>
      </c>
      <c r="DS25" s="170">
        <v>8.0000000000000002E-3</v>
      </c>
      <c r="DT25" s="170" t="s">
        <v>1150</v>
      </c>
      <c r="DU25" s="170" t="s">
        <v>1150</v>
      </c>
      <c r="DV25" s="170" t="s">
        <v>1150</v>
      </c>
      <c r="DW25" s="170" t="s">
        <v>1150</v>
      </c>
      <c r="DX25" s="170" t="s">
        <v>1150</v>
      </c>
      <c r="DY25" s="170" t="s">
        <v>1150</v>
      </c>
      <c r="DZ25" s="170" t="s">
        <v>1150</v>
      </c>
      <c r="EA25" s="170" t="s">
        <v>1150</v>
      </c>
      <c r="EB25" s="170" t="s">
        <v>1150</v>
      </c>
      <c r="EC25" s="172" t="s">
        <v>1448</v>
      </c>
      <c r="ED25" s="172" t="s">
        <v>1449</v>
      </c>
      <c r="EE25" s="172" t="s">
        <v>1450</v>
      </c>
      <c r="EF25" s="172" t="s">
        <v>1451</v>
      </c>
      <c r="EG25" s="172" t="s">
        <v>1451</v>
      </c>
      <c r="EH25" s="172" t="s">
        <v>1451</v>
      </c>
      <c r="EI25" s="172" t="s">
        <v>1451</v>
      </c>
      <c r="EJ25" s="172" t="s">
        <v>1451</v>
      </c>
      <c r="EK25" s="172" t="s">
        <v>1451</v>
      </c>
      <c r="EL25" s="172" t="s">
        <v>1451</v>
      </c>
      <c r="EM25" s="172" t="s">
        <v>1451</v>
      </c>
      <c r="EN25" s="170">
        <v>1</v>
      </c>
      <c r="EO25" s="170">
        <v>1</v>
      </c>
      <c r="EP25" s="170">
        <v>1</v>
      </c>
      <c r="EQ25" s="170">
        <v>1</v>
      </c>
      <c r="ER25" s="170">
        <v>1</v>
      </c>
      <c r="ES25" s="170">
        <v>0</v>
      </c>
      <c r="ET25" s="170">
        <v>0.83333333333333337</v>
      </c>
      <c r="EU25" s="172" t="s">
        <v>1452</v>
      </c>
      <c r="EV25" s="170">
        <v>43791</v>
      </c>
      <c r="EW25" s="170">
        <v>0</v>
      </c>
      <c r="EX25" s="170">
        <v>0</v>
      </c>
      <c r="EY25" s="170">
        <v>0</v>
      </c>
      <c r="EZ25" s="170">
        <v>0</v>
      </c>
      <c r="FA25" s="170">
        <v>0</v>
      </c>
      <c r="FB25" s="170">
        <v>0</v>
      </c>
      <c r="FC25" s="170">
        <v>0</v>
      </c>
      <c r="FD25" s="170">
        <v>0</v>
      </c>
      <c r="FE25" s="170">
        <v>0</v>
      </c>
      <c r="FF25" s="172" t="s">
        <v>49</v>
      </c>
      <c r="FG25" s="170" t="s">
        <v>49</v>
      </c>
    </row>
    <row r="26" spans="1:163" ht="12" customHeight="1">
      <c r="A26" s="210" t="s">
        <v>1123</v>
      </c>
      <c r="B26" s="201" t="str">
        <f t="shared" si="0"/>
        <v>15702-G4008374</v>
      </c>
      <c r="C26" s="202">
        <v>15702</v>
      </c>
      <c r="D26" s="202" t="s">
        <v>655</v>
      </c>
      <c r="E26" s="163" t="s">
        <v>654</v>
      </c>
      <c r="F26" s="164" t="s">
        <v>1227</v>
      </c>
      <c r="G26" s="164" t="s">
        <v>78</v>
      </c>
      <c r="H26" s="162" t="s">
        <v>88</v>
      </c>
      <c r="I26" s="162" t="s">
        <v>1206</v>
      </c>
      <c r="J26" s="163" t="s">
        <v>1453</v>
      </c>
      <c r="K26" s="212">
        <v>1.0918333333333334</v>
      </c>
      <c r="L26" s="212">
        <v>0.3628333333333334</v>
      </c>
      <c r="M26" s="212">
        <v>0.72899999999999998</v>
      </c>
      <c r="N26" s="212">
        <v>0</v>
      </c>
      <c r="O26" s="212">
        <v>2.5</v>
      </c>
      <c r="P26" s="166">
        <v>0.72900000000000009</v>
      </c>
      <c r="Q26" s="167">
        <f>IF(P26&gt;'3X3 Data'!$D$9,3,IF(P26&gt;'3X3 Data'!$D$10,2,IF(P26&lt;'3X3 Data'!$D$11,1)))</f>
        <v>3</v>
      </c>
      <c r="R26" s="166">
        <v>1</v>
      </c>
      <c r="S26" s="165">
        <v>3.8795612920661062</v>
      </c>
      <c r="T26" s="165">
        <v>2.8282001819161922</v>
      </c>
      <c r="U26" s="165">
        <v>-0.85589970266040705</v>
      </c>
      <c r="V26" s="165">
        <v>3.0236615894056991</v>
      </c>
      <c r="W26" s="165">
        <v>1.972300479255785</v>
      </c>
      <c r="X26" s="168">
        <f>IF(W26&gt;'3X3 Data'!$J$9,3,IF(W26&gt;'3X3 Data'!$J$10,2,IF(W26&lt;'3X3 Data'!$J$11,1)))</f>
        <v>1</v>
      </c>
      <c r="Y26" s="169">
        <v>2.7693435408997393</v>
      </c>
      <c r="Z26" s="169">
        <v>1.8064116738718836</v>
      </c>
      <c r="AA26" s="168">
        <f>IF(Z26&gt;'3X3 Data'!$J$15,3,IF(Z26&gt;'3X3 Data'!$J$16,2,IF(Z26&lt;'3X3 Data'!$J$17,1)))</f>
        <v>1</v>
      </c>
      <c r="AB26" s="165">
        <f t="shared" si="1"/>
        <v>1</v>
      </c>
      <c r="AC26" s="168">
        <f t="shared" si="2"/>
        <v>1</v>
      </c>
      <c r="AD26" s="206">
        <v>3.5327288699916619</v>
      </c>
      <c r="AE26" s="206">
        <v>2.3043593462239222</v>
      </c>
      <c r="AF26" s="206">
        <v>1.7243722576594642</v>
      </c>
      <c r="AG26" s="240">
        <v>0.87429490374110119</v>
      </c>
      <c r="AH26" s="206">
        <v>3.8795612920661062</v>
      </c>
      <c r="AI26" s="206">
        <v>2.9587664179493336</v>
      </c>
      <c r="AJ26" s="206">
        <v>0.92079487411677285</v>
      </c>
      <c r="AK26" s="206">
        <v>0</v>
      </c>
      <c r="AL26" s="206">
        <v>0</v>
      </c>
      <c r="AM26" s="206">
        <v>0</v>
      </c>
      <c r="AN26" s="206">
        <v>0</v>
      </c>
      <c r="AO26" s="206">
        <v>0</v>
      </c>
      <c r="AP26" s="206">
        <v>0</v>
      </c>
      <c r="AQ26" s="206">
        <v>0</v>
      </c>
      <c r="AR26" s="206">
        <v>0</v>
      </c>
      <c r="AS26" s="241">
        <v>2.8282001819161922</v>
      </c>
      <c r="AT26" s="242">
        <v>2.1569407186850644</v>
      </c>
      <c r="AU26" s="206">
        <v>0.67125946323112751</v>
      </c>
      <c r="AV26" s="206">
        <v>0</v>
      </c>
      <c r="AW26" s="206">
        <v>0</v>
      </c>
      <c r="AX26" s="206">
        <v>0</v>
      </c>
      <c r="AY26" s="206">
        <v>0</v>
      </c>
      <c r="AZ26" s="206">
        <v>0</v>
      </c>
      <c r="BA26" s="206">
        <v>0</v>
      </c>
      <c r="BB26" s="206">
        <v>0</v>
      </c>
      <c r="BC26" s="243">
        <v>0</v>
      </c>
      <c r="BD26" s="244">
        <v>1.0918333333333334</v>
      </c>
      <c r="BE26" s="206">
        <v>0</v>
      </c>
      <c r="BF26" s="206">
        <v>0.30449999999999999</v>
      </c>
      <c r="BG26" s="206">
        <v>0.78733333333333344</v>
      </c>
      <c r="BH26" s="206">
        <v>0</v>
      </c>
      <c r="BI26" s="206">
        <v>0</v>
      </c>
      <c r="BJ26" s="206">
        <v>0</v>
      </c>
      <c r="BK26" s="206">
        <v>0</v>
      </c>
      <c r="BL26" s="206">
        <v>0</v>
      </c>
      <c r="BM26" s="206">
        <v>0</v>
      </c>
      <c r="BN26" s="206">
        <v>0</v>
      </c>
      <c r="BO26" s="206">
        <v>0.3628333333333334</v>
      </c>
      <c r="BP26" s="206">
        <v>0</v>
      </c>
      <c r="BQ26" s="206">
        <v>7.5499999999999998E-2</v>
      </c>
      <c r="BR26" s="206">
        <v>0.28733333333333338</v>
      </c>
      <c r="BS26" s="206">
        <v>0</v>
      </c>
      <c r="BT26" s="206">
        <v>0</v>
      </c>
      <c r="BU26" s="206">
        <v>0</v>
      </c>
      <c r="BV26" s="206">
        <v>0</v>
      </c>
      <c r="BW26" s="206">
        <v>0</v>
      </c>
      <c r="BX26" s="206">
        <v>0</v>
      </c>
      <c r="BY26" s="206">
        <v>0</v>
      </c>
      <c r="BZ26" s="206">
        <v>0.72899999999999998</v>
      </c>
      <c r="CA26" s="206">
        <v>0</v>
      </c>
      <c r="CB26" s="206">
        <v>0.22900000000000001</v>
      </c>
      <c r="CC26" s="206">
        <v>0.5</v>
      </c>
      <c r="CD26" s="206">
        <v>0</v>
      </c>
      <c r="CE26" s="206">
        <v>0</v>
      </c>
      <c r="CF26" s="165">
        <v>0</v>
      </c>
      <c r="CG26" s="165">
        <v>0</v>
      </c>
      <c r="CH26" s="165">
        <v>0</v>
      </c>
      <c r="CI26" s="165">
        <v>0</v>
      </c>
      <c r="CJ26" s="165">
        <v>0</v>
      </c>
      <c r="CK26" s="165">
        <v>0</v>
      </c>
      <c r="CL26" s="165">
        <v>0</v>
      </c>
      <c r="CM26" s="165">
        <v>0</v>
      </c>
      <c r="CN26" s="165">
        <v>0</v>
      </c>
      <c r="CO26" s="165">
        <v>0</v>
      </c>
      <c r="CP26" s="165">
        <v>0</v>
      </c>
      <c r="CQ26" s="165">
        <v>0</v>
      </c>
      <c r="CR26" s="165">
        <v>0</v>
      </c>
      <c r="CS26" s="165">
        <v>0</v>
      </c>
      <c r="CT26" s="165">
        <v>0</v>
      </c>
      <c r="CU26" s="165">
        <v>0</v>
      </c>
      <c r="CV26" s="165" t="s">
        <v>1126</v>
      </c>
      <c r="CW26" s="165" t="s">
        <v>1128</v>
      </c>
      <c r="CX26" s="165" t="s">
        <v>1126</v>
      </c>
      <c r="CY26" s="165" t="s">
        <v>1128</v>
      </c>
      <c r="CZ26" s="165">
        <v>3</v>
      </c>
      <c r="DA26" s="165">
        <v>2</v>
      </c>
      <c r="DB26" s="165">
        <v>3</v>
      </c>
      <c r="DC26" s="165">
        <v>2</v>
      </c>
      <c r="DD26" s="171" t="s">
        <v>1454</v>
      </c>
      <c r="DE26" s="171" t="s">
        <v>1455</v>
      </c>
      <c r="DF26" s="171" t="s">
        <v>1456</v>
      </c>
      <c r="DG26" s="171" t="s">
        <v>1457</v>
      </c>
      <c r="DH26" s="170">
        <v>0.9</v>
      </c>
      <c r="DI26" s="170">
        <v>1</v>
      </c>
      <c r="DJ26" s="170">
        <v>1</v>
      </c>
      <c r="DK26" s="170">
        <v>0.9</v>
      </c>
      <c r="DL26" s="170">
        <v>0.9</v>
      </c>
      <c r="DM26" s="172" t="s">
        <v>1458</v>
      </c>
      <c r="DN26" s="172" t="s">
        <v>1459</v>
      </c>
      <c r="DO26" s="172" t="s">
        <v>1460</v>
      </c>
      <c r="DP26" s="172" t="s">
        <v>1461</v>
      </c>
      <c r="DQ26" s="172" t="s">
        <v>1462</v>
      </c>
      <c r="DR26" s="170">
        <v>1</v>
      </c>
      <c r="DS26" s="170">
        <v>6.5468999999999998E-4</v>
      </c>
      <c r="DT26" s="170">
        <v>2.3333000000000002E-4</v>
      </c>
      <c r="DU26" s="170">
        <v>0</v>
      </c>
      <c r="DV26" s="170">
        <v>0</v>
      </c>
      <c r="DW26" s="170">
        <v>0</v>
      </c>
      <c r="DX26" s="170">
        <v>0</v>
      </c>
      <c r="DY26" s="170">
        <v>0</v>
      </c>
      <c r="DZ26" s="170">
        <v>0</v>
      </c>
      <c r="EA26" s="170">
        <v>0</v>
      </c>
      <c r="EB26" s="170">
        <v>0</v>
      </c>
      <c r="EC26" s="172" t="s">
        <v>1463</v>
      </c>
      <c r="ED26" s="172" t="s">
        <v>1464</v>
      </c>
      <c r="EE26" s="172" t="s">
        <v>1465</v>
      </c>
      <c r="EF26" s="172" t="s">
        <v>1466</v>
      </c>
      <c r="EG26" s="172" t="s">
        <v>1466</v>
      </c>
      <c r="EH26" s="172" t="s">
        <v>1466</v>
      </c>
      <c r="EI26" s="172" t="s">
        <v>1466</v>
      </c>
      <c r="EJ26" s="172" t="s">
        <v>1466</v>
      </c>
      <c r="EK26" s="172" t="s">
        <v>1466</v>
      </c>
      <c r="EL26" s="172" t="s">
        <v>1466</v>
      </c>
      <c r="EM26" s="172" t="s">
        <v>1466</v>
      </c>
      <c r="EN26" s="170">
        <v>1</v>
      </c>
      <c r="EO26" s="170">
        <v>1</v>
      </c>
      <c r="EP26" s="170">
        <v>1</v>
      </c>
      <c r="EQ26" s="170">
        <v>1</v>
      </c>
      <c r="ER26" s="170">
        <v>1</v>
      </c>
      <c r="ES26" s="170">
        <v>1</v>
      </c>
      <c r="ET26" s="170">
        <v>1</v>
      </c>
      <c r="EU26" s="172" t="s">
        <v>343</v>
      </c>
      <c r="EV26" s="170">
        <v>44081</v>
      </c>
      <c r="EW26" s="170">
        <v>1</v>
      </c>
      <c r="EX26" s="170">
        <v>1</v>
      </c>
      <c r="EY26" s="170">
        <v>1</v>
      </c>
      <c r="EZ26" s="170">
        <v>1</v>
      </c>
      <c r="FA26" s="170">
        <v>1</v>
      </c>
      <c r="FB26" s="170">
        <v>1</v>
      </c>
      <c r="FC26" s="170">
        <v>1</v>
      </c>
      <c r="FD26" s="170">
        <v>1</v>
      </c>
      <c r="FE26" s="170">
        <v>1</v>
      </c>
      <c r="FF26" s="172" t="s">
        <v>1467</v>
      </c>
      <c r="FG26" s="170">
        <v>44048</v>
      </c>
    </row>
    <row r="27" spans="1:163" ht="12" customHeight="1">
      <c r="A27" s="210" t="s">
        <v>1123</v>
      </c>
      <c r="B27" s="201" t="str">
        <f t="shared" si="0"/>
        <v>15383-G4003557</v>
      </c>
      <c r="C27" s="202">
        <v>15383</v>
      </c>
      <c r="D27" s="202" t="s">
        <v>734</v>
      </c>
      <c r="E27" s="163" t="s">
        <v>735</v>
      </c>
      <c r="F27" s="164" t="s">
        <v>1227</v>
      </c>
      <c r="G27" s="164" t="s">
        <v>78</v>
      </c>
      <c r="H27" s="162" t="s">
        <v>88</v>
      </c>
      <c r="I27" s="162" t="s">
        <v>1206</v>
      </c>
      <c r="J27" s="163" t="s">
        <v>1468</v>
      </c>
      <c r="K27" s="212">
        <v>1.6779999999999999</v>
      </c>
      <c r="L27" s="212">
        <v>0.26900000000000002</v>
      </c>
      <c r="M27" s="212">
        <v>1.107</v>
      </c>
      <c r="N27" s="212">
        <v>0.30199999999999999</v>
      </c>
      <c r="O27" s="212">
        <v>2.75</v>
      </c>
      <c r="P27" s="166">
        <v>0.25500000000000006</v>
      </c>
      <c r="Q27" s="167">
        <f>IF(P27&gt;'3X3 Data'!$D$9,3,IF(P27&gt;'3X3 Data'!$D$10,2,IF(P27&lt;'3X3 Data'!$D$11,1)))</f>
        <v>2</v>
      </c>
      <c r="R27" s="166">
        <v>1</v>
      </c>
      <c r="S27" s="165">
        <v>45.193395621581715</v>
      </c>
      <c r="T27" s="165">
        <v>11.524315883503339</v>
      </c>
      <c r="U27" s="165">
        <v>-1.3759600000000001</v>
      </c>
      <c r="V27" s="165">
        <v>43.817435621581716</v>
      </c>
      <c r="W27" s="165">
        <v>10.148355883503339</v>
      </c>
      <c r="X27" s="168">
        <f>IF(W27&gt;'3X3 Data'!$J$9,3,IF(W27&gt;'3X3 Data'!$J$10,2,IF(W27&lt;'3X3 Data'!$J$11,1)))</f>
        <v>2</v>
      </c>
      <c r="Y27" s="169">
        <v>31.844066585451831</v>
      </c>
      <c r="Z27" s="169">
        <v>7.3752586362669614</v>
      </c>
      <c r="AA27" s="168">
        <f>IF(Z27&gt;'3X3 Data'!$J$15,3,IF(Z27&gt;'3X3 Data'!$J$16,2,IF(Z27&lt;'3X3 Data'!$J$17,1)))</f>
        <v>2</v>
      </c>
      <c r="AB27" s="165">
        <f t="shared" si="1"/>
        <v>2</v>
      </c>
      <c r="AC27" s="168">
        <f t="shared" si="2"/>
        <v>2</v>
      </c>
      <c r="AD27" s="206">
        <v>31.844992311972522</v>
      </c>
      <c r="AE27" s="206">
        <v>7.3754730395529942</v>
      </c>
      <c r="AF27" s="206">
        <v>19.698048390855298</v>
      </c>
      <c r="AG27" s="240">
        <v>1.9410088310832165</v>
      </c>
      <c r="AH27" s="206">
        <v>45.193395621581715</v>
      </c>
      <c r="AI27" s="206">
        <v>45.193395621581715</v>
      </c>
      <c r="AJ27" s="206">
        <v>0</v>
      </c>
      <c r="AK27" s="206">
        <v>0</v>
      </c>
      <c r="AL27" s="206">
        <v>0</v>
      </c>
      <c r="AM27" s="206">
        <v>0</v>
      </c>
      <c r="AN27" s="206">
        <v>0</v>
      </c>
      <c r="AO27" s="206">
        <v>0</v>
      </c>
      <c r="AP27" s="206">
        <v>0</v>
      </c>
      <c r="AQ27" s="206">
        <v>0</v>
      </c>
      <c r="AR27" s="206">
        <v>0</v>
      </c>
      <c r="AS27" s="241">
        <v>11.524315883503339</v>
      </c>
      <c r="AT27" s="242">
        <v>11.524315883503339</v>
      </c>
      <c r="AU27" s="206">
        <v>0</v>
      </c>
      <c r="AV27" s="206">
        <v>0</v>
      </c>
      <c r="AW27" s="206">
        <v>0</v>
      </c>
      <c r="AX27" s="206">
        <v>0</v>
      </c>
      <c r="AY27" s="206">
        <v>0</v>
      </c>
      <c r="AZ27" s="206">
        <v>0</v>
      </c>
      <c r="BA27" s="206">
        <v>0</v>
      </c>
      <c r="BB27" s="206">
        <v>0</v>
      </c>
      <c r="BC27" s="243">
        <v>0</v>
      </c>
      <c r="BD27" s="244">
        <v>1.6779999999999999</v>
      </c>
      <c r="BE27" s="206">
        <v>0</v>
      </c>
      <c r="BF27" s="206">
        <v>1.6779999999999999</v>
      </c>
      <c r="BG27" s="206">
        <v>0</v>
      </c>
      <c r="BH27" s="206">
        <v>0</v>
      </c>
      <c r="BI27" s="206">
        <v>0</v>
      </c>
      <c r="BJ27" s="206">
        <v>0</v>
      </c>
      <c r="BK27" s="206">
        <v>0</v>
      </c>
      <c r="BL27" s="206">
        <v>0</v>
      </c>
      <c r="BM27" s="206">
        <v>0</v>
      </c>
      <c r="BN27" s="206">
        <v>0</v>
      </c>
      <c r="BO27" s="206">
        <v>0.26900000000000002</v>
      </c>
      <c r="BP27" s="206">
        <v>0</v>
      </c>
      <c r="BQ27" s="206">
        <v>0.26900000000000002</v>
      </c>
      <c r="BR27" s="206">
        <v>0</v>
      </c>
      <c r="BS27" s="206">
        <v>0</v>
      </c>
      <c r="BT27" s="206">
        <v>0</v>
      </c>
      <c r="BU27" s="206">
        <v>0</v>
      </c>
      <c r="BV27" s="206">
        <v>0</v>
      </c>
      <c r="BW27" s="206">
        <v>0</v>
      </c>
      <c r="BX27" s="206">
        <v>0</v>
      </c>
      <c r="BY27" s="206">
        <v>0</v>
      </c>
      <c r="BZ27" s="206">
        <v>1.107</v>
      </c>
      <c r="CA27" s="206">
        <v>0</v>
      </c>
      <c r="CB27" s="206">
        <v>1.107</v>
      </c>
      <c r="CC27" s="206">
        <v>0</v>
      </c>
      <c r="CD27" s="206">
        <v>0</v>
      </c>
      <c r="CE27" s="206">
        <v>0</v>
      </c>
      <c r="CF27" s="165">
        <v>0</v>
      </c>
      <c r="CG27" s="165">
        <v>0</v>
      </c>
      <c r="CH27" s="165">
        <v>0</v>
      </c>
      <c r="CI27" s="165">
        <v>0</v>
      </c>
      <c r="CJ27" s="165">
        <v>0</v>
      </c>
      <c r="CK27" s="165">
        <v>0.30199999999999999</v>
      </c>
      <c r="CL27" s="165">
        <v>0</v>
      </c>
      <c r="CM27" s="165">
        <v>0.30199999999999999</v>
      </c>
      <c r="CN27" s="165">
        <v>0</v>
      </c>
      <c r="CO27" s="165">
        <v>0</v>
      </c>
      <c r="CP27" s="165">
        <v>0</v>
      </c>
      <c r="CQ27" s="165">
        <v>0</v>
      </c>
      <c r="CR27" s="165">
        <v>0</v>
      </c>
      <c r="CS27" s="165">
        <v>0</v>
      </c>
      <c r="CT27" s="165">
        <v>0</v>
      </c>
      <c r="CU27" s="165">
        <v>0</v>
      </c>
      <c r="CV27" s="165" t="s">
        <v>1126</v>
      </c>
      <c r="CW27" s="165" t="s">
        <v>1126</v>
      </c>
      <c r="CX27" s="165" t="s">
        <v>1128</v>
      </c>
      <c r="CY27" s="165" t="s">
        <v>1126</v>
      </c>
      <c r="CZ27" s="165">
        <v>3</v>
      </c>
      <c r="DA27" s="165">
        <v>3</v>
      </c>
      <c r="DB27" s="165">
        <v>2</v>
      </c>
      <c r="DC27" s="165">
        <v>3</v>
      </c>
      <c r="DD27" s="171" t="s">
        <v>1469</v>
      </c>
      <c r="DE27" s="171" t="s">
        <v>1470</v>
      </c>
      <c r="DF27" s="171" t="s">
        <v>1471</v>
      </c>
      <c r="DG27" s="171" t="s">
        <v>1472</v>
      </c>
      <c r="DH27" s="170">
        <v>0.30000000000000004</v>
      </c>
      <c r="DI27" s="170">
        <v>1</v>
      </c>
      <c r="DJ27" s="170">
        <v>1</v>
      </c>
      <c r="DK27" s="170">
        <v>1</v>
      </c>
      <c r="DL27" s="170">
        <v>0.85000000000000009</v>
      </c>
      <c r="DM27" s="172" t="s">
        <v>1473</v>
      </c>
      <c r="DN27" s="172" t="s">
        <v>1474</v>
      </c>
      <c r="DO27" s="172" t="s">
        <v>1475</v>
      </c>
      <c r="DP27" s="172" t="s">
        <v>1476</v>
      </c>
      <c r="DQ27" s="172" t="s">
        <v>1477</v>
      </c>
      <c r="DR27" s="170">
        <v>1</v>
      </c>
      <c r="DS27" s="170">
        <v>0.01</v>
      </c>
      <c r="DT27" s="170" t="s">
        <v>1150</v>
      </c>
      <c r="DU27" s="170" t="s">
        <v>1150</v>
      </c>
      <c r="DV27" s="170" t="s">
        <v>1150</v>
      </c>
      <c r="DW27" s="170" t="s">
        <v>1150</v>
      </c>
      <c r="DX27" s="170" t="s">
        <v>1150</v>
      </c>
      <c r="DY27" s="170" t="s">
        <v>1150</v>
      </c>
      <c r="DZ27" s="170" t="s">
        <v>1150</v>
      </c>
      <c r="EA27" s="170" t="s">
        <v>1150</v>
      </c>
      <c r="EB27" s="170" t="s">
        <v>1150</v>
      </c>
      <c r="EC27" s="172" t="s">
        <v>1478</v>
      </c>
      <c r="ED27" s="172" t="s">
        <v>1479</v>
      </c>
      <c r="EE27" s="172" t="s">
        <v>49</v>
      </c>
      <c r="EF27" s="172" t="s">
        <v>49</v>
      </c>
      <c r="EG27" s="172" t="s">
        <v>49</v>
      </c>
      <c r="EH27" s="172" t="s">
        <v>49</v>
      </c>
      <c r="EI27" s="172" t="s">
        <v>49</v>
      </c>
      <c r="EJ27" s="172" t="s">
        <v>49</v>
      </c>
      <c r="EK27" s="172" t="s">
        <v>49</v>
      </c>
      <c r="EL27" s="172" t="s">
        <v>49</v>
      </c>
      <c r="EM27" s="172" t="s">
        <v>49</v>
      </c>
      <c r="EN27" s="170">
        <v>1</v>
      </c>
      <c r="EO27" s="170">
        <v>1</v>
      </c>
      <c r="EP27" s="170">
        <v>1</v>
      </c>
      <c r="EQ27" s="170">
        <v>1</v>
      </c>
      <c r="ER27" s="170">
        <v>1</v>
      </c>
      <c r="ES27" s="170">
        <v>0</v>
      </c>
      <c r="ET27" s="170">
        <v>0.83333333333333337</v>
      </c>
      <c r="EU27" s="172" t="s">
        <v>1480</v>
      </c>
      <c r="EV27" s="170">
        <v>43803</v>
      </c>
      <c r="EW27" s="170">
        <v>0</v>
      </c>
      <c r="EX27" s="170">
        <v>0</v>
      </c>
      <c r="EY27" s="170">
        <v>0</v>
      </c>
      <c r="EZ27" s="170">
        <v>0</v>
      </c>
      <c r="FA27" s="170">
        <v>0</v>
      </c>
      <c r="FB27" s="170">
        <v>0</v>
      </c>
      <c r="FC27" s="170">
        <v>0</v>
      </c>
      <c r="FD27" s="170">
        <v>0</v>
      </c>
      <c r="FE27" s="170">
        <v>0</v>
      </c>
      <c r="FF27" s="172" t="s">
        <v>49</v>
      </c>
      <c r="FG27" s="170" t="s">
        <v>49</v>
      </c>
    </row>
    <row r="28" spans="1:163" ht="12" customHeight="1">
      <c r="A28" s="210" t="s">
        <v>1123</v>
      </c>
      <c r="B28" s="201" t="str">
        <f t="shared" si="0"/>
        <v>16025-G4004848</v>
      </c>
      <c r="C28" s="202">
        <v>16025</v>
      </c>
      <c r="D28" s="202" t="s">
        <v>795</v>
      </c>
      <c r="E28" s="163" t="s">
        <v>791</v>
      </c>
      <c r="F28" s="164" t="s">
        <v>569</v>
      </c>
      <c r="G28" s="164" t="s">
        <v>78</v>
      </c>
      <c r="H28" s="162" t="s">
        <v>70</v>
      </c>
      <c r="I28" s="162" t="s">
        <v>1206</v>
      </c>
      <c r="J28" s="163" t="s">
        <v>1481</v>
      </c>
      <c r="K28" s="212">
        <v>22.25</v>
      </c>
      <c r="L28" s="212">
        <v>0</v>
      </c>
      <c r="M28" s="212">
        <v>7.65</v>
      </c>
      <c r="N28" s="212">
        <v>14.6</v>
      </c>
      <c r="O28" s="212">
        <v>2</v>
      </c>
      <c r="P28" s="166">
        <v>0.21600000000000005</v>
      </c>
      <c r="Q28" s="167">
        <f>IF(P28&gt;'3X3 Data'!$D$9,3,IF(P28&gt;'3X3 Data'!$D$10,2,IF(P28&lt;'3X3 Data'!$D$11,1)))</f>
        <v>1</v>
      </c>
      <c r="R28" s="166">
        <v>1</v>
      </c>
      <c r="S28" s="165">
        <v>288.08136892180346</v>
      </c>
      <c r="T28" s="165">
        <v>62.225575687109561</v>
      </c>
      <c r="U28" s="165">
        <v>-17.98976056338028</v>
      </c>
      <c r="V28" s="165">
        <v>270.09160835842317</v>
      </c>
      <c r="W28" s="165">
        <v>44.235815123729282</v>
      </c>
      <c r="X28" s="168">
        <f>IF(W28&gt;'3X3 Data'!$J$9,3,IF(W28&gt;'3X3 Data'!$J$10,2,IF(W28&lt;'3X3 Data'!$J$11,1)))</f>
        <v>2</v>
      </c>
      <c r="Y28" s="169">
        <v>35.306092595872308</v>
      </c>
      <c r="Z28" s="169">
        <v>5.782459493297945</v>
      </c>
      <c r="AA28" s="168">
        <f>IF(Z28&gt;'3X3 Data'!$J$15,3,IF(Z28&gt;'3X3 Data'!$J$16,2,IF(Z28&lt;'3X3 Data'!$J$17,1)))</f>
        <v>2</v>
      </c>
      <c r="AB28" s="165">
        <f t="shared" si="1"/>
        <v>2</v>
      </c>
      <c r="AC28" s="168">
        <f t="shared" si="2"/>
        <v>2</v>
      </c>
      <c r="AD28" s="206">
        <v>15.013629970607731</v>
      </c>
      <c r="AE28" s="206">
        <v>2.4589440736512707</v>
      </c>
      <c r="AF28" s="206">
        <v>118.54959618783023</v>
      </c>
      <c r="AG28" s="240">
        <v>2.6799460088220921</v>
      </c>
      <c r="AH28" s="206">
        <v>288.08136892180346</v>
      </c>
      <c r="AI28" s="206">
        <v>0</v>
      </c>
      <c r="AJ28" s="206">
        <v>288.08136892180346</v>
      </c>
      <c r="AK28" s="206">
        <v>0</v>
      </c>
      <c r="AL28" s="206">
        <v>0</v>
      </c>
      <c r="AM28" s="206">
        <v>0</v>
      </c>
      <c r="AN28" s="206">
        <v>0</v>
      </c>
      <c r="AO28" s="206">
        <v>0</v>
      </c>
      <c r="AP28" s="206">
        <v>0</v>
      </c>
      <c r="AQ28" s="206">
        <v>0</v>
      </c>
      <c r="AR28" s="206">
        <v>0</v>
      </c>
      <c r="AS28" s="241">
        <v>62.225575687109561</v>
      </c>
      <c r="AT28" s="242">
        <v>0</v>
      </c>
      <c r="AU28" s="206">
        <v>62.225575687109561</v>
      </c>
      <c r="AV28" s="206">
        <v>0</v>
      </c>
      <c r="AW28" s="206">
        <v>0</v>
      </c>
      <c r="AX28" s="206">
        <v>0</v>
      </c>
      <c r="AY28" s="206">
        <v>0</v>
      </c>
      <c r="AZ28" s="206">
        <v>0</v>
      </c>
      <c r="BA28" s="206">
        <v>0</v>
      </c>
      <c r="BB28" s="206">
        <v>0</v>
      </c>
      <c r="BC28" s="243">
        <v>0</v>
      </c>
      <c r="BD28" s="244">
        <v>22.25</v>
      </c>
      <c r="BE28" s="206">
        <v>0</v>
      </c>
      <c r="BF28" s="206">
        <v>17.149999999999999</v>
      </c>
      <c r="BG28" s="206">
        <v>5.0999999999999996</v>
      </c>
      <c r="BH28" s="206">
        <v>0</v>
      </c>
      <c r="BI28" s="206">
        <v>0</v>
      </c>
      <c r="BJ28" s="206">
        <v>0</v>
      </c>
      <c r="BK28" s="206">
        <v>0</v>
      </c>
      <c r="BL28" s="206">
        <v>0</v>
      </c>
      <c r="BM28" s="206">
        <v>0</v>
      </c>
      <c r="BN28" s="206">
        <v>0</v>
      </c>
      <c r="BO28" s="206">
        <v>0</v>
      </c>
      <c r="BP28" s="206">
        <v>0</v>
      </c>
      <c r="BQ28" s="206">
        <v>0</v>
      </c>
      <c r="BR28" s="206">
        <v>0</v>
      </c>
      <c r="BS28" s="206">
        <v>0</v>
      </c>
      <c r="BT28" s="206">
        <v>0</v>
      </c>
      <c r="BU28" s="206">
        <v>0</v>
      </c>
      <c r="BV28" s="206">
        <v>0</v>
      </c>
      <c r="BW28" s="206">
        <v>0</v>
      </c>
      <c r="BX28" s="206">
        <v>0</v>
      </c>
      <c r="BY28" s="206">
        <v>0</v>
      </c>
      <c r="BZ28" s="206">
        <v>7.65</v>
      </c>
      <c r="CA28" s="206">
        <v>0</v>
      </c>
      <c r="CB28" s="206">
        <v>7.65</v>
      </c>
      <c r="CC28" s="206">
        <v>0</v>
      </c>
      <c r="CD28" s="206">
        <v>0</v>
      </c>
      <c r="CE28" s="206">
        <v>0</v>
      </c>
      <c r="CF28" s="165">
        <v>0</v>
      </c>
      <c r="CG28" s="165">
        <v>0</v>
      </c>
      <c r="CH28" s="165">
        <v>0</v>
      </c>
      <c r="CI28" s="165">
        <v>0</v>
      </c>
      <c r="CJ28" s="165">
        <v>0</v>
      </c>
      <c r="CK28" s="165">
        <v>14.6</v>
      </c>
      <c r="CL28" s="165">
        <v>0</v>
      </c>
      <c r="CM28" s="165">
        <v>9.5</v>
      </c>
      <c r="CN28" s="165">
        <v>5.0999999999999996</v>
      </c>
      <c r="CO28" s="165">
        <v>0</v>
      </c>
      <c r="CP28" s="165">
        <v>0</v>
      </c>
      <c r="CQ28" s="165">
        <v>0</v>
      </c>
      <c r="CR28" s="165">
        <v>0</v>
      </c>
      <c r="CS28" s="165">
        <v>0</v>
      </c>
      <c r="CT28" s="165">
        <v>0</v>
      </c>
      <c r="CU28" s="165">
        <v>0</v>
      </c>
      <c r="CV28" s="165" t="s">
        <v>1126</v>
      </c>
      <c r="CW28" s="165" t="s">
        <v>1128</v>
      </c>
      <c r="CX28" s="165" t="s">
        <v>1191</v>
      </c>
      <c r="CY28" s="165" t="s">
        <v>1128</v>
      </c>
      <c r="CZ28" s="165">
        <v>3</v>
      </c>
      <c r="DA28" s="165">
        <v>2</v>
      </c>
      <c r="DB28" s="165">
        <v>1</v>
      </c>
      <c r="DC28" s="165">
        <v>2</v>
      </c>
      <c r="DD28" s="171" t="s">
        <v>1482</v>
      </c>
      <c r="DE28" s="171" t="s">
        <v>1483</v>
      </c>
      <c r="DF28" s="171" t="s">
        <v>1484</v>
      </c>
      <c r="DG28" s="171" t="s">
        <v>1485</v>
      </c>
      <c r="DH28" s="170">
        <v>0.60000000000000009</v>
      </c>
      <c r="DI28" s="170">
        <v>1</v>
      </c>
      <c r="DJ28" s="170">
        <v>0.8</v>
      </c>
      <c r="DK28" s="170">
        <v>0.9</v>
      </c>
      <c r="DL28" s="170">
        <v>0.5</v>
      </c>
      <c r="DM28" s="172" t="s">
        <v>1486</v>
      </c>
      <c r="DN28" s="172" t="s">
        <v>1487</v>
      </c>
      <c r="DO28" s="172" t="s">
        <v>1488</v>
      </c>
      <c r="DP28" s="172" t="s">
        <v>1489</v>
      </c>
      <c r="DQ28" s="172" t="s">
        <v>1490</v>
      </c>
      <c r="DR28" s="170">
        <v>1</v>
      </c>
      <c r="DS28" s="170" t="s">
        <v>1150</v>
      </c>
      <c r="DT28" s="170">
        <v>7.2999999999999995E-2</v>
      </c>
      <c r="DU28" s="170" t="s">
        <v>1150</v>
      </c>
      <c r="DV28" s="170" t="s">
        <v>1150</v>
      </c>
      <c r="DW28" s="170" t="s">
        <v>1150</v>
      </c>
      <c r="DX28" s="170" t="s">
        <v>1150</v>
      </c>
      <c r="DY28" s="170" t="s">
        <v>1150</v>
      </c>
      <c r="DZ28" s="170" t="s">
        <v>1150</v>
      </c>
      <c r="EA28" s="170" t="s">
        <v>1150</v>
      </c>
      <c r="EB28" s="170" t="s">
        <v>1150</v>
      </c>
      <c r="EC28" s="172" t="s">
        <v>1491</v>
      </c>
      <c r="ED28" s="172" t="s">
        <v>1492</v>
      </c>
      <c r="EE28" s="172" t="s">
        <v>1493</v>
      </c>
      <c r="EF28" s="172" t="s">
        <v>49</v>
      </c>
      <c r="EG28" s="172" t="s">
        <v>49</v>
      </c>
      <c r="EH28" s="172" t="s">
        <v>49</v>
      </c>
      <c r="EI28" s="172" t="s">
        <v>49</v>
      </c>
      <c r="EJ28" s="172" t="s">
        <v>49</v>
      </c>
      <c r="EK28" s="172" t="s">
        <v>49</v>
      </c>
      <c r="EL28" s="172" t="s">
        <v>49</v>
      </c>
      <c r="EM28" s="172" t="s">
        <v>49</v>
      </c>
      <c r="EN28" s="170">
        <v>1</v>
      </c>
      <c r="EO28" s="170">
        <v>1</v>
      </c>
      <c r="EP28" s="170">
        <v>1</v>
      </c>
      <c r="EQ28" s="170">
        <v>1</v>
      </c>
      <c r="ER28" s="170">
        <v>1</v>
      </c>
      <c r="ES28" s="170">
        <v>0</v>
      </c>
      <c r="ET28" s="170">
        <v>0.83333333333333337</v>
      </c>
      <c r="EU28" s="172" t="s">
        <v>1157</v>
      </c>
      <c r="EV28" s="170">
        <v>43769</v>
      </c>
      <c r="EW28" s="170">
        <v>0</v>
      </c>
      <c r="EX28" s="170">
        <v>0</v>
      </c>
      <c r="EY28" s="170">
        <v>0</v>
      </c>
      <c r="EZ28" s="170">
        <v>0</v>
      </c>
      <c r="FA28" s="170">
        <v>0</v>
      </c>
      <c r="FB28" s="170">
        <v>0</v>
      </c>
      <c r="FC28" s="170">
        <v>0</v>
      </c>
      <c r="FD28" s="170">
        <v>0</v>
      </c>
      <c r="FE28" s="170">
        <v>0</v>
      </c>
      <c r="FF28" s="172" t="s">
        <v>49</v>
      </c>
      <c r="FG28" s="170" t="s">
        <v>49</v>
      </c>
    </row>
    <row r="29" spans="1:163" ht="12" customHeight="1">
      <c r="A29" s="210" t="s">
        <v>1123</v>
      </c>
      <c r="B29" s="201" t="str">
        <f t="shared" si="0"/>
        <v>16014-G4004530</v>
      </c>
      <c r="C29" s="202">
        <v>16014</v>
      </c>
      <c r="D29" s="202" t="s">
        <v>502</v>
      </c>
      <c r="E29" s="163" t="s">
        <v>1494</v>
      </c>
      <c r="F29" s="164" t="s">
        <v>569</v>
      </c>
      <c r="G29" s="164" t="s">
        <v>78</v>
      </c>
      <c r="H29" s="162" t="s">
        <v>88</v>
      </c>
      <c r="I29" s="162" t="s">
        <v>1124</v>
      </c>
      <c r="J29" s="163" t="s">
        <v>1495</v>
      </c>
      <c r="K29" s="212">
        <v>4.45</v>
      </c>
      <c r="L29" s="212">
        <v>1.4</v>
      </c>
      <c r="M29" s="212">
        <v>3.05</v>
      </c>
      <c r="N29" s="212">
        <v>0</v>
      </c>
      <c r="O29" s="212">
        <v>2.75</v>
      </c>
      <c r="P29" s="166">
        <v>0.24500000000000005</v>
      </c>
      <c r="Q29" s="167">
        <f>IF(P29&gt;'3X3 Data'!$D$9,3,IF(P29&gt;'3X3 Data'!$D$10,2,IF(P29&lt;'3X3 Data'!$D$11,1)))</f>
        <v>1</v>
      </c>
      <c r="R29" s="166">
        <v>1</v>
      </c>
      <c r="S29" s="165">
        <v>1188.009083385238</v>
      </c>
      <c r="T29" s="165">
        <v>291.06222542938337</v>
      </c>
      <c r="U29" s="165">
        <v>-3.3939485331393691</v>
      </c>
      <c r="V29" s="165">
        <v>1184.6151348520987</v>
      </c>
      <c r="W29" s="165">
        <v>287.66827689624398</v>
      </c>
      <c r="X29" s="168">
        <f>IF(W29&gt;'3X3 Data'!$J$9,3,IF(W29&gt;'3X3 Data'!$J$10,2,IF(W29&lt;'3X3 Data'!$J$11,1)))</f>
        <v>3</v>
      </c>
      <c r="Y29" s="169">
        <v>266.20564828137054</v>
      </c>
      <c r="Z29" s="169">
        <v>64.644556605897534</v>
      </c>
      <c r="AA29" s="168">
        <f>IF(Z29&gt;'3X3 Data'!$J$15,3,IF(Z29&gt;'3X3 Data'!$J$16,2,IF(Z29&lt;'3X3 Data'!$J$17,1)))</f>
        <v>3</v>
      </c>
      <c r="AB29" s="165">
        <f t="shared" si="1"/>
        <v>3</v>
      </c>
      <c r="AC29" s="168">
        <f t="shared" si="2"/>
        <v>3</v>
      </c>
      <c r="AD29" s="206">
        <v>349.03744805945576</v>
      </c>
      <c r="AE29" s="206">
        <v>84.759174774566674</v>
      </c>
      <c r="AF29" s="206">
        <v>510.94750079487034</v>
      </c>
      <c r="AG29" s="240">
        <v>1.776169087212764</v>
      </c>
      <c r="AH29" s="206">
        <v>1188.009083385238</v>
      </c>
      <c r="AI29" s="206">
        <v>6.7790093432372576</v>
      </c>
      <c r="AJ29" s="206">
        <v>0</v>
      </c>
      <c r="AK29" s="206">
        <v>0</v>
      </c>
      <c r="AL29" s="206">
        <v>1181.2300740420008</v>
      </c>
      <c r="AM29" s="206">
        <v>0</v>
      </c>
      <c r="AN29" s="206">
        <v>0</v>
      </c>
      <c r="AO29" s="206">
        <v>0</v>
      </c>
      <c r="AP29" s="206">
        <v>0</v>
      </c>
      <c r="AQ29" s="206">
        <v>0</v>
      </c>
      <c r="AR29" s="206">
        <v>0</v>
      </c>
      <c r="AS29" s="241">
        <v>291.06222542938337</v>
      </c>
      <c r="AT29" s="242">
        <v>1.6608572890931284</v>
      </c>
      <c r="AU29" s="206">
        <v>0</v>
      </c>
      <c r="AV29" s="206">
        <v>0</v>
      </c>
      <c r="AW29" s="206">
        <v>289.40136814029023</v>
      </c>
      <c r="AX29" s="206">
        <v>0</v>
      </c>
      <c r="AY29" s="206">
        <v>0</v>
      </c>
      <c r="AZ29" s="206">
        <v>0</v>
      </c>
      <c r="BA29" s="206">
        <v>0</v>
      </c>
      <c r="BB29" s="206">
        <v>0</v>
      </c>
      <c r="BC29" s="243">
        <v>0</v>
      </c>
      <c r="BD29" s="244">
        <v>4.45</v>
      </c>
      <c r="BE29" s="206">
        <v>0</v>
      </c>
      <c r="BF29" s="206">
        <v>0.95</v>
      </c>
      <c r="BG29" s="206">
        <v>1.8</v>
      </c>
      <c r="BH29" s="206">
        <v>1.7000000000000002</v>
      </c>
      <c r="BI29" s="206">
        <v>0</v>
      </c>
      <c r="BJ29" s="206">
        <v>0</v>
      </c>
      <c r="BK29" s="206">
        <v>0</v>
      </c>
      <c r="BL29" s="206">
        <v>0</v>
      </c>
      <c r="BM29" s="206">
        <v>0</v>
      </c>
      <c r="BN29" s="206">
        <v>0</v>
      </c>
      <c r="BO29" s="206">
        <v>1.4</v>
      </c>
      <c r="BP29" s="206">
        <v>0</v>
      </c>
      <c r="BQ29" s="206">
        <v>0</v>
      </c>
      <c r="BR29" s="206">
        <v>0.8</v>
      </c>
      <c r="BS29" s="206">
        <v>0.6</v>
      </c>
      <c r="BT29" s="206">
        <v>0</v>
      </c>
      <c r="BU29" s="206">
        <v>0</v>
      </c>
      <c r="BV29" s="206">
        <v>0</v>
      </c>
      <c r="BW29" s="206">
        <v>0</v>
      </c>
      <c r="BX29" s="206">
        <v>0</v>
      </c>
      <c r="BY29" s="206">
        <v>0</v>
      </c>
      <c r="BZ29" s="206">
        <v>3.05</v>
      </c>
      <c r="CA29" s="206">
        <v>0</v>
      </c>
      <c r="CB29" s="206">
        <v>0.95</v>
      </c>
      <c r="CC29" s="206">
        <v>1</v>
      </c>
      <c r="CD29" s="206">
        <v>1.1000000000000001</v>
      </c>
      <c r="CE29" s="206">
        <v>0</v>
      </c>
      <c r="CF29" s="165">
        <v>0</v>
      </c>
      <c r="CG29" s="165">
        <v>0</v>
      </c>
      <c r="CH29" s="165">
        <v>0</v>
      </c>
      <c r="CI29" s="165">
        <v>0</v>
      </c>
      <c r="CJ29" s="165">
        <v>0</v>
      </c>
      <c r="CK29" s="165">
        <v>0</v>
      </c>
      <c r="CL29" s="165">
        <v>0</v>
      </c>
      <c r="CM29" s="165">
        <v>0</v>
      </c>
      <c r="CN29" s="165">
        <v>0</v>
      </c>
      <c r="CO29" s="165">
        <v>0</v>
      </c>
      <c r="CP29" s="165">
        <v>0</v>
      </c>
      <c r="CQ29" s="165">
        <v>0</v>
      </c>
      <c r="CR29" s="165">
        <v>0</v>
      </c>
      <c r="CS29" s="165">
        <v>0</v>
      </c>
      <c r="CT29" s="165">
        <v>0</v>
      </c>
      <c r="CU29" s="165">
        <v>0</v>
      </c>
      <c r="CV29" s="165" t="s">
        <v>1128</v>
      </c>
      <c r="CW29" s="165" t="s">
        <v>1126</v>
      </c>
      <c r="CX29" s="165" t="s">
        <v>1126</v>
      </c>
      <c r="CY29" s="165" t="s">
        <v>1126</v>
      </c>
      <c r="CZ29" s="165">
        <v>2</v>
      </c>
      <c r="DA29" s="165">
        <v>3</v>
      </c>
      <c r="DB29" s="165">
        <v>3</v>
      </c>
      <c r="DC29" s="165">
        <v>3</v>
      </c>
      <c r="DD29" s="171" t="s">
        <v>1496</v>
      </c>
      <c r="DE29" s="171" t="s">
        <v>1497</v>
      </c>
      <c r="DF29" s="171" t="s">
        <v>1498</v>
      </c>
      <c r="DG29" s="171" t="s">
        <v>1499</v>
      </c>
      <c r="DH29" s="170">
        <v>0.70000000000000007</v>
      </c>
      <c r="DI29" s="170">
        <v>1</v>
      </c>
      <c r="DJ29" s="170">
        <v>1</v>
      </c>
      <c r="DK29" s="170">
        <v>0.70000000000000007</v>
      </c>
      <c r="DL29" s="170">
        <v>0.5</v>
      </c>
      <c r="DM29" s="172" t="s">
        <v>1500</v>
      </c>
      <c r="DN29" s="172" t="s">
        <v>1501</v>
      </c>
      <c r="DO29" s="172" t="s">
        <v>1501</v>
      </c>
      <c r="DP29" s="172" t="s">
        <v>1502</v>
      </c>
      <c r="DQ29" s="172" t="s">
        <v>1503</v>
      </c>
      <c r="DR29" s="170">
        <v>1</v>
      </c>
      <c r="DS29" s="170">
        <v>1.5E-3</v>
      </c>
      <c r="DT29" s="170">
        <v>0</v>
      </c>
      <c r="DU29" s="170">
        <v>0</v>
      </c>
      <c r="DV29" s="170">
        <v>2.4E-2</v>
      </c>
      <c r="DW29" s="170">
        <v>0</v>
      </c>
      <c r="DX29" s="170">
        <v>0</v>
      </c>
      <c r="DY29" s="170">
        <v>0</v>
      </c>
      <c r="DZ29" s="170">
        <v>0</v>
      </c>
      <c r="EA29" s="170">
        <v>0</v>
      </c>
      <c r="EB29" s="170">
        <v>0</v>
      </c>
      <c r="EC29" s="172" t="s">
        <v>1504</v>
      </c>
      <c r="ED29" s="173" t="s">
        <v>1505</v>
      </c>
      <c r="EE29" s="172" t="s">
        <v>1506</v>
      </c>
      <c r="EF29" s="172" t="s">
        <v>1506</v>
      </c>
      <c r="EG29" s="172" t="s">
        <v>1507</v>
      </c>
      <c r="EH29" s="172" t="s">
        <v>1506</v>
      </c>
      <c r="EI29" s="172" t="s">
        <v>1506</v>
      </c>
      <c r="EJ29" s="172" t="s">
        <v>1506</v>
      </c>
      <c r="EK29" s="172" t="s">
        <v>1506</v>
      </c>
      <c r="EL29" s="172" t="s">
        <v>1506</v>
      </c>
      <c r="EM29" s="172" t="s">
        <v>1506</v>
      </c>
      <c r="EN29" s="170">
        <v>1</v>
      </c>
      <c r="EO29" s="170">
        <v>1</v>
      </c>
      <c r="EP29" s="170">
        <v>1</v>
      </c>
      <c r="EQ29" s="170">
        <v>1</v>
      </c>
      <c r="ER29" s="170">
        <v>1</v>
      </c>
      <c r="ES29" s="170">
        <v>1</v>
      </c>
      <c r="ET29" s="170">
        <v>1</v>
      </c>
      <c r="EU29" s="172" t="s">
        <v>1508</v>
      </c>
      <c r="EV29" s="170">
        <v>43935</v>
      </c>
      <c r="EW29" s="170">
        <v>1</v>
      </c>
      <c r="EX29" s="170">
        <v>1</v>
      </c>
      <c r="EY29" s="170">
        <v>1</v>
      </c>
      <c r="EZ29" s="170">
        <v>1</v>
      </c>
      <c r="FA29" s="170">
        <v>1</v>
      </c>
      <c r="FB29" s="170">
        <v>1</v>
      </c>
      <c r="FC29" s="170">
        <v>1</v>
      </c>
      <c r="FD29" s="170">
        <v>1</v>
      </c>
      <c r="FE29" s="170">
        <v>1</v>
      </c>
      <c r="FF29" s="172" t="s">
        <v>1508</v>
      </c>
      <c r="FG29" s="170">
        <v>43789</v>
      </c>
    </row>
    <row r="30" spans="1:163" ht="12" customHeight="1">
      <c r="A30" s="210" t="s">
        <v>1123</v>
      </c>
      <c r="B30" s="201" t="str">
        <f t="shared" si="0"/>
        <v>15545-G4005870</v>
      </c>
      <c r="C30" s="202">
        <v>15545</v>
      </c>
      <c r="D30" s="202" t="s">
        <v>340</v>
      </c>
      <c r="E30" s="163" t="s">
        <v>1834</v>
      </c>
      <c r="F30" s="164" t="s">
        <v>1509</v>
      </c>
      <c r="G30" s="164" t="s">
        <v>78</v>
      </c>
      <c r="H30" s="162" t="s">
        <v>88</v>
      </c>
      <c r="I30" s="162" t="s">
        <v>1124</v>
      </c>
      <c r="J30" s="163" t="s">
        <v>1510</v>
      </c>
      <c r="K30" s="212">
        <v>6.3924062666666703</v>
      </c>
      <c r="L30" s="212">
        <v>1.1824999999999999</v>
      </c>
      <c r="M30" s="212">
        <v>0.4000000000000003</v>
      </c>
      <c r="N30" s="212">
        <v>4.8099062666666699</v>
      </c>
      <c r="O30" s="212">
        <v>2.25</v>
      </c>
      <c r="P30" s="166">
        <v>0.51200000000000012</v>
      </c>
      <c r="Q30" s="167">
        <f>IF(P30&gt;'3X3 Data'!$D$9,3,IF(P30&gt;'3X3 Data'!$D$10,2,IF(P30&lt;'3X3 Data'!$D$11,1)))</f>
        <v>2</v>
      </c>
      <c r="R30" s="166">
        <v>1</v>
      </c>
      <c r="S30" s="165">
        <v>110.79453584116352</v>
      </c>
      <c r="T30" s="165">
        <v>56.72680235067574</v>
      </c>
      <c r="U30" s="165">
        <v>-5.1907484104012553</v>
      </c>
      <c r="V30" s="165">
        <v>105.60378743076227</v>
      </c>
      <c r="W30" s="165">
        <v>51.536053940274485</v>
      </c>
      <c r="X30" s="168">
        <f>IF(W30&gt;'3X3 Data'!$J$9,3,IF(W30&gt;'3X3 Data'!$J$10,2,IF(W30&lt;'3X3 Data'!$J$11,1)))</f>
        <v>2</v>
      </c>
      <c r="Y30" s="169">
        <v>66.732251141081989</v>
      </c>
      <c r="Z30" s="169">
        <v>32.566226818498876</v>
      </c>
      <c r="AA30" s="168">
        <f>IF(Z30&gt;'3X3 Data'!$J$15,3,IF(Z30&gt;'3X3 Data'!$J$16,2,IF(Z30&lt;'3X3 Data'!$J$17,1)))</f>
        <v>3</v>
      </c>
      <c r="AB30" s="165">
        <f t="shared" si="1"/>
        <v>2.6666666666666665</v>
      </c>
      <c r="AC30" s="168">
        <f t="shared" si="2"/>
        <v>3</v>
      </c>
      <c r="AD30" s="206">
        <v>20.344616822335816</v>
      </c>
      <c r="AE30" s="206">
        <v>9.9284438130359405</v>
      </c>
      <c r="AF30" s="206">
        <v>55.381311209323236</v>
      </c>
      <c r="AG30" s="240">
        <v>1.0746129549131769</v>
      </c>
      <c r="AH30" s="206">
        <v>110.79453584116352</v>
      </c>
      <c r="AI30" s="206">
        <v>14.819592325250971</v>
      </c>
      <c r="AJ30" s="206">
        <v>0</v>
      </c>
      <c r="AK30" s="206">
        <v>0</v>
      </c>
      <c r="AL30" s="206">
        <v>95.974943515912557</v>
      </c>
      <c r="AM30" s="206">
        <v>0</v>
      </c>
      <c r="AN30" s="206">
        <v>0</v>
      </c>
      <c r="AO30" s="206">
        <v>0</v>
      </c>
      <c r="AP30" s="206">
        <v>0</v>
      </c>
      <c r="AQ30" s="206">
        <v>0</v>
      </c>
      <c r="AR30" s="206">
        <v>0</v>
      </c>
      <c r="AS30" s="241">
        <v>56.72680235067574</v>
      </c>
      <c r="AT30" s="242">
        <v>7.5876312705284992</v>
      </c>
      <c r="AU30" s="206">
        <v>0</v>
      </c>
      <c r="AV30" s="206">
        <v>0</v>
      </c>
      <c r="AW30" s="206">
        <v>49.139171080147243</v>
      </c>
      <c r="AX30" s="206">
        <v>0</v>
      </c>
      <c r="AY30" s="206">
        <v>0</v>
      </c>
      <c r="AZ30" s="206">
        <v>0</v>
      </c>
      <c r="BA30" s="206">
        <v>0</v>
      </c>
      <c r="BB30" s="206">
        <v>0</v>
      </c>
      <c r="BC30" s="243">
        <v>0</v>
      </c>
      <c r="BD30" s="244">
        <v>6.3924062666666703</v>
      </c>
      <c r="BE30" s="206">
        <v>0</v>
      </c>
      <c r="BF30" s="206">
        <v>5.3728690133333368</v>
      </c>
      <c r="BG30" s="206">
        <v>1.0195372533333333</v>
      </c>
      <c r="BH30" s="206">
        <v>0</v>
      </c>
      <c r="BI30" s="206">
        <v>0</v>
      </c>
      <c r="BJ30" s="206">
        <v>0</v>
      </c>
      <c r="BK30" s="206">
        <v>0</v>
      </c>
      <c r="BL30" s="206">
        <v>0</v>
      </c>
      <c r="BM30" s="206">
        <v>0</v>
      </c>
      <c r="BN30" s="206">
        <v>0</v>
      </c>
      <c r="BO30" s="206">
        <v>1.1824999999999999</v>
      </c>
      <c r="BP30" s="206">
        <v>0</v>
      </c>
      <c r="BQ30" s="206">
        <v>0.94599999999999995</v>
      </c>
      <c r="BR30" s="206">
        <v>0.23649999999999999</v>
      </c>
      <c r="BS30" s="206">
        <v>0</v>
      </c>
      <c r="BT30" s="206">
        <v>0</v>
      </c>
      <c r="BU30" s="206">
        <v>0</v>
      </c>
      <c r="BV30" s="206">
        <v>0</v>
      </c>
      <c r="BW30" s="206">
        <v>0</v>
      </c>
      <c r="BX30" s="206">
        <v>0</v>
      </c>
      <c r="BY30" s="206">
        <v>0</v>
      </c>
      <c r="BZ30" s="206">
        <v>0.4000000000000003</v>
      </c>
      <c r="CA30" s="206">
        <v>0</v>
      </c>
      <c r="CB30" s="206">
        <v>0.31791666666666701</v>
      </c>
      <c r="CC30" s="206">
        <v>8.20833333333333E-2</v>
      </c>
      <c r="CD30" s="206">
        <v>0</v>
      </c>
      <c r="CE30" s="206">
        <v>0</v>
      </c>
      <c r="CF30" s="165">
        <v>0</v>
      </c>
      <c r="CG30" s="165">
        <v>0</v>
      </c>
      <c r="CH30" s="165">
        <v>0</v>
      </c>
      <c r="CI30" s="165">
        <v>0</v>
      </c>
      <c r="CJ30" s="165">
        <v>0</v>
      </c>
      <c r="CK30" s="165">
        <v>4.8099062666666699</v>
      </c>
      <c r="CL30" s="165">
        <v>0</v>
      </c>
      <c r="CM30" s="165">
        <v>4.10895234666667</v>
      </c>
      <c r="CN30" s="165">
        <v>0.70095392000000001</v>
      </c>
      <c r="CO30" s="165">
        <v>0</v>
      </c>
      <c r="CP30" s="165">
        <v>0</v>
      </c>
      <c r="CQ30" s="165">
        <v>0</v>
      </c>
      <c r="CR30" s="165">
        <v>0</v>
      </c>
      <c r="CS30" s="165">
        <v>0</v>
      </c>
      <c r="CT30" s="165">
        <v>0</v>
      </c>
      <c r="CU30" s="165">
        <v>0</v>
      </c>
      <c r="CV30" s="165" t="s">
        <v>1126</v>
      </c>
      <c r="CW30" s="165" t="s">
        <v>1128</v>
      </c>
      <c r="CX30" s="165" t="s">
        <v>1128</v>
      </c>
      <c r="CY30" s="165" t="s">
        <v>1128</v>
      </c>
      <c r="CZ30" s="165">
        <v>3</v>
      </c>
      <c r="DA30" s="165">
        <v>2</v>
      </c>
      <c r="DB30" s="165">
        <v>2</v>
      </c>
      <c r="DC30" s="165">
        <v>2</v>
      </c>
      <c r="DD30" s="171" t="s">
        <v>1511</v>
      </c>
      <c r="DE30" s="171" t="s">
        <v>1512</v>
      </c>
      <c r="DF30" s="171" t="s">
        <v>1513</v>
      </c>
      <c r="DG30" s="171" t="s">
        <v>1514</v>
      </c>
      <c r="DH30" s="170">
        <v>0.8</v>
      </c>
      <c r="DI30" s="170">
        <v>1</v>
      </c>
      <c r="DJ30" s="170">
        <v>1</v>
      </c>
      <c r="DK30" s="170">
        <v>0.8</v>
      </c>
      <c r="DL30" s="170">
        <v>0.8</v>
      </c>
      <c r="DM30" s="172" t="s">
        <v>1515</v>
      </c>
      <c r="DN30" s="172" t="s">
        <v>1516</v>
      </c>
      <c r="DO30" s="172" t="s">
        <v>1517</v>
      </c>
      <c r="DP30" s="172" t="s">
        <v>1518</v>
      </c>
      <c r="DQ30" s="172" t="s">
        <v>1519</v>
      </c>
      <c r="DR30" s="170">
        <v>1</v>
      </c>
      <c r="DS30" s="170">
        <v>3.2791500000000002E-3</v>
      </c>
      <c r="DT30" s="170">
        <v>0</v>
      </c>
      <c r="DU30" s="170">
        <v>0</v>
      </c>
      <c r="DV30" s="170">
        <v>1.9500000000000001E-3</v>
      </c>
      <c r="DW30" s="170">
        <v>0</v>
      </c>
      <c r="DX30" s="170">
        <v>0</v>
      </c>
      <c r="DY30" s="170">
        <v>0</v>
      </c>
      <c r="DZ30" s="170">
        <v>0</v>
      </c>
      <c r="EA30" s="170">
        <v>0</v>
      </c>
      <c r="EB30" s="170">
        <v>0</v>
      </c>
      <c r="EC30" s="172" t="s">
        <v>1520</v>
      </c>
      <c r="ED30" s="172" t="s">
        <v>1521</v>
      </c>
      <c r="EE30" s="172" t="s">
        <v>1522</v>
      </c>
      <c r="EF30" s="172" t="s">
        <v>1523</v>
      </c>
      <c r="EG30" s="172" t="s">
        <v>1524</v>
      </c>
      <c r="EH30" s="172" t="s">
        <v>1326</v>
      </c>
      <c r="EI30" s="172" t="s">
        <v>1326</v>
      </c>
      <c r="EJ30" s="172" t="s">
        <v>1326</v>
      </c>
      <c r="EK30" s="172" t="s">
        <v>1326</v>
      </c>
      <c r="EL30" s="172" t="s">
        <v>1326</v>
      </c>
      <c r="EM30" s="172" t="s">
        <v>1326</v>
      </c>
      <c r="EN30" s="170">
        <v>1</v>
      </c>
      <c r="EO30" s="170">
        <v>1</v>
      </c>
      <c r="EP30" s="170">
        <v>1</v>
      </c>
      <c r="EQ30" s="170">
        <v>1</v>
      </c>
      <c r="ER30" s="170">
        <v>1</v>
      </c>
      <c r="ES30" s="170">
        <v>1</v>
      </c>
      <c r="ET30" s="170">
        <v>1</v>
      </c>
      <c r="EU30" s="172" t="s">
        <v>343</v>
      </c>
      <c r="EV30" s="170">
        <v>43964</v>
      </c>
      <c r="EW30" s="170">
        <v>1</v>
      </c>
      <c r="EX30" s="170">
        <v>1</v>
      </c>
      <c r="EY30" s="170">
        <v>1</v>
      </c>
      <c r="EZ30" s="170">
        <v>1</v>
      </c>
      <c r="FA30" s="170">
        <v>1</v>
      </c>
      <c r="FB30" s="170">
        <v>1</v>
      </c>
      <c r="FC30" s="170">
        <v>1</v>
      </c>
      <c r="FD30" s="170">
        <v>0</v>
      </c>
      <c r="FE30" s="170">
        <v>0.875</v>
      </c>
      <c r="FF30" s="172" t="s">
        <v>343</v>
      </c>
      <c r="FG30" s="170">
        <v>43788</v>
      </c>
    </row>
    <row r="31" spans="1:163" ht="12" customHeight="1">
      <c r="A31" s="210" t="s">
        <v>1123</v>
      </c>
      <c r="B31" s="201" t="str">
        <f t="shared" si="0"/>
        <v>15481-G4008172</v>
      </c>
      <c r="C31" s="202">
        <v>15481</v>
      </c>
      <c r="D31" s="202" t="s">
        <v>293</v>
      </c>
      <c r="E31" s="163" t="s">
        <v>1525</v>
      </c>
      <c r="F31" s="164" t="s">
        <v>292</v>
      </c>
      <c r="G31" s="164" t="s">
        <v>78</v>
      </c>
      <c r="H31" s="162" t="s">
        <v>88</v>
      </c>
      <c r="I31" s="162" t="s">
        <v>1124</v>
      </c>
      <c r="J31" s="163" t="s">
        <v>1526</v>
      </c>
      <c r="K31" s="212">
        <v>7.5</v>
      </c>
      <c r="L31" s="212">
        <v>0.89999999999999991</v>
      </c>
      <c r="M31" s="212">
        <v>6.6000000000000005</v>
      </c>
      <c r="N31" s="212">
        <v>0</v>
      </c>
      <c r="O31" s="212">
        <v>2.5</v>
      </c>
      <c r="P31" s="166">
        <v>0.12250000000000003</v>
      </c>
      <c r="Q31" s="167">
        <f>IF(P31&gt;'3X3 Data'!$D$9,3,IF(P31&gt;'3X3 Data'!$D$10,2,IF(P31&lt;'3X3 Data'!$D$11,1)))</f>
        <v>1</v>
      </c>
      <c r="R31" s="166">
        <v>0.125</v>
      </c>
      <c r="S31" s="165">
        <v>1014.6008151567198</v>
      </c>
      <c r="T31" s="165">
        <v>124.2885998566982</v>
      </c>
      <c r="U31" s="165">
        <v>-5.7822841587868377</v>
      </c>
      <c r="V31" s="165">
        <v>1008.818530997933</v>
      </c>
      <c r="W31" s="165">
        <v>118.50631569791136</v>
      </c>
      <c r="X31" s="168">
        <f>IF(W31&gt;'3X3 Data'!$J$9,3,IF(W31&gt;'3X3 Data'!$J$10,2,IF(W31&lt;'3X3 Data'!$J$11,1)))</f>
        <v>3</v>
      </c>
      <c r="Y31" s="169">
        <v>134.50913746639105</v>
      </c>
      <c r="Z31" s="169">
        <v>15.800842093054849</v>
      </c>
      <c r="AA31" s="168">
        <f>IF(Z31&gt;'3X3 Data'!$J$15,3,IF(Z31&gt;'3X3 Data'!$J$16,2,IF(Z31&lt;'3X3 Data'!$J$17,1)))</f>
        <v>3</v>
      </c>
      <c r="AB31" s="165">
        <f t="shared" si="1"/>
        <v>3</v>
      </c>
      <c r="AC31" s="168">
        <f t="shared" si="2"/>
        <v>3</v>
      </c>
      <c r="AD31" s="206">
        <v>174.46713155127782</v>
      </c>
      <c r="AE31" s="206">
        <v>20.494723615031536</v>
      </c>
      <c r="AF31" s="206">
        <v>332.64945314092267</v>
      </c>
      <c r="AG31" s="240">
        <v>2.8070187751755875</v>
      </c>
      <c r="AH31" s="206">
        <v>1014.6008151567198</v>
      </c>
      <c r="AI31" s="206">
        <v>0.62140918979674864</v>
      </c>
      <c r="AJ31" s="206">
        <v>-5.426190168047669E-2</v>
      </c>
      <c r="AK31" s="206">
        <v>0</v>
      </c>
      <c r="AL31" s="206">
        <v>0</v>
      </c>
      <c r="AM31" s="206">
        <v>0</v>
      </c>
      <c r="AN31" s="206">
        <v>0</v>
      </c>
      <c r="AO31" s="206">
        <v>0</v>
      </c>
      <c r="AP31" s="206">
        <v>1014.0336678686035</v>
      </c>
      <c r="AQ31" s="206">
        <v>0</v>
      </c>
      <c r="AR31" s="206">
        <v>0</v>
      </c>
      <c r="AS31" s="241">
        <v>124.2885998566982</v>
      </c>
      <c r="AT31" s="242">
        <v>7.612262575010173E-2</v>
      </c>
      <c r="AU31" s="206">
        <v>-6.6470829558583962E-3</v>
      </c>
      <c r="AV31" s="206">
        <v>0</v>
      </c>
      <c r="AW31" s="206">
        <v>0</v>
      </c>
      <c r="AX31" s="206">
        <v>0</v>
      </c>
      <c r="AY31" s="206">
        <v>0</v>
      </c>
      <c r="AZ31" s="206">
        <v>0</v>
      </c>
      <c r="BA31" s="206">
        <v>124.21912431390396</v>
      </c>
      <c r="BB31" s="206">
        <v>0</v>
      </c>
      <c r="BC31" s="243">
        <v>0</v>
      </c>
      <c r="BD31" s="244">
        <v>7.5</v>
      </c>
      <c r="BE31" s="206">
        <v>0</v>
      </c>
      <c r="BF31" s="206">
        <v>2.5</v>
      </c>
      <c r="BG31" s="206">
        <v>2.5</v>
      </c>
      <c r="BH31" s="206">
        <v>2.5</v>
      </c>
      <c r="BI31" s="206">
        <v>0</v>
      </c>
      <c r="BJ31" s="206">
        <v>0</v>
      </c>
      <c r="BK31" s="206">
        <v>0</v>
      </c>
      <c r="BL31" s="206">
        <v>0</v>
      </c>
      <c r="BM31" s="206">
        <v>0</v>
      </c>
      <c r="BN31" s="206">
        <v>0</v>
      </c>
      <c r="BO31" s="206">
        <v>0.89999999999999991</v>
      </c>
      <c r="BP31" s="206">
        <v>0</v>
      </c>
      <c r="BQ31" s="206">
        <v>0.3</v>
      </c>
      <c r="BR31" s="206">
        <v>0.3</v>
      </c>
      <c r="BS31" s="206">
        <v>0.3</v>
      </c>
      <c r="BT31" s="206">
        <v>0</v>
      </c>
      <c r="BU31" s="206">
        <v>0</v>
      </c>
      <c r="BV31" s="206">
        <v>0</v>
      </c>
      <c r="BW31" s="206">
        <v>0</v>
      </c>
      <c r="BX31" s="206">
        <v>0</v>
      </c>
      <c r="BY31" s="206">
        <v>0</v>
      </c>
      <c r="BZ31" s="206">
        <v>6.6000000000000005</v>
      </c>
      <c r="CA31" s="206">
        <v>0</v>
      </c>
      <c r="CB31" s="206">
        <v>2.2000000000000002</v>
      </c>
      <c r="CC31" s="206">
        <v>2.2000000000000002</v>
      </c>
      <c r="CD31" s="206">
        <v>2.2000000000000002</v>
      </c>
      <c r="CE31" s="206">
        <v>0</v>
      </c>
      <c r="CF31" s="165">
        <v>0</v>
      </c>
      <c r="CG31" s="165">
        <v>0</v>
      </c>
      <c r="CH31" s="165">
        <v>0</v>
      </c>
      <c r="CI31" s="165">
        <v>0</v>
      </c>
      <c r="CJ31" s="165">
        <v>0</v>
      </c>
      <c r="CK31" s="165">
        <v>0</v>
      </c>
      <c r="CL31" s="165">
        <v>0</v>
      </c>
      <c r="CM31" s="165">
        <v>0</v>
      </c>
      <c r="CN31" s="165">
        <v>0</v>
      </c>
      <c r="CO31" s="165">
        <v>0</v>
      </c>
      <c r="CP31" s="165">
        <v>0</v>
      </c>
      <c r="CQ31" s="165">
        <v>0</v>
      </c>
      <c r="CR31" s="165">
        <v>0</v>
      </c>
      <c r="CS31" s="165">
        <v>0</v>
      </c>
      <c r="CT31" s="165">
        <v>0</v>
      </c>
      <c r="CU31" s="165">
        <v>0</v>
      </c>
      <c r="CV31" s="165" t="s">
        <v>1126</v>
      </c>
      <c r="CW31" s="165" t="s">
        <v>1126</v>
      </c>
      <c r="CX31" s="165" t="s">
        <v>1191</v>
      </c>
      <c r="CY31" s="165" t="s">
        <v>1126</v>
      </c>
      <c r="CZ31" s="165">
        <v>3</v>
      </c>
      <c r="DA31" s="165">
        <v>3</v>
      </c>
      <c r="DB31" s="165">
        <v>1</v>
      </c>
      <c r="DC31" s="165">
        <v>3</v>
      </c>
      <c r="DD31" s="171" t="s">
        <v>1527</v>
      </c>
      <c r="DE31" s="171" t="s">
        <v>1528</v>
      </c>
      <c r="DF31" s="171" t="s">
        <v>1529</v>
      </c>
      <c r="DG31" s="171" t="s">
        <v>1530</v>
      </c>
      <c r="DH31" s="170">
        <v>0.70000000000000007</v>
      </c>
      <c r="DI31" s="170">
        <v>0.5</v>
      </c>
      <c r="DJ31" s="170">
        <v>0.5</v>
      </c>
      <c r="DK31" s="170">
        <v>1</v>
      </c>
      <c r="DL31" s="170">
        <v>0.70000000000000007</v>
      </c>
      <c r="DM31" s="172" t="s">
        <v>1531</v>
      </c>
      <c r="DN31" s="172" t="s">
        <v>1532</v>
      </c>
      <c r="DO31" s="172" t="s">
        <v>1533</v>
      </c>
      <c r="DP31" s="172" t="s">
        <v>1534</v>
      </c>
      <c r="DQ31" s="172" t="s">
        <v>1535</v>
      </c>
      <c r="DR31" s="170">
        <v>0.125</v>
      </c>
      <c r="DS31" s="170">
        <v>1.1000000000000001E-3</v>
      </c>
      <c r="DT31" s="170">
        <v>-1.1E-4</v>
      </c>
      <c r="DU31" s="170">
        <v>0</v>
      </c>
      <c r="DV31" s="170">
        <v>0</v>
      </c>
      <c r="DW31" s="170">
        <v>0</v>
      </c>
      <c r="DX31" s="170">
        <v>0</v>
      </c>
      <c r="DY31" s="170">
        <v>0</v>
      </c>
      <c r="DZ31" s="170">
        <v>0.05</v>
      </c>
      <c r="EA31" s="170">
        <v>0</v>
      </c>
      <c r="EB31" s="170">
        <v>0</v>
      </c>
      <c r="EC31" s="172" t="s">
        <v>1536</v>
      </c>
      <c r="ED31" s="172" t="s">
        <v>1451</v>
      </c>
      <c r="EE31" s="172" t="s">
        <v>1537</v>
      </c>
      <c r="EF31" s="172" t="s">
        <v>1538</v>
      </c>
      <c r="EG31" s="172" t="s">
        <v>1539</v>
      </c>
      <c r="EH31" s="172" t="s">
        <v>1451</v>
      </c>
      <c r="EI31" s="172" t="s">
        <v>1540</v>
      </c>
      <c r="EJ31" s="172" t="s">
        <v>1451</v>
      </c>
      <c r="EK31" s="172" t="s">
        <v>1541</v>
      </c>
      <c r="EL31" s="172" t="s">
        <v>1451</v>
      </c>
      <c r="EM31" s="172" t="s">
        <v>1451</v>
      </c>
      <c r="EN31" s="170">
        <v>1</v>
      </c>
      <c r="EO31" s="170">
        <v>1</v>
      </c>
      <c r="EP31" s="170">
        <v>1</v>
      </c>
      <c r="EQ31" s="170">
        <v>1</v>
      </c>
      <c r="ER31" s="170">
        <v>1</v>
      </c>
      <c r="ES31" s="170">
        <v>1</v>
      </c>
      <c r="ET31" s="170">
        <v>1</v>
      </c>
      <c r="EU31" s="172" t="s">
        <v>1157</v>
      </c>
      <c r="EV31" s="170">
        <v>43791</v>
      </c>
      <c r="EW31" s="170">
        <v>0</v>
      </c>
      <c r="EX31" s="170">
        <v>0</v>
      </c>
      <c r="EY31" s="170">
        <v>0</v>
      </c>
      <c r="EZ31" s="170">
        <v>0</v>
      </c>
      <c r="FA31" s="170">
        <v>0</v>
      </c>
      <c r="FB31" s="170">
        <v>0</v>
      </c>
      <c r="FC31" s="170">
        <v>0</v>
      </c>
      <c r="FD31" s="170">
        <v>0</v>
      </c>
      <c r="FE31" s="170">
        <v>0</v>
      </c>
      <c r="FF31" s="172" t="s">
        <v>49</v>
      </c>
      <c r="FG31" s="170" t="s">
        <v>49</v>
      </c>
    </row>
    <row r="32" spans="1:163" ht="12" customHeight="1">
      <c r="A32" s="210" t="s">
        <v>1123</v>
      </c>
      <c r="B32" s="201" t="str">
        <f t="shared" si="0"/>
        <v>15893-G4009619</v>
      </c>
      <c r="C32" s="202">
        <v>15893</v>
      </c>
      <c r="D32" s="202" t="s">
        <v>1542</v>
      </c>
      <c r="E32" s="163" t="s">
        <v>918</v>
      </c>
      <c r="F32" s="164" t="s">
        <v>292</v>
      </c>
      <c r="G32" s="164" t="s">
        <v>78</v>
      </c>
      <c r="H32" s="162" t="s">
        <v>88</v>
      </c>
      <c r="I32" s="162" t="s">
        <v>1206</v>
      </c>
      <c r="J32" s="163" t="s">
        <v>1543</v>
      </c>
      <c r="K32" s="212">
        <v>3.5000000000000004</v>
      </c>
      <c r="L32" s="212">
        <v>1.5</v>
      </c>
      <c r="M32" s="212">
        <v>0.89999999999999991</v>
      </c>
      <c r="N32" s="212">
        <v>1.1000000000000001</v>
      </c>
      <c r="O32" s="212">
        <v>2</v>
      </c>
      <c r="P32" s="166">
        <v>0.45360000000000011</v>
      </c>
      <c r="Q32" s="167">
        <f>IF(P32&gt;'3X3 Data'!$D$9,3,IF(P32&gt;'3X3 Data'!$D$10,2,IF(P32&lt;'3X3 Data'!$D$11,1)))</f>
        <v>2</v>
      </c>
      <c r="R32" s="166">
        <v>1</v>
      </c>
      <c r="S32" s="165">
        <v>51.302161588814329</v>
      </c>
      <c r="T32" s="165">
        <v>23.270660496686187</v>
      </c>
      <c r="U32" s="165">
        <v>-2.8149483568075122</v>
      </c>
      <c r="V32" s="165">
        <v>48.487213232006816</v>
      </c>
      <c r="W32" s="165">
        <v>20.455712139878674</v>
      </c>
      <c r="X32" s="168">
        <f>IF(W32&gt;'3X3 Data'!$J$9,3,IF(W32&gt;'3X3 Data'!$J$10,2,IF(W32&lt;'3X3 Data'!$J$11,1)))</f>
        <v>2</v>
      </c>
      <c r="Y32" s="169">
        <v>20.203005513336173</v>
      </c>
      <c r="Z32" s="169">
        <v>8.5232133916161139</v>
      </c>
      <c r="AA32" s="168">
        <f>IF(Z32&gt;'3X3 Data'!$J$15,3,IF(Z32&gt;'3X3 Data'!$J$16,2,IF(Z32&lt;'3X3 Data'!$J$17,1)))</f>
        <v>2</v>
      </c>
      <c r="AB32" s="165">
        <f t="shared" si="1"/>
        <v>2</v>
      </c>
      <c r="AC32" s="168">
        <f t="shared" si="2"/>
        <v>2</v>
      </c>
      <c r="AD32" s="206">
        <v>17.224903296981658</v>
      </c>
      <c r="AE32" s="206">
        <v>7.266816135510882</v>
      </c>
      <c r="AF32" s="206">
        <v>25.54039046544516</v>
      </c>
      <c r="AG32" s="240">
        <v>1.2485700957657613</v>
      </c>
      <c r="AH32" s="206">
        <v>51.302161588814329</v>
      </c>
      <c r="AI32" s="206">
        <v>0</v>
      </c>
      <c r="AJ32" s="206">
        <v>51.302161588814329</v>
      </c>
      <c r="AK32" s="206">
        <v>0</v>
      </c>
      <c r="AL32" s="206">
        <v>0</v>
      </c>
      <c r="AM32" s="206">
        <v>0</v>
      </c>
      <c r="AN32" s="206">
        <v>0</v>
      </c>
      <c r="AO32" s="206">
        <v>0</v>
      </c>
      <c r="AP32" s="206">
        <v>0</v>
      </c>
      <c r="AQ32" s="206">
        <v>0</v>
      </c>
      <c r="AR32" s="206">
        <v>0</v>
      </c>
      <c r="AS32" s="241">
        <v>23.270660496686187</v>
      </c>
      <c r="AT32" s="242">
        <v>0</v>
      </c>
      <c r="AU32" s="206">
        <v>23.270660496686187</v>
      </c>
      <c r="AV32" s="206">
        <v>0</v>
      </c>
      <c r="AW32" s="206">
        <v>0</v>
      </c>
      <c r="AX32" s="206">
        <v>0</v>
      </c>
      <c r="AY32" s="206">
        <v>0</v>
      </c>
      <c r="AZ32" s="206">
        <v>0</v>
      </c>
      <c r="BA32" s="206">
        <v>0</v>
      </c>
      <c r="BB32" s="206">
        <v>0</v>
      </c>
      <c r="BC32" s="243">
        <v>0</v>
      </c>
      <c r="BD32" s="244">
        <v>3.5000000000000004</v>
      </c>
      <c r="BE32" s="206">
        <v>0</v>
      </c>
      <c r="BF32" s="206">
        <v>2.4000000000000004</v>
      </c>
      <c r="BG32" s="206">
        <v>1.1000000000000001</v>
      </c>
      <c r="BH32" s="206">
        <v>0</v>
      </c>
      <c r="BI32" s="206">
        <v>0</v>
      </c>
      <c r="BJ32" s="206">
        <v>0</v>
      </c>
      <c r="BK32" s="206">
        <v>0</v>
      </c>
      <c r="BL32" s="206">
        <v>0</v>
      </c>
      <c r="BM32" s="206">
        <v>0</v>
      </c>
      <c r="BN32" s="206">
        <v>0</v>
      </c>
      <c r="BO32" s="206">
        <v>1.5</v>
      </c>
      <c r="BP32" s="206">
        <v>0</v>
      </c>
      <c r="BQ32" s="206">
        <v>1</v>
      </c>
      <c r="BR32" s="206">
        <v>0.5</v>
      </c>
      <c r="BS32" s="206">
        <v>0</v>
      </c>
      <c r="BT32" s="206">
        <v>0</v>
      </c>
      <c r="BU32" s="206">
        <v>0</v>
      </c>
      <c r="BV32" s="206">
        <v>0</v>
      </c>
      <c r="BW32" s="206">
        <v>0</v>
      </c>
      <c r="BX32" s="206">
        <v>0</v>
      </c>
      <c r="BY32" s="206">
        <v>0</v>
      </c>
      <c r="BZ32" s="206">
        <v>0.89999999999999991</v>
      </c>
      <c r="CA32" s="206">
        <v>0</v>
      </c>
      <c r="CB32" s="245">
        <v>0.6</v>
      </c>
      <c r="CC32" s="245">
        <v>0.3</v>
      </c>
      <c r="CD32" s="206">
        <v>0</v>
      </c>
      <c r="CE32" s="206">
        <v>0</v>
      </c>
      <c r="CF32" s="165">
        <v>0</v>
      </c>
      <c r="CG32" s="165">
        <v>0</v>
      </c>
      <c r="CH32" s="165">
        <v>0</v>
      </c>
      <c r="CI32" s="165">
        <v>0</v>
      </c>
      <c r="CJ32" s="165">
        <v>0</v>
      </c>
      <c r="CK32" s="165">
        <v>1.1000000000000001</v>
      </c>
      <c r="CL32" s="165">
        <v>0</v>
      </c>
      <c r="CM32" s="174">
        <v>0.8</v>
      </c>
      <c r="CN32" s="174">
        <v>0.3</v>
      </c>
      <c r="CO32" s="165">
        <v>0</v>
      </c>
      <c r="CP32" s="165">
        <v>0</v>
      </c>
      <c r="CQ32" s="165">
        <v>0</v>
      </c>
      <c r="CR32" s="165">
        <v>0</v>
      </c>
      <c r="CS32" s="165">
        <v>0</v>
      </c>
      <c r="CT32" s="165">
        <v>0</v>
      </c>
      <c r="CU32" s="165">
        <v>0</v>
      </c>
      <c r="CV32" s="165" t="s">
        <v>1128</v>
      </c>
      <c r="CW32" s="165" t="s">
        <v>1128</v>
      </c>
      <c r="CX32" s="165" t="s">
        <v>1128</v>
      </c>
      <c r="CY32" s="165" t="s">
        <v>1128</v>
      </c>
      <c r="CZ32" s="165">
        <v>2</v>
      </c>
      <c r="DA32" s="165">
        <v>2</v>
      </c>
      <c r="DB32" s="165">
        <v>2</v>
      </c>
      <c r="DC32" s="165">
        <v>2</v>
      </c>
      <c r="DD32" s="171" t="s">
        <v>1544</v>
      </c>
      <c r="DE32" s="171" t="s">
        <v>1545</v>
      </c>
      <c r="DF32" s="171" t="s">
        <v>1546</v>
      </c>
      <c r="DG32" s="171" t="s">
        <v>1547</v>
      </c>
      <c r="DH32" s="170">
        <v>0.70000000000000007</v>
      </c>
      <c r="DI32" s="170">
        <v>1</v>
      </c>
      <c r="DJ32" s="170">
        <v>0.8</v>
      </c>
      <c r="DK32" s="170">
        <v>0.9</v>
      </c>
      <c r="DL32" s="170">
        <v>0.9</v>
      </c>
      <c r="DM32" s="172" t="s">
        <v>1548</v>
      </c>
      <c r="DN32" s="172" t="s">
        <v>1549</v>
      </c>
      <c r="DO32" s="172" t="s">
        <v>1550</v>
      </c>
      <c r="DP32" s="172" t="s">
        <v>1551</v>
      </c>
      <c r="DQ32" s="172" t="s">
        <v>1552</v>
      </c>
      <c r="DR32" s="170">
        <v>1</v>
      </c>
      <c r="DS32" s="170">
        <v>0</v>
      </c>
      <c r="DT32" s="170">
        <v>1.3000000000000001E-2</v>
      </c>
      <c r="DU32" s="170">
        <v>0</v>
      </c>
      <c r="DV32" s="170">
        <v>0</v>
      </c>
      <c r="DW32" s="170">
        <v>0</v>
      </c>
      <c r="DX32" s="170">
        <v>0</v>
      </c>
      <c r="DY32" s="170">
        <v>0</v>
      </c>
      <c r="DZ32" s="170">
        <v>0</v>
      </c>
      <c r="EA32" s="170">
        <v>0</v>
      </c>
      <c r="EB32" s="170">
        <v>0</v>
      </c>
      <c r="EC32" s="172" t="s">
        <v>1553</v>
      </c>
      <c r="ED32" s="172" t="s">
        <v>481</v>
      </c>
      <c r="EE32" s="172" t="s">
        <v>1554</v>
      </c>
      <c r="EF32" s="172" t="s">
        <v>481</v>
      </c>
      <c r="EG32" s="172" t="s">
        <v>481</v>
      </c>
      <c r="EH32" s="172" t="s">
        <v>481</v>
      </c>
      <c r="EI32" s="172" t="s">
        <v>481</v>
      </c>
      <c r="EJ32" s="172" t="s">
        <v>481</v>
      </c>
      <c r="EK32" s="172" t="s">
        <v>481</v>
      </c>
      <c r="EL32" s="172" t="s">
        <v>481</v>
      </c>
      <c r="EM32" s="172" t="s">
        <v>481</v>
      </c>
      <c r="EN32" s="170">
        <v>1</v>
      </c>
      <c r="EO32" s="170">
        <v>1</v>
      </c>
      <c r="EP32" s="170">
        <v>1</v>
      </c>
      <c r="EQ32" s="170">
        <v>1</v>
      </c>
      <c r="ER32" s="170">
        <v>1</v>
      </c>
      <c r="ES32" s="170">
        <v>1</v>
      </c>
      <c r="ET32" s="170">
        <v>1</v>
      </c>
      <c r="EU32" s="172" t="s">
        <v>343</v>
      </c>
      <c r="EV32" s="170">
        <v>43984</v>
      </c>
      <c r="EW32" s="170">
        <v>1</v>
      </c>
      <c r="EX32" s="170">
        <v>1</v>
      </c>
      <c r="EY32" s="170">
        <v>1</v>
      </c>
      <c r="EZ32" s="170">
        <v>1</v>
      </c>
      <c r="FA32" s="170">
        <v>1</v>
      </c>
      <c r="FB32" s="170">
        <v>1</v>
      </c>
      <c r="FC32" s="170">
        <v>1</v>
      </c>
      <c r="FD32" s="170">
        <v>1</v>
      </c>
      <c r="FE32" s="170">
        <v>1</v>
      </c>
      <c r="FF32" s="172" t="s">
        <v>343</v>
      </c>
      <c r="FG32" s="170">
        <v>43984</v>
      </c>
    </row>
    <row r="33" spans="1:163" ht="12" customHeight="1">
      <c r="A33" s="210" t="s">
        <v>1123</v>
      </c>
      <c r="B33" s="201" t="s">
        <v>1555</v>
      </c>
      <c r="C33" s="202">
        <v>15364</v>
      </c>
      <c r="D33" s="202" t="s">
        <v>1556</v>
      </c>
      <c r="E33" s="163" t="s">
        <v>1557</v>
      </c>
      <c r="F33" s="164" t="s">
        <v>1558</v>
      </c>
      <c r="G33" s="164" t="s">
        <v>78</v>
      </c>
      <c r="H33" s="162" t="s">
        <v>88</v>
      </c>
      <c r="I33" s="162" t="s">
        <v>1124</v>
      </c>
      <c r="J33" s="163" t="s">
        <v>1559</v>
      </c>
      <c r="K33" s="212">
        <v>29.67</v>
      </c>
      <c r="L33" s="212">
        <v>2.4499999999999997</v>
      </c>
      <c r="M33" s="212">
        <v>27.22</v>
      </c>
      <c r="N33" s="212">
        <v>0</v>
      </c>
      <c r="O33" s="212">
        <v>2.25</v>
      </c>
      <c r="P33" s="166">
        <v>5.4880000000000026E-2</v>
      </c>
      <c r="Q33" s="167">
        <f>IF(P33&gt;'3X3 Data'!$D$9,3,IF(P33&gt;'3X3 Data'!$D$10,2,IF(P33&lt;'3X3 Data'!$D$11,1)))</f>
        <v>1</v>
      </c>
      <c r="R33" s="166">
        <v>0.05</v>
      </c>
      <c r="S33" s="165">
        <v>1298.064595864128</v>
      </c>
      <c r="T33" s="165">
        <v>71.237785021023385</v>
      </c>
      <c r="U33" s="165">
        <v>-18.670718184292841</v>
      </c>
      <c r="V33" s="165">
        <v>1279.3938776798352</v>
      </c>
      <c r="W33" s="165">
        <v>52.567066836730547</v>
      </c>
      <c r="X33" s="168">
        <f>IF(W33&gt;'3X3 Data'!$J$9,3,IF(W33&gt;'3X3 Data'!$J$10,2,IF(W33&lt;'3X3 Data'!$J$11,1)))</f>
        <v>2</v>
      </c>
      <c r="Y33" s="169">
        <v>43.120791293556969</v>
      </c>
      <c r="Z33" s="169">
        <v>1.7717245310660785</v>
      </c>
      <c r="AA33" s="168">
        <f>IF(Z33&gt;'3X3 Data'!$J$15,3,IF(Z33&gt;'3X3 Data'!$J$16,2,IF(Z33&lt;'3X3 Data'!$J$17,1)))</f>
        <v>1</v>
      </c>
      <c r="AB33" s="165">
        <f t="shared" si="1"/>
        <v>1.3333333333333333</v>
      </c>
      <c r="AC33" s="168">
        <f t="shared" ref="AC33" si="3">ROUND(AB33,)</f>
        <v>1</v>
      </c>
      <c r="AD33" s="206">
        <v>68.524084882613352</v>
      </c>
      <c r="AE33" s="206">
        <v>2.8154817783578228</v>
      </c>
      <c r="AF33" s="206">
        <v>295.62886294959225</v>
      </c>
      <c r="AG33" s="240">
        <v>5.6238417081134431</v>
      </c>
      <c r="AH33" s="206">
        <v>1298.064595864128</v>
      </c>
      <c r="AI33" s="206">
        <v>0</v>
      </c>
      <c r="AJ33" s="206">
        <v>0</v>
      </c>
      <c r="AK33" s="206">
        <v>0</v>
      </c>
      <c r="AL33" s="206">
        <v>0</v>
      </c>
      <c r="AM33" s="206">
        <v>0</v>
      </c>
      <c r="AN33" s="206">
        <v>892.45112871668653</v>
      </c>
      <c r="AO33" s="206">
        <v>0</v>
      </c>
      <c r="AP33" s="206">
        <v>405.61346714744144</v>
      </c>
      <c r="AQ33" s="206">
        <v>0</v>
      </c>
      <c r="AR33" s="206">
        <v>0</v>
      </c>
      <c r="AS33" s="241">
        <v>71.237785021023385</v>
      </c>
      <c r="AT33" s="242">
        <v>0</v>
      </c>
      <c r="AU33" s="206">
        <v>0</v>
      </c>
      <c r="AV33" s="206">
        <v>0</v>
      </c>
      <c r="AW33" s="206">
        <v>0</v>
      </c>
      <c r="AX33" s="206">
        <v>0</v>
      </c>
      <c r="AY33" s="206">
        <v>48.977717943971783</v>
      </c>
      <c r="AZ33" s="206">
        <v>0</v>
      </c>
      <c r="BA33" s="206">
        <v>22.260067077051598</v>
      </c>
      <c r="BB33" s="206">
        <v>0</v>
      </c>
      <c r="BC33" s="243">
        <v>0</v>
      </c>
      <c r="BD33" s="244">
        <v>29.67</v>
      </c>
      <c r="BE33" s="206">
        <v>0</v>
      </c>
      <c r="BF33" s="206">
        <v>0.27</v>
      </c>
      <c r="BG33" s="206">
        <v>2.2999999999999998</v>
      </c>
      <c r="BH33" s="206">
        <v>4.3</v>
      </c>
      <c r="BI33" s="206">
        <v>4.3</v>
      </c>
      <c r="BJ33" s="206">
        <v>5.3</v>
      </c>
      <c r="BK33" s="206">
        <v>3.3</v>
      </c>
      <c r="BL33" s="206">
        <v>4.3</v>
      </c>
      <c r="BM33" s="206">
        <v>3.3</v>
      </c>
      <c r="BN33" s="206">
        <v>2.2999999999999998</v>
      </c>
      <c r="BO33" s="206">
        <v>2.4499999999999997</v>
      </c>
      <c r="BP33" s="206">
        <v>0</v>
      </c>
      <c r="BQ33" s="206">
        <v>0.05</v>
      </c>
      <c r="BR33" s="206">
        <v>0.3</v>
      </c>
      <c r="BS33" s="206">
        <v>0.3</v>
      </c>
      <c r="BT33" s="206">
        <v>0.3</v>
      </c>
      <c r="BU33" s="206">
        <v>0.3</v>
      </c>
      <c r="BV33" s="206">
        <v>0.3</v>
      </c>
      <c r="BW33" s="206">
        <v>0.3</v>
      </c>
      <c r="BX33" s="206">
        <v>0.3</v>
      </c>
      <c r="BY33" s="206">
        <v>0.3</v>
      </c>
      <c r="BZ33" s="206">
        <v>27.22</v>
      </c>
      <c r="CA33" s="206">
        <v>0</v>
      </c>
      <c r="CB33" s="206">
        <v>0.22</v>
      </c>
      <c r="CC33" s="206">
        <v>2</v>
      </c>
      <c r="CD33" s="206">
        <v>4</v>
      </c>
      <c r="CE33" s="206">
        <v>4</v>
      </c>
      <c r="CF33" s="165">
        <v>5</v>
      </c>
      <c r="CG33" s="165">
        <v>3</v>
      </c>
      <c r="CH33" s="165">
        <v>4</v>
      </c>
      <c r="CI33" s="165">
        <v>3</v>
      </c>
      <c r="CJ33" s="165">
        <v>2</v>
      </c>
      <c r="CK33" s="165">
        <v>0</v>
      </c>
      <c r="CL33" s="165">
        <v>0</v>
      </c>
      <c r="CM33" s="165">
        <v>0</v>
      </c>
      <c r="CN33" s="165">
        <v>0</v>
      </c>
      <c r="CO33" s="165">
        <v>0</v>
      </c>
      <c r="CP33" s="165">
        <v>0</v>
      </c>
      <c r="CQ33" s="165">
        <v>0</v>
      </c>
      <c r="CR33" s="165">
        <v>0</v>
      </c>
      <c r="CS33" s="165">
        <v>0</v>
      </c>
      <c r="CT33" s="165">
        <v>0</v>
      </c>
      <c r="CU33" s="165">
        <v>0</v>
      </c>
      <c r="CV33" s="165" t="s">
        <v>1126</v>
      </c>
      <c r="CW33" s="165" t="s">
        <v>1128</v>
      </c>
      <c r="CX33" s="165" t="s">
        <v>1128</v>
      </c>
      <c r="CY33" s="165" t="s">
        <v>1128</v>
      </c>
      <c r="CZ33" s="165">
        <v>3</v>
      </c>
      <c r="DA33" s="165">
        <v>2</v>
      </c>
      <c r="DB33" s="165">
        <v>2</v>
      </c>
      <c r="DC33" s="165">
        <v>2</v>
      </c>
      <c r="DD33" s="171" t="s">
        <v>1560</v>
      </c>
      <c r="DE33" s="171" t="s">
        <v>1561</v>
      </c>
      <c r="DF33" s="171" t="s">
        <v>1562</v>
      </c>
      <c r="DG33" s="171" t="s">
        <v>1563</v>
      </c>
      <c r="DH33" s="170">
        <v>0.70000000000000007</v>
      </c>
      <c r="DI33" s="170">
        <v>0.4</v>
      </c>
      <c r="DJ33" s="170">
        <v>0.4</v>
      </c>
      <c r="DK33" s="170">
        <v>0.70000000000000007</v>
      </c>
      <c r="DL33" s="170">
        <v>0.70000000000000007</v>
      </c>
      <c r="DM33" s="172" t="s">
        <v>1564</v>
      </c>
      <c r="DN33" s="172" t="s">
        <v>1565</v>
      </c>
      <c r="DO33" s="172" t="s">
        <v>1566</v>
      </c>
      <c r="DP33" s="172" t="s">
        <v>1567</v>
      </c>
      <c r="DQ33" s="172" t="s">
        <v>1568</v>
      </c>
      <c r="DR33" s="170">
        <v>0.05</v>
      </c>
      <c r="DS33" s="170">
        <v>0</v>
      </c>
      <c r="DT33" s="170">
        <v>0</v>
      </c>
      <c r="DU33" s="170">
        <v>0</v>
      </c>
      <c r="DV33" s="170">
        <v>0</v>
      </c>
      <c r="DW33" s="170">
        <v>0</v>
      </c>
      <c r="DX33" s="170">
        <v>0.2</v>
      </c>
      <c r="DY33" s="170">
        <v>0</v>
      </c>
      <c r="DZ33" s="170">
        <v>0.05</v>
      </c>
      <c r="EA33" s="170">
        <v>0</v>
      </c>
      <c r="EB33" s="170">
        <v>0</v>
      </c>
      <c r="EC33" s="172" t="s">
        <v>1569</v>
      </c>
      <c r="ED33" s="172" t="s">
        <v>1451</v>
      </c>
      <c r="EE33" s="172" t="s">
        <v>1570</v>
      </c>
      <c r="EF33" s="172" t="s">
        <v>1538</v>
      </c>
      <c r="EG33" s="172" t="s">
        <v>1539</v>
      </c>
      <c r="EH33" s="172" t="s">
        <v>1451</v>
      </c>
      <c r="EI33" s="172" t="s">
        <v>1571</v>
      </c>
      <c r="EJ33" s="172" t="s">
        <v>1451</v>
      </c>
      <c r="EK33" s="172" t="s">
        <v>1572</v>
      </c>
      <c r="EL33" s="172" t="s">
        <v>1451</v>
      </c>
      <c r="EM33" s="172" t="s">
        <v>1451</v>
      </c>
      <c r="EN33" s="170">
        <v>1</v>
      </c>
      <c r="EO33" s="170">
        <v>1</v>
      </c>
      <c r="EP33" s="170">
        <v>1</v>
      </c>
      <c r="EQ33" s="170">
        <v>1</v>
      </c>
      <c r="ER33" s="170">
        <v>1</v>
      </c>
      <c r="ES33" s="170">
        <v>1</v>
      </c>
      <c r="ET33" s="170">
        <v>1</v>
      </c>
      <c r="EU33" s="172" t="s">
        <v>1157</v>
      </c>
      <c r="EV33" s="170">
        <v>43909</v>
      </c>
      <c r="EW33" s="170">
        <v>0</v>
      </c>
      <c r="EX33" s="170">
        <v>0</v>
      </c>
      <c r="EY33" s="170">
        <v>0</v>
      </c>
      <c r="EZ33" s="170">
        <v>0</v>
      </c>
      <c r="FA33" s="170">
        <v>0</v>
      </c>
      <c r="FB33" s="170">
        <v>0</v>
      </c>
      <c r="FC33" s="170">
        <v>0</v>
      </c>
      <c r="FD33" s="170">
        <v>0</v>
      </c>
      <c r="FE33" s="170">
        <v>0</v>
      </c>
      <c r="FF33" s="172" t="s">
        <v>49</v>
      </c>
      <c r="FG33" s="170" t="s">
        <v>49</v>
      </c>
    </row>
    <row r="34" spans="1:163" ht="12" customHeight="1">
      <c r="A34" s="210" t="s">
        <v>1123</v>
      </c>
      <c r="B34" s="201" t="str">
        <f t="shared" si="0"/>
        <v>12528-G4010316</v>
      </c>
      <c r="C34" s="202">
        <v>12528</v>
      </c>
      <c r="D34" s="202" t="s">
        <v>1573</v>
      </c>
      <c r="E34" s="163" t="s">
        <v>1574</v>
      </c>
      <c r="F34" s="164" t="s">
        <v>131</v>
      </c>
      <c r="G34" s="164" t="s">
        <v>78</v>
      </c>
      <c r="H34" s="162" t="s">
        <v>88</v>
      </c>
      <c r="I34" s="162" t="s">
        <v>1206</v>
      </c>
      <c r="J34" s="163" t="s">
        <v>1575</v>
      </c>
      <c r="K34" s="212">
        <v>15.500000000000002</v>
      </c>
      <c r="L34" s="212">
        <v>0.9</v>
      </c>
      <c r="M34" s="212">
        <v>3.6</v>
      </c>
      <c r="N34" s="212">
        <v>11</v>
      </c>
      <c r="O34" s="212">
        <v>2</v>
      </c>
      <c r="P34" s="166">
        <v>0.46240000000000014</v>
      </c>
      <c r="Q34" s="167">
        <f>IF(P34&gt;'3X3 Data'!$D$9,3,IF(P34&gt;'3X3 Data'!$D$10,2,IF(P34&lt;'3X3 Data'!$D$11,1)))</f>
        <v>2</v>
      </c>
      <c r="R34" s="166">
        <v>1</v>
      </c>
      <c r="S34" s="165">
        <v>47.336978056413642</v>
      </c>
      <c r="T34" s="165">
        <v>21.888618653285675</v>
      </c>
      <c r="U34" s="165">
        <v>-11.623408713897339</v>
      </c>
      <c r="V34" s="165">
        <v>35.713569342516301</v>
      </c>
      <c r="W34" s="165">
        <v>10.265209939388336</v>
      </c>
      <c r="X34" s="168">
        <f>IF(W34&gt;'3X3 Data'!$J$9,3,IF(W34&gt;'3X3 Data'!$J$10,2,IF(W34&lt;'3X3 Data'!$J$11,1)))</f>
        <v>2</v>
      </c>
      <c r="Y34" s="169">
        <v>7.9363487427814006</v>
      </c>
      <c r="Z34" s="169">
        <v>2.281157764308519</v>
      </c>
      <c r="AA34" s="168">
        <f>IF(Z34&gt;'3X3 Data'!$J$15,3,IF(Z34&gt;'3X3 Data'!$J$16,2,IF(Z34&lt;'3X3 Data'!$J$17,1)))</f>
        <v>1</v>
      </c>
      <c r="AB34" s="165">
        <f t="shared" si="1"/>
        <v>1.3333333333333333</v>
      </c>
      <c r="AC34" s="168">
        <f t="shared" ref="AC34" si="4">ROUND(AB34,)</f>
        <v>1</v>
      </c>
      <c r="AD34" s="206">
        <v>3.0725555834422269</v>
      </c>
      <c r="AE34" s="206">
        <v>0.88314970178368635</v>
      </c>
      <c r="AF34" s="206">
        <v>23.601471020400925</v>
      </c>
      <c r="AG34" s="240">
        <v>2.2991708070032169</v>
      </c>
      <c r="AH34" s="206">
        <v>47.336978056413642</v>
      </c>
      <c r="AI34" s="206">
        <v>0</v>
      </c>
      <c r="AJ34" s="206">
        <v>47.336978056413642</v>
      </c>
      <c r="AK34" s="206">
        <v>0</v>
      </c>
      <c r="AL34" s="206">
        <v>0</v>
      </c>
      <c r="AM34" s="206">
        <v>0</v>
      </c>
      <c r="AN34" s="206">
        <v>0</v>
      </c>
      <c r="AO34" s="206">
        <v>0</v>
      </c>
      <c r="AP34" s="206">
        <v>0</v>
      </c>
      <c r="AQ34" s="206">
        <v>0</v>
      </c>
      <c r="AR34" s="206">
        <v>0</v>
      </c>
      <c r="AS34" s="241">
        <v>21.888618653285675</v>
      </c>
      <c r="AT34" s="242">
        <v>0</v>
      </c>
      <c r="AU34" s="206">
        <v>21.888618653285675</v>
      </c>
      <c r="AV34" s="206">
        <v>0</v>
      </c>
      <c r="AW34" s="206">
        <v>0</v>
      </c>
      <c r="AX34" s="206">
        <v>0</v>
      </c>
      <c r="AY34" s="206">
        <v>0</v>
      </c>
      <c r="AZ34" s="206">
        <v>0</v>
      </c>
      <c r="BA34" s="206">
        <v>0</v>
      </c>
      <c r="BB34" s="206">
        <v>0</v>
      </c>
      <c r="BC34" s="243">
        <v>0</v>
      </c>
      <c r="BD34" s="244">
        <v>15.500000000000002</v>
      </c>
      <c r="BE34" s="206">
        <v>0</v>
      </c>
      <c r="BF34" s="206">
        <v>2.2999999999999998</v>
      </c>
      <c r="BG34" s="206">
        <v>8.5</v>
      </c>
      <c r="BH34" s="206">
        <v>2.9</v>
      </c>
      <c r="BI34" s="206">
        <v>0.4</v>
      </c>
      <c r="BJ34" s="206">
        <v>0.4</v>
      </c>
      <c r="BK34" s="206">
        <v>0.4</v>
      </c>
      <c r="BL34" s="206">
        <v>0.4</v>
      </c>
      <c r="BM34" s="206">
        <v>0.2</v>
      </c>
      <c r="BN34" s="206">
        <v>0</v>
      </c>
      <c r="BO34" s="206">
        <v>0.9</v>
      </c>
      <c r="BP34" s="206">
        <v>0</v>
      </c>
      <c r="BQ34" s="206">
        <v>0.2</v>
      </c>
      <c r="BR34" s="206">
        <v>0.6</v>
      </c>
      <c r="BS34" s="206">
        <v>0.1</v>
      </c>
      <c r="BT34" s="206">
        <v>0</v>
      </c>
      <c r="BU34" s="206">
        <v>0</v>
      </c>
      <c r="BV34" s="206">
        <v>0</v>
      </c>
      <c r="BW34" s="206">
        <v>0</v>
      </c>
      <c r="BX34" s="206">
        <v>0</v>
      </c>
      <c r="BY34" s="206">
        <v>0</v>
      </c>
      <c r="BZ34" s="206">
        <v>3.6</v>
      </c>
      <c r="CA34" s="206">
        <v>0</v>
      </c>
      <c r="CB34" s="206">
        <v>0.3</v>
      </c>
      <c r="CC34" s="206">
        <v>1.1000000000000001</v>
      </c>
      <c r="CD34" s="206">
        <v>0.4</v>
      </c>
      <c r="CE34" s="206">
        <v>0.4</v>
      </c>
      <c r="CF34" s="165">
        <v>0.4</v>
      </c>
      <c r="CG34" s="165">
        <v>0.4</v>
      </c>
      <c r="CH34" s="165">
        <v>0.4</v>
      </c>
      <c r="CI34" s="165">
        <v>0.2</v>
      </c>
      <c r="CJ34" s="165">
        <v>0</v>
      </c>
      <c r="CK34" s="165">
        <v>11</v>
      </c>
      <c r="CL34" s="165">
        <v>0</v>
      </c>
      <c r="CM34" s="165">
        <v>1.8</v>
      </c>
      <c r="CN34" s="165">
        <v>6.8</v>
      </c>
      <c r="CO34" s="165">
        <v>2.4</v>
      </c>
      <c r="CP34" s="165">
        <v>0</v>
      </c>
      <c r="CQ34" s="165">
        <v>0</v>
      </c>
      <c r="CR34" s="165">
        <v>0</v>
      </c>
      <c r="CS34" s="165">
        <v>0</v>
      </c>
      <c r="CT34" s="165">
        <v>0</v>
      </c>
      <c r="CU34" s="165">
        <v>0</v>
      </c>
      <c r="CV34" s="165" t="s">
        <v>1128</v>
      </c>
      <c r="CW34" s="165" t="s">
        <v>1128</v>
      </c>
      <c r="CX34" s="165" t="s">
        <v>1191</v>
      </c>
      <c r="CY34" s="165" t="s">
        <v>1126</v>
      </c>
      <c r="CZ34" s="165">
        <v>2</v>
      </c>
      <c r="DA34" s="165">
        <v>2</v>
      </c>
      <c r="DB34" s="165">
        <v>1</v>
      </c>
      <c r="DC34" s="165">
        <v>3</v>
      </c>
      <c r="DD34" s="171" t="s">
        <v>1576</v>
      </c>
      <c r="DE34" s="171" t="s">
        <v>1577</v>
      </c>
      <c r="DF34" s="171" t="s">
        <v>1578</v>
      </c>
      <c r="DG34" s="171" t="s">
        <v>1579</v>
      </c>
      <c r="DH34" s="170">
        <v>0.85000000000000009</v>
      </c>
      <c r="DI34" s="170">
        <v>1</v>
      </c>
      <c r="DJ34" s="170">
        <v>0.85000000000000009</v>
      </c>
      <c r="DK34" s="170">
        <v>0.8</v>
      </c>
      <c r="DL34" s="170">
        <v>0.8</v>
      </c>
      <c r="DM34" s="172" t="s">
        <v>1580</v>
      </c>
      <c r="DN34" s="172" t="s">
        <v>1581</v>
      </c>
      <c r="DO34" s="172" t="s">
        <v>1582</v>
      </c>
      <c r="DP34" s="172" t="s">
        <v>1583</v>
      </c>
      <c r="DQ34" s="172" t="s">
        <v>1584</v>
      </c>
      <c r="DR34" s="170">
        <v>1</v>
      </c>
      <c r="DS34" s="170">
        <v>0</v>
      </c>
      <c r="DT34" s="170">
        <v>1.1995220000000001E-2</v>
      </c>
      <c r="DU34" s="170">
        <v>0</v>
      </c>
      <c r="DV34" s="170">
        <v>0</v>
      </c>
      <c r="DW34" s="170">
        <v>0</v>
      </c>
      <c r="DX34" s="170">
        <v>0</v>
      </c>
      <c r="DY34" s="170">
        <v>0</v>
      </c>
      <c r="DZ34" s="170">
        <v>0</v>
      </c>
      <c r="EA34" s="170">
        <v>0</v>
      </c>
      <c r="EB34" s="170">
        <v>0</v>
      </c>
      <c r="EC34" s="172" t="s">
        <v>1585</v>
      </c>
      <c r="ED34" s="172" t="s">
        <v>110</v>
      </c>
      <c r="EE34" s="172" t="s">
        <v>1586</v>
      </c>
      <c r="EF34" s="172" t="s">
        <v>110</v>
      </c>
      <c r="EG34" s="172" t="s">
        <v>110</v>
      </c>
      <c r="EH34" s="172" t="s">
        <v>110</v>
      </c>
      <c r="EI34" s="172" t="s">
        <v>110</v>
      </c>
      <c r="EJ34" s="172" t="s">
        <v>110</v>
      </c>
      <c r="EK34" s="172" t="s">
        <v>110</v>
      </c>
      <c r="EL34" s="172" t="s">
        <v>110</v>
      </c>
      <c r="EM34" s="172" t="s">
        <v>110</v>
      </c>
      <c r="EN34" s="170">
        <v>1</v>
      </c>
      <c r="EO34" s="170">
        <v>1</v>
      </c>
      <c r="EP34" s="170">
        <v>1</v>
      </c>
      <c r="EQ34" s="170">
        <v>1</v>
      </c>
      <c r="ER34" s="170">
        <v>1</v>
      </c>
      <c r="ES34" s="170">
        <v>1</v>
      </c>
      <c r="ET34" s="170">
        <v>1</v>
      </c>
      <c r="EU34" s="172" t="s">
        <v>343</v>
      </c>
      <c r="EV34" s="170">
        <v>44018</v>
      </c>
      <c r="EW34" s="170">
        <v>0</v>
      </c>
      <c r="EX34" s="170">
        <v>0</v>
      </c>
      <c r="EY34" s="170">
        <v>0</v>
      </c>
      <c r="EZ34" s="170">
        <v>0</v>
      </c>
      <c r="FA34" s="170">
        <v>0</v>
      </c>
      <c r="FB34" s="170">
        <v>0</v>
      </c>
      <c r="FC34" s="170">
        <v>0</v>
      </c>
      <c r="FD34" s="170">
        <v>0</v>
      </c>
      <c r="FE34" s="170">
        <v>0</v>
      </c>
      <c r="FF34" s="172" t="s">
        <v>49</v>
      </c>
      <c r="FG34" s="170" t="s">
        <v>49</v>
      </c>
    </row>
    <row r="35" spans="1:163" ht="12" customHeight="1">
      <c r="A35" s="210" t="s">
        <v>1123</v>
      </c>
      <c r="B35" s="201" t="str">
        <f t="shared" si="0"/>
        <v>18037-G4010780</v>
      </c>
      <c r="C35" s="202">
        <v>18037</v>
      </c>
      <c r="D35" s="202" t="s">
        <v>1587</v>
      </c>
      <c r="E35" s="163" t="s">
        <v>1588</v>
      </c>
      <c r="F35" s="164" t="s">
        <v>1558</v>
      </c>
      <c r="G35" s="164" t="s">
        <v>78</v>
      </c>
      <c r="H35" s="162" t="s">
        <v>88</v>
      </c>
      <c r="I35" s="162" t="s">
        <v>1124</v>
      </c>
      <c r="J35" s="163" t="s">
        <v>1589</v>
      </c>
      <c r="K35" s="212">
        <v>6.5</v>
      </c>
      <c r="L35" s="212">
        <v>1.2000000000000002</v>
      </c>
      <c r="M35" s="212">
        <v>4.4000000000000004</v>
      </c>
      <c r="N35" s="212">
        <v>0.89999999999999991</v>
      </c>
      <c r="O35" s="212">
        <v>2</v>
      </c>
      <c r="P35" s="166">
        <v>0.25593750000000004</v>
      </c>
      <c r="Q35" s="167">
        <f>IF(P35&gt;'3X3 Data'!$D$9,3,IF(P35&gt;'3X3 Data'!$D$10,2,IF(P35&lt;'3X3 Data'!$D$11,1)))</f>
        <v>2</v>
      </c>
      <c r="R35" s="166">
        <v>0.55000000000000004</v>
      </c>
      <c r="S35" s="165">
        <v>135.34927931731261</v>
      </c>
      <c r="T35" s="165">
        <v>34.640956175274702</v>
      </c>
      <c r="U35" s="165">
        <v>-4.7867022719003192</v>
      </c>
      <c r="V35" s="165">
        <v>130.5625770454123</v>
      </c>
      <c r="W35" s="165">
        <v>29.854253903374385</v>
      </c>
      <c r="X35" s="168">
        <f>IF(W35&gt;'3X3 Data'!$J$9,3,IF(W35&gt;'3X3 Data'!$J$10,2,IF(W35&lt;'3X3 Data'!$J$11,1)))</f>
        <v>2</v>
      </c>
      <c r="Y35" s="169">
        <v>23.314745900966479</v>
      </c>
      <c r="Z35" s="169">
        <v>5.3311167684597107</v>
      </c>
      <c r="AA35" s="168">
        <f>IF(Z35&gt;'3X3 Data'!$J$15,3,IF(Z35&gt;'3X3 Data'!$J$16,2,IF(Z35&lt;'3X3 Data'!$J$17,1)))</f>
        <v>2</v>
      </c>
      <c r="AB35" s="165">
        <f t="shared" ref="AB35:AB36" si="5">(2*AA35+X35)/3</f>
        <v>2</v>
      </c>
      <c r="AC35" s="168">
        <f t="shared" ref="AC35:AC36" si="6">ROUND(AB35,)</f>
        <v>2</v>
      </c>
      <c r="AD35" s="206">
        <v>27.276101505594372</v>
      </c>
      <c r="AE35" s="206">
        <v>6.2369147290880607</v>
      </c>
      <c r="AF35" s="226">
        <v>59.064647704432623</v>
      </c>
      <c r="AG35" s="246">
        <v>1.9784332207932562</v>
      </c>
      <c r="AH35" s="226">
        <v>135.34927931731261</v>
      </c>
      <c r="AI35" s="226">
        <v>0</v>
      </c>
      <c r="AJ35" s="226">
        <v>0</v>
      </c>
      <c r="AK35" s="226">
        <v>0</v>
      </c>
      <c r="AL35" s="226">
        <v>135.34927931731261</v>
      </c>
      <c r="AM35" s="226">
        <v>0</v>
      </c>
      <c r="AN35" s="226">
        <v>0</v>
      </c>
      <c r="AO35" s="226">
        <v>0</v>
      </c>
      <c r="AP35" s="226">
        <v>0</v>
      </c>
      <c r="AQ35" s="226">
        <v>0</v>
      </c>
      <c r="AR35" s="226">
        <v>0</v>
      </c>
      <c r="AS35" s="226">
        <v>34.640956175274702</v>
      </c>
      <c r="AT35" s="226">
        <v>0</v>
      </c>
      <c r="AU35" s="226">
        <v>0</v>
      </c>
      <c r="AV35" s="226">
        <v>0</v>
      </c>
      <c r="AW35" s="226">
        <v>34.640956175274702</v>
      </c>
      <c r="AX35" s="226">
        <v>0</v>
      </c>
      <c r="AY35" s="226">
        <v>0</v>
      </c>
      <c r="AZ35" s="226">
        <v>0</v>
      </c>
      <c r="BA35" s="226">
        <v>0</v>
      </c>
      <c r="BB35" s="226">
        <v>0</v>
      </c>
      <c r="BC35" s="226">
        <v>0</v>
      </c>
      <c r="BD35" s="226">
        <v>6.5</v>
      </c>
      <c r="BE35" s="226">
        <v>0</v>
      </c>
      <c r="BF35" s="226">
        <v>0.8</v>
      </c>
      <c r="BG35" s="226">
        <v>1.7</v>
      </c>
      <c r="BH35" s="226">
        <v>2.6</v>
      </c>
      <c r="BI35" s="226">
        <v>1.2000000000000002</v>
      </c>
      <c r="BJ35" s="226">
        <v>0.2</v>
      </c>
      <c r="BK35" s="226">
        <v>0</v>
      </c>
      <c r="BL35" s="226">
        <v>0</v>
      </c>
      <c r="BM35" s="226">
        <v>0</v>
      </c>
      <c r="BN35" s="226">
        <v>0</v>
      </c>
      <c r="BO35" s="226">
        <v>1.2000000000000002</v>
      </c>
      <c r="BP35" s="226">
        <v>0</v>
      </c>
      <c r="BQ35" s="226">
        <v>0.2</v>
      </c>
      <c r="BR35" s="226">
        <v>0.2</v>
      </c>
      <c r="BS35" s="226">
        <v>0.4</v>
      </c>
      <c r="BT35" s="226">
        <v>0.4</v>
      </c>
      <c r="BU35" s="226">
        <v>0</v>
      </c>
      <c r="BV35" s="226">
        <v>0</v>
      </c>
      <c r="BW35" s="226">
        <v>0</v>
      </c>
      <c r="BX35" s="226">
        <v>0</v>
      </c>
      <c r="BY35" s="226">
        <v>0</v>
      </c>
      <c r="BZ35" s="226">
        <v>4.4000000000000004</v>
      </c>
      <c r="CA35" s="226">
        <v>0</v>
      </c>
      <c r="CB35" s="226">
        <v>0.6</v>
      </c>
      <c r="CC35" s="226">
        <v>1.2</v>
      </c>
      <c r="CD35" s="226">
        <v>1.6</v>
      </c>
      <c r="CE35" s="226">
        <v>0.8</v>
      </c>
      <c r="CF35" s="227">
        <v>0.2</v>
      </c>
      <c r="CG35" s="227">
        <v>0</v>
      </c>
      <c r="CH35" s="227">
        <v>0</v>
      </c>
      <c r="CI35" s="227">
        <v>0</v>
      </c>
      <c r="CJ35" s="227">
        <v>0</v>
      </c>
      <c r="CK35" s="227">
        <v>0.89999999999999991</v>
      </c>
      <c r="CL35" s="227">
        <v>0</v>
      </c>
      <c r="CM35" s="227">
        <v>0</v>
      </c>
      <c r="CN35" s="227">
        <v>0.3</v>
      </c>
      <c r="CO35" s="227">
        <v>0.6</v>
      </c>
      <c r="CP35" s="227">
        <v>0</v>
      </c>
      <c r="CQ35" s="227">
        <v>0</v>
      </c>
      <c r="CR35" s="227">
        <v>0</v>
      </c>
      <c r="CS35" s="227">
        <v>0</v>
      </c>
      <c r="CT35" s="227">
        <v>0</v>
      </c>
      <c r="CU35" s="227">
        <v>0</v>
      </c>
      <c r="CV35" s="227" t="s">
        <v>1128</v>
      </c>
      <c r="CW35" s="227" t="s">
        <v>1128</v>
      </c>
      <c r="CX35" s="227" t="s">
        <v>1128</v>
      </c>
      <c r="CY35" s="227" t="s">
        <v>1128</v>
      </c>
      <c r="CZ35" s="227">
        <v>2</v>
      </c>
      <c r="DA35" s="227">
        <v>2</v>
      </c>
      <c r="DB35" s="227">
        <v>2</v>
      </c>
      <c r="DC35" s="227">
        <v>2</v>
      </c>
      <c r="DD35" s="229" t="s">
        <v>1590</v>
      </c>
      <c r="DE35" s="229" t="s">
        <v>1591</v>
      </c>
      <c r="DF35" s="229" t="s">
        <v>1592</v>
      </c>
      <c r="DG35" s="229" t="s">
        <v>1593</v>
      </c>
      <c r="DH35" s="228">
        <v>0.65</v>
      </c>
      <c r="DI35" s="228">
        <v>1</v>
      </c>
      <c r="DJ35" s="228">
        <v>0.75</v>
      </c>
      <c r="DK35" s="228">
        <v>0.70000000000000007</v>
      </c>
      <c r="DL35" s="228">
        <v>0.75</v>
      </c>
      <c r="DM35" s="230" t="s">
        <v>1594</v>
      </c>
      <c r="DN35" s="230" t="s">
        <v>1595</v>
      </c>
      <c r="DO35" s="230" t="s">
        <v>1596</v>
      </c>
      <c r="DP35" s="230" t="s">
        <v>1597</v>
      </c>
      <c r="DQ35" s="230" t="s">
        <v>1598</v>
      </c>
      <c r="DR35" s="228">
        <v>0.55000000000000004</v>
      </c>
      <c r="DS35" s="228">
        <v>0</v>
      </c>
      <c r="DT35" s="228">
        <v>0</v>
      </c>
      <c r="DU35" s="228">
        <v>0</v>
      </c>
      <c r="DV35" s="228">
        <v>5.0000000000000001E-3</v>
      </c>
      <c r="DW35" s="228">
        <v>0</v>
      </c>
      <c r="DX35" s="228">
        <v>0</v>
      </c>
      <c r="DY35" s="228">
        <v>0</v>
      </c>
      <c r="DZ35" s="228">
        <v>0</v>
      </c>
      <c r="EA35" s="228">
        <v>0</v>
      </c>
      <c r="EB35" s="228">
        <v>0</v>
      </c>
      <c r="EC35" s="230" t="s">
        <v>1599</v>
      </c>
      <c r="ED35" s="230" t="s">
        <v>1600</v>
      </c>
      <c r="EE35" s="230" t="s">
        <v>1601</v>
      </c>
      <c r="EF35" s="230" t="s">
        <v>1602</v>
      </c>
      <c r="EG35" s="230" t="s">
        <v>1603</v>
      </c>
      <c r="EH35" s="230" t="s">
        <v>1604</v>
      </c>
      <c r="EI35" s="230" t="s">
        <v>1605</v>
      </c>
      <c r="EJ35" s="230" t="s">
        <v>1605</v>
      </c>
      <c r="EK35" s="230" t="s">
        <v>1604</v>
      </c>
      <c r="EL35" s="230" t="s">
        <v>1606</v>
      </c>
      <c r="EM35" s="230" t="s">
        <v>1607</v>
      </c>
      <c r="EN35" s="228">
        <v>1</v>
      </c>
      <c r="EO35" s="228">
        <v>1</v>
      </c>
      <c r="EP35" s="228">
        <v>1</v>
      </c>
      <c r="EQ35" s="228">
        <v>1</v>
      </c>
      <c r="ER35" s="228">
        <v>1</v>
      </c>
      <c r="ES35" s="228">
        <v>1</v>
      </c>
      <c r="ET35" s="228">
        <v>1</v>
      </c>
      <c r="EU35" s="230" t="s">
        <v>1313</v>
      </c>
      <c r="EV35" s="228">
        <v>44053</v>
      </c>
      <c r="EW35" s="228">
        <v>1</v>
      </c>
      <c r="EX35" s="228">
        <v>1</v>
      </c>
      <c r="EY35" s="228">
        <v>1</v>
      </c>
      <c r="EZ35" s="228">
        <v>1</v>
      </c>
      <c r="FA35" s="228">
        <v>1</v>
      </c>
      <c r="FB35" s="228">
        <v>1</v>
      </c>
      <c r="FC35" s="228">
        <v>1</v>
      </c>
      <c r="FD35" s="228">
        <v>1</v>
      </c>
      <c r="FE35" s="228">
        <v>1</v>
      </c>
      <c r="FF35" s="230" t="s">
        <v>1608</v>
      </c>
      <c r="FG35" s="228">
        <v>43993</v>
      </c>
    </row>
    <row r="36" spans="1:163" ht="12" customHeight="1">
      <c r="A36" s="210" t="s">
        <v>1123</v>
      </c>
      <c r="B36" s="201" t="str">
        <f t="shared" si="0"/>
        <v>15893-G4010813</v>
      </c>
      <c r="C36" s="202">
        <v>15893</v>
      </c>
      <c r="D36" s="202" t="s">
        <v>1609</v>
      </c>
      <c r="E36" s="163" t="s">
        <v>927</v>
      </c>
      <c r="F36" s="164" t="s">
        <v>292</v>
      </c>
      <c r="G36" s="164" t="s">
        <v>78</v>
      </c>
      <c r="H36" s="162" t="s">
        <v>88</v>
      </c>
      <c r="I36" s="162" t="s">
        <v>1206</v>
      </c>
      <c r="J36" s="163" t="s">
        <v>1610</v>
      </c>
      <c r="K36" s="212">
        <v>2.86</v>
      </c>
      <c r="L36" s="212">
        <v>1.25</v>
      </c>
      <c r="M36" s="212">
        <v>1.6099999999999999</v>
      </c>
      <c r="N36" s="212">
        <v>0</v>
      </c>
      <c r="O36" s="212">
        <v>2.5</v>
      </c>
      <c r="P36" s="166">
        <v>0.72000000000000008</v>
      </c>
      <c r="Q36" s="167">
        <f>IF(P36&gt;'3X3 Data'!$D$9,3,IF(P36&gt;'3X3 Data'!$D$10,2,IF(P36&lt;'3X3 Data'!$D$11,1)))</f>
        <v>3</v>
      </c>
      <c r="R36" s="166">
        <v>0.5</v>
      </c>
      <c r="S36" s="165">
        <v>49.727291660842951</v>
      </c>
      <c r="T36" s="165">
        <v>35.803649995806929</v>
      </c>
      <c r="U36" s="165">
        <v>-2.3010335680751175</v>
      </c>
      <c r="V36" s="165">
        <v>47.426258092767831</v>
      </c>
      <c r="W36" s="165">
        <v>33.502616427731809</v>
      </c>
      <c r="X36" s="168">
        <f>IF(W36&gt;'3X3 Data'!$J$9,3,IF(W36&gt;'3X3 Data'!$J$10,2,IF(W36&lt;'3X3 Data'!$J$11,1)))</f>
        <v>2</v>
      </c>
      <c r="Y36" s="169">
        <v>16.582607724743998</v>
      </c>
      <c r="Z36" s="169">
        <v>11.714201548157975</v>
      </c>
      <c r="AA36" s="168">
        <f>IF(Z36&gt;'3X3 Data'!$J$15,3,IF(Z36&gt;'3X3 Data'!$J$16,2,IF(Z36&lt;'3X3 Data'!$J$17,1)))</f>
        <v>3</v>
      </c>
      <c r="AB36" s="165">
        <f t="shared" si="5"/>
        <v>2.6666666666666665</v>
      </c>
      <c r="AC36" s="168">
        <f t="shared" si="6"/>
        <v>3</v>
      </c>
      <c r="AD36" s="206">
        <v>20.6108501634947</v>
      </c>
      <c r="AE36" s="206">
        <v>14.559812117716186</v>
      </c>
      <c r="AF36" s="226">
        <v>22.32749858004663</v>
      </c>
      <c r="AG36" s="246">
        <v>0.66644044438168215</v>
      </c>
      <c r="AH36" s="226">
        <v>49.727291660842951</v>
      </c>
      <c r="AI36" s="226">
        <v>27.556944140633181</v>
      </c>
      <c r="AJ36" s="226">
        <v>22.170347520209774</v>
      </c>
      <c r="AK36" s="226">
        <v>0</v>
      </c>
      <c r="AL36" s="226">
        <v>0</v>
      </c>
      <c r="AM36" s="226">
        <v>0</v>
      </c>
      <c r="AN36" s="226">
        <v>0</v>
      </c>
      <c r="AO36" s="226">
        <v>0</v>
      </c>
      <c r="AP36" s="226">
        <v>0</v>
      </c>
      <c r="AQ36" s="226">
        <v>0</v>
      </c>
      <c r="AR36" s="226">
        <v>0</v>
      </c>
      <c r="AS36" s="226">
        <v>35.803649995806929</v>
      </c>
      <c r="AT36" s="226">
        <v>19.840999781255892</v>
      </c>
      <c r="AU36" s="226">
        <v>15.962650214551038</v>
      </c>
      <c r="AV36" s="226">
        <v>0</v>
      </c>
      <c r="AW36" s="226">
        <v>0</v>
      </c>
      <c r="AX36" s="226">
        <v>0</v>
      </c>
      <c r="AY36" s="226">
        <v>0</v>
      </c>
      <c r="AZ36" s="226">
        <v>0</v>
      </c>
      <c r="BA36" s="226">
        <v>0</v>
      </c>
      <c r="BB36" s="226">
        <v>0</v>
      </c>
      <c r="BC36" s="226">
        <v>0</v>
      </c>
      <c r="BD36" s="226">
        <v>2.86</v>
      </c>
      <c r="BE36" s="226">
        <v>0</v>
      </c>
      <c r="BF36" s="226">
        <v>1.9775</v>
      </c>
      <c r="BG36" s="226">
        <v>0.88249999999999995</v>
      </c>
      <c r="BH36" s="226">
        <v>0</v>
      </c>
      <c r="BI36" s="226">
        <v>0</v>
      </c>
      <c r="BJ36" s="226">
        <v>0</v>
      </c>
      <c r="BK36" s="226">
        <v>0</v>
      </c>
      <c r="BL36" s="226">
        <v>0</v>
      </c>
      <c r="BM36" s="226">
        <v>0</v>
      </c>
      <c r="BN36" s="226">
        <v>0</v>
      </c>
      <c r="BO36" s="226">
        <v>1.25</v>
      </c>
      <c r="BP36" s="226">
        <v>0</v>
      </c>
      <c r="BQ36" s="226">
        <v>0.9375</v>
      </c>
      <c r="BR36" s="226">
        <v>0.3125</v>
      </c>
      <c r="BS36" s="226">
        <v>0</v>
      </c>
      <c r="BT36" s="226">
        <v>0</v>
      </c>
      <c r="BU36" s="226">
        <v>0</v>
      </c>
      <c r="BV36" s="226">
        <v>0</v>
      </c>
      <c r="BW36" s="226">
        <v>0</v>
      </c>
      <c r="BX36" s="226">
        <v>0</v>
      </c>
      <c r="BY36" s="226">
        <v>0</v>
      </c>
      <c r="BZ36" s="226">
        <v>1.6099999999999999</v>
      </c>
      <c r="CA36" s="226">
        <v>0</v>
      </c>
      <c r="CB36" s="226">
        <v>1.04</v>
      </c>
      <c r="CC36" s="226">
        <v>0.56999999999999995</v>
      </c>
      <c r="CD36" s="226">
        <v>0</v>
      </c>
      <c r="CE36" s="226">
        <v>0</v>
      </c>
      <c r="CF36" s="227">
        <v>0</v>
      </c>
      <c r="CG36" s="227">
        <v>0</v>
      </c>
      <c r="CH36" s="227">
        <v>0</v>
      </c>
      <c r="CI36" s="227">
        <v>0</v>
      </c>
      <c r="CJ36" s="227">
        <v>0</v>
      </c>
      <c r="CK36" s="227">
        <v>0</v>
      </c>
      <c r="CL36" s="227">
        <v>0</v>
      </c>
      <c r="CM36" s="227">
        <v>0</v>
      </c>
      <c r="CN36" s="227">
        <v>0</v>
      </c>
      <c r="CO36" s="227">
        <v>0</v>
      </c>
      <c r="CP36" s="227">
        <v>0</v>
      </c>
      <c r="CQ36" s="227">
        <v>0</v>
      </c>
      <c r="CR36" s="227">
        <v>0</v>
      </c>
      <c r="CS36" s="227">
        <v>0</v>
      </c>
      <c r="CT36" s="227">
        <v>0</v>
      </c>
      <c r="CU36" s="227">
        <v>0</v>
      </c>
      <c r="CV36" s="227" t="s">
        <v>1126</v>
      </c>
      <c r="CW36" s="227" t="s">
        <v>1126</v>
      </c>
      <c r="CX36" s="227" t="s">
        <v>1191</v>
      </c>
      <c r="CY36" s="227" t="s">
        <v>1126</v>
      </c>
      <c r="CZ36" s="227">
        <v>3</v>
      </c>
      <c r="DA36" s="227">
        <v>3</v>
      </c>
      <c r="DB36" s="227">
        <v>1</v>
      </c>
      <c r="DC36" s="227">
        <v>3</v>
      </c>
      <c r="DD36" s="229" t="s">
        <v>1611</v>
      </c>
      <c r="DE36" s="229" t="s">
        <v>1612</v>
      </c>
      <c r="DF36" s="229" t="s">
        <v>1613</v>
      </c>
      <c r="DG36" s="229" t="s">
        <v>1614</v>
      </c>
      <c r="DH36" s="228">
        <v>0.9</v>
      </c>
      <c r="DI36" s="228">
        <v>1</v>
      </c>
      <c r="DJ36" s="228">
        <v>1</v>
      </c>
      <c r="DK36" s="228">
        <v>1</v>
      </c>
      <c r="DL36" s="228">
        <v>0.8</v>
      </c>
      <c r="DM36" s="230" t="s">
        <v>1615</v>
      </c>
      <c r="DN36" s="230" t="s">
        <v>1616</v>
      </c>
      <c r="DO36" s="230" t="s">
        <v>1617</v>
      </c>
      <c r="DP36" s="230" t="s">
        <v>1618</v>
      </c>
      <c r="DQ36" s="230" t="s">
        <v>1619</v>
      </c>
      <c r="DR36" s="228">
        <v>0.5</v>
      </c>
      <c r="DS36" s="228">
        <v>1.219512E-2</v>
      </c>
      <c r="DT36" s="228">
        <v>1.123596E-2</v>
      </c>
      <c r="DU36" s="228">
        <v>0</v>
      </c>
      <c r="DV36" s="228">
        <v>0</v>
      </c>
      <c r="DW36" s="228">
        <v>0</v>
      </c>
      <c r="DX36" s="228">
        <v>0</v>
      </c>
      <c r="DY36" s="228">
        <v>0</v>
      </c>
      <c r="DZ36" s="228">
        <v>0</v>
      </c>
      <c r="EA36" s="228">
        <v>0</v>
      </c>
      <c r="EB36" s="228">
        <v>0</v>
      </c>
      <c r="EC36" s="230" t="s">
        <v>1620</v>
      </c>
      <c r="ED36" s="230" t="s">
        <v>1621</v>
      </c>
      <c r="EE36" s="230" t="s">
        <v>1622</v>
      </c>
      <c r="EF36" s="230" t="s">
        <v>49</v>
      </c>
      <c r="EG36" s="230" t="s">
        <v>49</v>
      </c>
      <c r="EH36" s="230" t="s">
        <v>49</v>
      </c>
      <c r="EI36" s="230" t="s">
        <v>49</v>
      </c>
      <c r="EJ36" s="230" t="s">
        <v>49</v>
      </c>
      <c r="EK36" s="230" t="s">
        <v>49</v>
      </c>
      <c r="EL36" s="230" t="s">
        <v>49</v>
      </c>
      <c r="EM36" s="230" t="s">
        <v>49</v>
      </c>
      <c r="EN36" s="228">
        <v>1</v>
      </c>
      <c r="EO36" s="228">
        <v>1</v>
      </c>
      <c r="EP36" s="228">
        <v>1</v>
      </c>
      <c r="EQ36" s="228">
        <v>1</v>
      </c>
      <c r="ER36" s="228">
        <v>1</v>
      </c>
      <c r="ES36" s="228">
        <v>0</v>
      </c>
      <c r="ET36" s="228">
        <v>0.83333333333333337</v>
      </c>
      <c r="EU36" s="230" t="s">
        <v>1157</v>
      </c>
      <c r="EV36" s="228">
        <v>44068</v>
      </c>
      <c r="EW36" s="228">
        <v>0</v>
      </c>
      <c r="EX36" s="228">
        <v>0</v>
      </c>
      <c r="EY36" s="228">
        <v>0</v>
      </c>
      <c r="EZ36" s="228">
        <v>0</v>
      </c>
      <c r="FA36" s="228">
        <v>0</v>
      </c>
      <c r="FB36" s="228">
        <v>0</v>
      </c>
      <c r="FC36" s="228">
        <v>0</v>
      </c>
      <c r="FD36" s="228">
        <v>0</v>
      </c>
      <c r="FE36" s="228">
        <v>0</v>
      </c>
      <c r="FF36" s="230" t="s">
        <v>49</v>
      </c>
      <c r="FG36" s="228" t="s">
        <v>49</v>
      </c>
    </row>
    <row r="37" spans="1:163" ht="12" customHeight="1">
      <c r="A37" s="210" t="s">
        <v>1123</v>
      </c>
      <c r="B37" s="201" t="str">
        <f t="shared" ref="B37:B40" si="7">C37&amp;"-"&amp;D37</f>
        <v>15706-G4010614</v>
      </c>
      <c r="C37" s="202">
        <v>15706</v>
      </c>
      <c r="D37" s="202" t="s">
        <v>1623</v>
      </c>
      <c r="E37" s="163" t="s">
        <v>1624</v>
      </c>
      <c r="F37" s="164" t="s">
        <v>292</v>
      </c>
      <c r="G37" s="164" t="s">
        <v>78</v>
      </c>
      <c r="H37" s="162" t="s">
        <v>88</v>
      </c>
      <c r="I37" s="162" t="s">
        <v>1206</v>
      </c>
      <c r="J37" s="163" t="s">
        <v>1625</v>
      </c>
      <c r="K37" s="212">
        <v>1.45</v>
      </c>
      <c r="L37" s="212">
        <v>0.15000000000000002</v>
      </c>
      <c r="M37" s="212">
        <v>1.2999999999999998</v>
      </c>
      <c r="N37" s="212">
        <v>0</v>
      </c>
      <c r="O37" s="212">
        <v>2.75</v>
      </c>
      <c r="P37" s="166">
        <v>0.61560000000000015</v>
      </c>
      <c r="Q37" s="167">
        <f>IF(P37&gt;'3X3 Data'!$D$9,3,IF(P37&gt;'3X3 Data'!$D$10,2,IF(P37&lt;'3X3 Data'!$D$11,1)))</f>
        <v>3</v>
      </c>
      <c r="R37" s="166">
        <v>1</v>
      </c>
      <c r="S37" s="165">
        <v>13.812120427757703</v>
      </c>
      <c r="T37" s="165">
        <v>8.5027413353276433</v>
      </c>
      <c r="U37" s="165">
        <v>-1.1489624413145541</v>
      </c>
      <c r="V37" s="165">
        <v>12.663157986443149</v>
      </c>
      <c r="W37" s="165">
        <v>7.3537788940130895</v>
      </c>
      <c r="X37" s="168">
        <f>IF(W37&gt;'3X3 Data'!$J$9,3,IF(W37&gt;'3X3 Data'!$J$10,2,IF(W37&lt;'3X3 Data'!$J$11,1)))</f>
        <v>2</v>
      </c>
      <c r="Y37" s="169">
        <v>8.7332124044435524</v>
      </c>
      <c r="Z37" s="169">
        <v>5.0715716510435112</v>
      </c>
      <c r="AA37" s="168">
        <f>IF(Z37&gt;'3X3 Data'!$J$15,3,IF(Z37&gt;'3X3 Data'!$J$16,2,IF(Z37&lt;'3X3 Data'!$J$17,1)))</f>
        <v>2</v>
      </c>
      <c r="AB37" s="165">
        <f t="shared" ref="AB37:AB40" si="8">(2*AA37+X37)/3</f>
        <v>2</v>
      </c>
      <c r="AC37" s="168">
        <f t="shared" ref="AC37:AC40" si="9">ROUND(AB37,)</f>
        <v>2</v>
      </c>
      <c r="AD37" s="206">
        <v>11.021385496252552</v>
      </c>
      <c r="AE37" s="206">
        <v>6.4003649114930719</v>
      </c>
      <c r="AF37" s="226">
        <v>6.7189491048920313</v>
      </c>
      <c r="AG37" s="246">
        <v>0.91367298388072415</v>
      </c>
      <c r="AH37" s="226">
        <v>13.812120427757703</v>
      </c>
      <c r="AI37" s="226">
        <v>0</v>
      </c>
      <c r="AJ37" s="226">
        <v>13.812120427757703</v>
      </c>
      <c r="AK37" s="226">
        <v>0</v>
      </c>
      <c r="AL37" s="226">
        <v>0</v>
      </c>
      <c r="AM37" s="226">
        <v>0</v>
      </c>
      <c r="AN37" s="226">
        <v>0</v>
      </c>
      <c r="AO37" s="226">
        <v>0</v>
      </c>
      <c r="AP37" s="226">
        <v>0</v>
      </c>
      <c r="AQ37" s="226">
        <v>0</v>
      </c>
      <c r="AR37" s="226">
        <v>0</v>
      </c>
      <c r="AS37" s="226">
        <v>8.5027413353276433</v>
      </c>
      <c r="AT37" s="226">
        <v>0</v>
      </c>
      <c r="AU37" s="226">
        <v>8.5027413353276433</v>
      </c>
      <c r="AV37" s="226">
        <v>0</v>
      </c>
      <c r="AW37" s="226">
        <v>0</v>
      </c>
      <c r="AX37" s="226">
        <v>0</v>
      </c>
      <c r="AY37" s="226">
        <v>0</v>
      </c>
      <c r="AZ37" s="226">
        <v>0</v>
      </c>
      <c r="BA37" s="226">
        <v>0</v>
      </c>
      <c r="BB37" s="226">
        <v>0</v>
      </c>
      <c r="BC37" s="226">
        <v>0</v>
      </c>
      <c r="BD37" s="226">
        <v>1.45</v>
      </c>
      <c r="BE37" s="226">
        <v>0</v>
      </c>
      <c r="BF37" s="226">
        <v>0.65</v>
      </c>
      <c r="BG37" s="226">
        <v>0.79999999999999993</v>
      </c>
      <c r="BH37" s="226">
        <v>0</v>
      </c>
      <c r="BI37" s="226">
        <v>0</v>
      </c>
      <c r="BJ37" s="226">
        <v>0</v>
      </c>
      <c r="BK37" s="226">
        <v>0</v>
      </c>
      <c r="BL37" s="226">
        <v>0</v>
      </c>
      <c r="BM37" s="226">
        <v>0</v>
      </c>
      <c r="BN37" s="226">
        <v>0</v>
      </c>
      <c r="BO37" s="226">
        <v>0.15000000000000002</v>
      </c>
      <c r="BP37" s="226">
        <v>0</v>
      </c>
      <c r="BQ37" s="226">
        <v>0.05</v>
      </c>
      <c r="BR37" s="226">
        <v>0.1</v>
      </c>
      <c r="BS37" s="226">
        <v>0</v>
      </c>
      <c r="BT37" s="226">
        <v>0</v>
      </c>
      <c r="BU37" s="226">
        <v>0</v>
      </c>
      <c r="BV37" s="226">
        <v>0</v>
      </c>
      <c r="BW37" s="226">
        <v>0</v>
      </c>
      <c r="BX37" s="226">
        <v>0</v>
      </c>
      <c r="BY37" s="226">
        <v>0</v>
      </c>
      <c r="BZ37" s="226">
        <v>1.2999999999999998</v>
      </c>
      <c r="CA37" s="226">
        <v>0</v>
      </c>
      <c r="CB37" s="226">
        <v>0.6</v>
      </c>
      <c r="CC37" s="226">
        <v>0.7</v>
      </c>
      <c r="CD37" s="226">
        <v>0</v>
      </c>
      <c r="CE37" s="226">
        <v>0</v>
      </c>
      <c r="CF37" s="227">
        <v>0</v>
      </c>
      <c r="CG37" s="227">
        <v>0</v>
      </c>
      <c r="CH37" s="227">
        <v>0</v>
      </c>
      <c r="CI37" s="227">
        <v>0</v>
      </c>
      <c r="CJ37" s="227">
        <v>0</v>
      </c>
      <c r="CK37" s="227">
        <v>0</v>
      </c>
      <c r="CL37" s="227">
        <v>0</v>
      </c>
      <c r="CM37" s="227">
        <v>0</v>
      </c>
      <c r="CN37" s="227">
        <v>0</v>
      </c>
      <c r="CO37" s="227">
        <v>0</v>
      </c>
      <c r="CP37" s="227">
        <v>0</v>
      </c>
      <c r="CQ37" s="227">
        <v>0</v>
      </c>
      <c r="CR37" s="227">
        <v>0</v>
      </c>
      <c r="CS37" s="227">
        <v>0</v>
      </c>
      <c r="CT37" s="227">
        <v>0</v>
      </c>
      <c r="CU37" s="227">
        <v>0</v>
      </c>
      <c r="CV37" s="227" t="s">
        <v>1126</v>
      </c>
      <c r="CW37" s="227" t="s">
        <v>1126</v>
      </c>
      <c r="CX37" s="227" t="s">
        <v>1126</v>
      </c>
      <c r="CY37" s="227" t="s">
        <v>1128</v>
      </c>
      <c r="CZ37" s="227">
        <v>3</v>
      </c>
      <c r="DA37" s="227">
        <v>3</v>
      </c>
      <c r="DB37" s="227">
        <v>3</v>
      </c>
      <c r="DC37" s="227">
        <v>2</v>
      </c>
      <c r="DD37" s="229" t="s">
        <v>1626</v>
      </c>
      <c r="DE37" s="229" t="s">
        <v>1627</v>
      </c>
      <c r="DF37" s="229" t="s">
        <v>1628</v>
      </c>
      <c r="DG37" s="229" t="s">
        <v>1629</v>
      </c>
      <c r="DH37" s="228">
        <v>0.9</v>
      </c>
      <c r="DI37" s="228">
        <v>1</v>
      </c>
      <c r="DJ37" s="228">
        <v>0.9</v>
      </c>
      <c r="DK37" s="228">
        <v>0.95000000000000007</v>
      </c>
      <c r="DL37" s="228">
        <v>0.8</v>
      </c>
      <c r="DM37" s="230" t="s">
        <v>1630</v>
      </c>
      <c r="DN37" s="230" t="s">
        <v>1631</v>
      </c>
      <c r="DO37" s="230" t="s">
        <v>1632</v>
      </c>
      <c r="DP37" s="230" t="s">
        <v>1633</v>
      </c>
      <c r="DQ37" s="230" t="s">
        <v>1634</v>
      </c>
      <c r="DR37" s="228">
        <v>1</v>
      </c>
      <c r="DS37" s="228">
        <v>0</v>
      </c>
      <c r="DT37" s="228">
        <v>3.5000000000000001E-3</v>
      </c>
      <c r="DU37" s="228">
        <v>0</v>
      </c>
      <c r="DV37" s="228">
        <v>0</v>
      </c>
      <c r="DW37" s="228">
        <v>0</v>
      </c>
      <c r="DX37" s="228">
        <v>0</v>
      </c>
      <c r="DY37" s="228">
        <v>0</v>
      </c>
      <c r="DZ37" s="228">
        <v>0</v>
      </c>
      <c r="EA37" s="228">
        <v>0</v>
      </c>
      <c r="EB37" s="228">
        <v>0</v>
      </c>
      <c r="EC37" s="230" t="s">
        <v>1635</v>
      </c>
      <c r="ED37" s="230" t="s">
        <v>49</v>
      </c>
      <c r="EE37" s="230" t="s">
        <v>1636</v>
      </c>
      <c r="EF37" s="230" t="s">
        <v>49</v>
      </c>
      <c r="EG37" s="230" t="s">
        <v>1637</v>
      </c>
      <c r="EH37" s="230" t="s">
        <v>49</v>
      </c>
      <c r="EI37" s="230" t="s">
        <v>1638</v>
      </c>
      <c r="EJ37" s="230" t="s">
        <v>49</v>
      </c>
      <c r="EK37" s="230" t="s">
        <v>49</v>
      </c>
      <c r="EL37" s="230" t="s">
        <v>49</v>
      </c>
      <c r="EM37" s="230" t="s">
        <v>49</v>
      </c>
      <c r="EN37" s="228">
        <v>1</v>
      </c>
      <c r="EO37" s="228">
        <v>1</v>
      </c>
      <c r="EP37" s="228">
        <v>1</v>
      </c>
      <c r="EQ37" s="228">
        <v>1</v>
      </c>
      <c r="ER37" s="228">
        <v>1</v>
      </c>
      <c r="ES37" s="228">
        <v>0</v>
      </c>
      <c r="ET37" s="228">
        <v>0.83333333333333337</v>
      </c>
      <c r="EU37" s="230" t="s">
        <v>343</v>
      </c>
      <c r="EV37" s="228">
        <v>44052</v>
      </c>
      <c r="EW37" s="228">
        <v>0</v>
      </c>
      <c r="EX37" s="228">
        <v>0</v>
      </c>
      <c r="EY37" s="228">
        <v>0</v>
      </c>
      <c r="EZ37" s="228">
        <v>0</v>
      </c>
      <c r="FA37" s="228">
        <v>0</v>
      </c>
      <c r="FB37" s="228">
        <v>0</v>
      </c>
      <c r="FC37" s="228">
        <v>0</v>
      </c>
      <c r="FD37" s="228">
        <v>0</v>
      </c>
      <c r="FE37" s="228">
        <v>0</v>
      </c>
      <c r="FF37" s="230" t="s">
        <v>49</v>
      </c>
      <c r="FG37" s="228" t="s">
        <v>49</v>
      </c>
    </row>
    <row r="38" spans="1:163" ht="12" customHeight="1">
      <c r="A38" s="210" t="s">
        <v>1123</v>
      </c>
      <c r="B38" s="201" t="str">
        <f t="shared" si="7"/>
        <v>15522-G4010555</v>
      </c>
      <c r="C38" s="202">
        <v>15522</v>
      </c>
      <c r="D38" s="202" t="s">
        <v>1639</v>
      </c>
      <c r="E38" s="163" t="s">
        <v>1640</v>
      </c>
      <c r="F38" s="164" t="s">
        <v>81</v>
      </c>
      <c r="G38" s="164" t="s">
        <v>78</v>
      </c>
      <c r="H38" s="162" t="s">
        <v>88</v>
      </c>
      <c r="I38" s="162" t="s">
        <v>1124</v>
      </c>
      <c r="J38" s="163" t="s">
        <v>1641</v>
      </c>
      <c r="K38" s="212">
        <v>8.3200000000000021</v>
      </c>
      <c r="L38" s="212">
        <v>1.3</v>
      </c>
      <c r="M38" s="212">
        <v>4.45</v>
      </c>
      <c r="N38" s="212">
        <v>2.57</v>
      </c>
      <c r="O38" s="212">
        <v>2.5</v>
      </c>
      <c r="P38" s="166">
        <v>0.30010500000000007</v>
      </c>
      <c r="Q38" s="167">
        <f>IF(P38&gt;'3X3 Data'!$D$9,3,IF(P38&gt;'3X3 Data'!$D$10,2,IF(P38&lt;'3X3 Data'!$D$11,1)))</f>
        <v>2</v>
      </c>
      <c r="R38" s="166">
        <v>0.15</v>
      </c>
      <c r="S38" s="165">
        <v>369.13439813812522</v>
      </c>
      <c r="T38" s="165">
        <v>110.77907855324209</v>
      </c>
      <c r="U38" s="165">
        <v>-6.1027008150180624</v>
      </c>
      <c r="V38" s="165">
        <v>363.03169732310715</v>
      </c>
      <c r="W38" s="165">
        <v>104.67637773822402</v>
      </c>
      <c r="X38" s="168">
        <f>IF(W38&gt;'3X3 Data'!$J$9,3,IF(W38&gt;'3X3 Data'!$J$10,2,IF(W38&lt;'3X3 Data'!$J$11,1)))</f>
        <v>3</v>
      </c>
      <c r="Y38" s="169">
        <v>63.135947360540378</v>
      </c>
      <c r="Z38" s="169">
        <v>18.204587432734613</v>
      </c>
      <c r="AA38" s="168">
        <f>IF(Z38&gt;'3X3 Data'!$J$15,3,IF(Z38&gt;'3X3 Data'!$J$16,2,IF(Z38&lt;'3X3 Data'!$J$17,1)))</f>
        <v>3</v>
      </c>
      <c r="AB38" s="165">
        <f t="shared" ref="AB38" si="10">(2*AA38+X38)/3</f>
        <v>3</v>
      </c>
      <c r="AC38" s="168">
        <f t="shared" ref="AC38" si="11">ROUND(AB38,)</f>
        <v>3</v>
      </c>
      <c r="AD38" s="206">
        <v>59.487054720055561</v>
      </c>
      <c r="AE38" s="206">
        <v>17.152467556762275</v>
      </c>
      <c r="AF38" s="226">
        <v>169.17554268552453</v>
      </c>
      <c r="AG38" s="246">
        <v>1.6161768905359031</v>
      </c>
      <c r="AH38" s="226">
        <v>369.13439813812522</v>
      </c>
      <c r="AI38" s="226">
        <v>0</v>
      </c>
      <c r="AJ38" s="226">
        <v>0</v>
      </c>
      <c r="AK38" s="226">
        <v>0</v>
      </c>
      <c r="AL38" s="226">
        <v>369.13439813812522</v>
      </c>
      <c r="AM38" s="226">
        <v>0</v>
      </c>
      <c r="AN38" s="226">
        <v>0</v>
      </c>
      <c r="AO38" s="226">
        <v>0</v>
      </c>
      <c r="AP38" s="226">
        <v>0</v>
      </c>
      <c r="AQ38" s="226">
        <v>0</v>
      </c>
      <c r="AR38" s="226">
        <v>0</v>
      </c>
      <c r="AS38" s="226">
        <v>110.77907855324209</v>
      </c>
      <c r="AT38" s="226">
        <v>0</v>
      </c>
      <c r="AU38" s="226">
        <v>0</v>
      </c>
      <c r="AV38" s="226">
        <v>0</v>
      </c>
      <c r="AW38" s="226">
        <v>110.77907855324209</v>
      </c>
      <c r="AX38" s="226">
        <v>0</v>
      </c>
      <c r="AY38" s="226">
        <v>0</v>
      </c>
      <c r="AZ38" s="226">
        <v>0</v>
      </c>
      <c r="BA38" s="226">
        <v>0</v>
      </c>
      <c r="BB38" s="226">
        <v>0</v>
      </c>
      <c r="BC38" s="226">
        <v>0</v>
      </c>
      <c r="BD38" s="226">
        <v>8.3200000000000021</v>
      </c>
      <c r="BE38" s="226">
        <v>0</v>
      </c>
      <c r="BF38" s="226">
        <v>1.8900000000000001</v>
      </c>
      <c r="BG38" s="226">
        <v>2.83</v>
      </c>
      <c r="BH38" s="226">
        <v>0.9</v>
      </c>
      <c r="BI38" s="226">
        <v>0.9</v>
      </c>
      <c r="BJ38" s="226">
        <v>0.9</v>
      </c>
      <c r="BK38" s="226">
        <v>0.9</v>
      </c>
      <c r="BL38" s="226">
        <v>0</v>
      </c>
      <c r="BM38" s="226">
        <v>0</v>
      </c>
      <c r="BN38" s="226">
        <v>0</v>
      </c>
      <c r="BO38" s="226">
        <v>1.3</v>
      </c>
      <c r="BP38" s="226">
        <v>0</v>
      </c>
      <c r="BQ38" s="226">
        <v>1.3</v>
      </c>
      <c r="BR38" s="226">
        <v>0</v>
      </c>
      <c r="BS38" s="226">
        <v>0</v>
      </c>
      <c r="BT38" s="226">
        <v>0</v>
      </c>
      <c r="BU38" s="226">
        <v>0</v>
      </c>
      <c r="BV38" s="226">
        <v>0</v>
      </c>
      <c r="BW38" s="226">
        <v>0</v>
      </c>
      <c r="BX38" s="226">
        <v>0</v>
      </c>
      <c r="BY38" s="226">
        <v>0</v>
      </c>
      <c r="BZ38" s="226">
        <v>4.45</v>
      </c>
      <c r="CA38" s="226">
        <v>0</v>
      </c>
      <c r="CB38" s="226">
        <v>0.32</v>
      </c>
      <c r="CC38" s="226">
        <v>0.53</v>
      </c>
      <c r="CD38" s="226">
        <v>0.9</v>
      </c>
      <c r="CE38" s="226">
        <v>0.9</v>
      </c>
      <c r="CF38" s="227">
        <v>0.9</v>
      </c>
      <c r="CG38" s="227">
        <v>0.9</v>
      </c>
      <c r="CH38" s="227">
        <v>0</v>
      </c>
      <c r="CI38" s="227">
        <v>0</v>
      </c>
      <c r="CJ38" s="227">
        <v>0</v>
      </c>
      <c r="CK38" s="227">
        <v>2.57</v>
      </c>
      <c r="CL38" s="227">
        <v>0</v>
      </c>
      <c r="CM38" s="227">
        <v>0.27</v>
      </c>
      <c r="CN38" s="227">
        <v>2.2999999999999998</v>
      </c>
      <c r="CO38" s="227">
        <v>0</v>
      </c>
      <c r="CP38" s="227">
        <v>0</v>
      </c>
      <c r="CQ38" s="227">
        <v>0</v>
      </c>
      <c r="CR38" s="227">
        <v>0</v>
      </c>
      <c r="CS38" s="227">
        <v>0</v>
      </c>
      <c r="CT38" s="227">
        <v>0</v>
      </c>
      <c r="CU38" s="227">
        <v>0</v>
      </c>
      <c r="CV38" s="227" t="s">
        <v>1126</v>
      </c>
      <c r="CW38" s="227" t="s">
        <v>1126</v>
      </c>
      <c r="CX38" s="227" t="s">
        <v>1128</v>
      </c>
      <c r="CY38" s="227" t="s">
        <v>1128</v>
      </c>
      <c r="CZ38" s="227">
        <v>3</v>
      </c>
      <c r="DA38" s="227">
        <v>3</v>
      </c>
      <c r="DB38" s="227">
        <v>2</v>
      </c>
      <c r="DC38" s="227">
        <v>2</v>
      </c>
      <c r="DD38" s="229" t="s">
        <v>1642</v>
      </c>
      <c r="DE38" s="229" t="s">
        <v>1643</v>
      </c>
      <c r="DF38" s="229" t="s">
        <v>1644</v>
      </c>
      <c r="DG38" s="229" t="s">
        <v>1645</v>
      </c>
      <c r="DH38" s="228">
        <v>0.60000000000000009</v>
      </c>
      <c r="DI38" s="228">
        <v>0.95000000000000007</v>
      </c>
      <c r="DJ38" s="228">
        <v>0.9</v>
      </c>
      <c r="DK38" s="228">
        <v>0.65</v>
      </c>
      <c r="DL38" s="228">
        <v>0.9</v>
      </c>
      <c r="DM38" s="230" t="s">
        <v>1646</v>
      </c>
      <c r="DN38" s="230" t="s">
        <v>1647</v>
      </c>
      <c r="DO38" s="230" t="s">
        <v>1648</v>
      </c>
      <c r="DP38" s="230" t="s">
        <v>1649</v>
      </c>
      <c r="DQ38" s="230" t="s">
        <v>1650</v>
      </c>
      <c r="DR38" s="228">
        <v>0.15</v>
      </c>
      <c r="DS38" s="228">
        <v>0</v>
      </c>
      <c r="DT38" s="228">
        <v>0</v>
      </c>
      <c r="DU38" s="228">
        <v>0</v>
      </c>
      <c r="DV38" s="228">
        <v>0.05</v>
      </c>
      <c r="DW38" s="228">
        <v>0</v>
      </c>
      <c r="DX38" s="228">
        <v>0</v>
      </c>
      <c r="DY38" s="228">
        <v>0</v>
      </c>
      <c r="DZ38" s="228">
        <v>0</v>
      </c>
      <c r="EA38" s="228">
        <v>0</v>
      </c>
      <c r="EB38" s="228">
        <v>0</v>
      </c>
      <c r="EC38" s="230" t="s">
        <v>1651</v>
      </c>
      <c r="ED38" s="230" t="s">
        <v>1652</v>
      </c>
      <c r="EE38" s="230" t="s">
        <v>1653</v>
      </c>
      <c r="EF38" s="230" t="s">
        <v>49</v>
      </c>
      <c r="EG38" s="230" t="s">
        <v>1654</v>
      </c>
      <c r="EH38" s="230" t="s">
        <v>49</v>
      </c>
      <c r="EI38" s="230" t="s">
        <v>49</v>
      </c>
      <c r="EJ38" s="230" t="s">
        <v>49</v>
      </c>
      <c r="EK38" s="230" t="s">
        <v>49</v>
      </c>
      <c r="EL38" s="230" t="s">
        <v>49</v>
      </c>
      <c r="EM38" s="230" t="s">
        <v>49</v>
      </c>
      <c r="EN38" s="228">
        <v>0</v>
      </c>
      <c r="EO38" s="228">
        <v>0</v>
      </c>
      <c r="EP38" s="228">
        <v>0</v>
      </c>
      <c r="EQ38" s="228">
        <v>0</v>
      </c>
      <c r="ER38" s="228">
        <v>0</v>
      </c>
      <c r="ES38" s="228">
        <v>0</v>
      </c>
      <c r="ET38" s="228">
        <v>0</v>
      </c>
      <c r="EU38" s="230" t="s">
        <v>1655</v>
      </c>
      <c r="EV38" s="228">
        <v>44110</v>
      </c>
      <c r="EW38" s="228">
        <v>0</v>
      </c>
      <c r="EX38" s="228">
        <v>0</v>
      </c>
      <c r="EY38" s="228">
        <v>0</v>
      </c>
      <c r="EZ38" s="228">
        <v>0</v>
      </c>
      <c r="FA38" s="228">
        <v>0</v>
      </c>
      <c r="FB38" s="228">
        <v>0</v>
      </c>
      <c r="FC38" s="228">
        <v>0</v>
      </c>
      <c r="FD38" s="228">
        <v>0</v>
      </c>
      <c r="FE38" s="228">
        <v>0</v>
      </c>
      <c r="FF38" s="230" t="s">
        <v>49</v>
      </c>
      <c r="FG38" s="228" t="s">
        <v>49</v>
      </c>
    </row>
    <row r="39" spans="1:163" ht="12" customHeight="1">
      <c r="A39" s="210" t="s">
        <v>1123</v>
      </c>
      <c r="B39" s="201" t="str">
        <f t="shared" si="7"/>
        <v>16024-G4004829</v>
      </c>
      <c r="C39" s="202">
        <v>16024</v>
      </c>
      <c r="D39" s="202" t="s">
        <v>643</v>
      </c>
      <c r="E39" s="163" t="s">
        <v>1656</v>
      </c>
      <c r="F39" s="164" t="s">
        <v>1227</v>
      </c>
      <c r="G39" s="164" t="s">
        <v>78</v>
      </c>
      <c r="H39" s="162" t="s">
        <v>88</v>
      </c>
      <c r="I39" s="162" t="s">
        <v>1206</v>
      </c>
      <c r="J39" s="163" t="s">
        <v>1657</v>
      </c>
      <c r="K39" s="212">
        <v>2.4</v>
      </c>
      <c r="L39" s="212">
        <v>1.2</v>
      </c>
      <c r="M39" s="212">
        <v>1.2</v>
      </c>
      <c r="N39" s="212">
        <v>0</v>
      </c>
      <c r="O39" s="212">
        <v>2</v>
      </c>
      <c r="P39" s="166">
        <v>0.9</v>
      </c>
      <c r="Q39" s="167">
        <f>IF(P39&gt;'3X3 Data'!$D$9,3,IF(P39&gt;'3X3 Data'!$D$10,2,IF(P39&lt;'3X3 Data'!$D$11,1)))</f>
        <v>3</v>
      </c>
      <c r="R39" s="166">
        <v>1</v>
      </c>
      <c r="S39" s="165">
        <v>10.661545925722043</v>
      </c>
      <c r="T39" s="165">
        <v>9.5953913331498377</v>
      </c>
      <c r="U39" s="165">
        <v>-1.9079436619718311</v>
      </c>
      <c r="V39" s="165">
        <v>8.7536022637502118</v>
      </c>
      <c r="W39" s="165">
        <v>7.6874476711780062</v>
      </c>
      <c r="X39" s="168">
        <f>IF(W39&gt;'3X3 Data'!$J$9,3,IF(W39&gt;'3X3 Data'!$J$10,2,IF(W39&lt;'3X3 Data'!$J$11,1)))</f>
        <v>2</v>
      </c>
      <c r="Y39" s="169">
        <v>3.6473342765625882</v>
      </c>
      <c r="Z39" s="169">
        <v>3.2031031963241694</v>
      </c>
      <c r="AA39" s="168">
        <f>IF(Z39&gt;'3X3 Data'!$J$15,3,IF(Z39&gt;'3X3 Data'!$J$16,2,IF(Z39&lt;'3X3 Data'!$J$17,1)))</f>
        <v>1</v>
      </c>
      <c r="AB39" s="165">
        <f t="shared" si="8"/>
        <v>1.3333333333333333</v>
      </c>
      <c r="AC39" s="168">
        <f t="shared" si="9"/>
        <v>1</v>
      </c>
      <c r="AD39" s="206">
        <v>4.5879773277495497</v>
      </c>
      <c r="AE39" s="206">
        <v>4.0291795949745941</v>
      </c>
      <c r="AF39" s="226">
        <v>3.1984637777166127</v>
      </c>
      <c r="AG39" s="246">
        <v>0.41606316095111551</v>
      </c>
      <c r="AH39" s="226">
        <v>10.661545925722043</v>
      </c>
      <c r="AI39" s="226">
        <v>3.1635376935107198</v>
      </c>
      <c r="AJ39" s="226">
        <v>7.4980082322113235</v>
      </c>
      <c r="AK39" s="226">
        <v>0</v>
      </c>
      <c r="AL39" s="226">
        <v>0</v>
      </c>
      <c r="AM39" s="226">
        <v>0</v>
      </c>
      <c r="AN39" s="226">
        <v>0</v>
      </c>
      <c r="AO39" s="226">
        <v>0</v>
      </c>
      <c r="AP39" s="226">
        <v>0</v>
      </c>
      <c r="AQ39" s="226">
        <v>0</v>
      </c>
      <c r="AR39" s="226">
        <v>0</v>
      </c>
      <c r="AS39" s="226">
        <v>9.5953913331498377</v>
      </c>
      <c r="AT39" s="226">
        <v>2.8471839241596477</v>
      </c>
      <c r="AU39" s="226">
        <v>6.7482074089901909</v>
      </c>
      <c r="AV39" s="226">
        <v>0</v>
      </c>
      <c r="AW39" s="226">
        <v>0</v>
      </c>
      <c r="AX39" s="226">
        <v>0</v>
      </c>
      <c r="AY39" s="226">
        <v>0</v>
      </c>
      <c r="AZ39" s="226">
        <v>0</v>
      </c>
      <c r="BA39" s="226">
        <v>0</v>
      </c>
      <c r="BB39" s="226">
        <v>0</v>
      </c>
      <c r="BC39" s="226">
        <v>0</v>
      </c>
      <c r="BD39" s="226">
        <v>2.4</v>
      </c>
      <c r="BE39" s="226">
        <v>0</v>
      </c>
      <c r="BF39" s="226">
        <v>1.2</v>
      </c>
      <c r="BG39" s="226">
        <v>1.2</v>
      </c>
      <c r="BH39" s="226">
        <v>0</v>
      </c>
      <c r="BI39" s="226">
        <v>0</v>
      </c>
      <c r="BJ39" s="226">
        <v>0</v>
      </c>
      <c r="BK39" s="226">
        <v>0</v>
      </c>
      <c r="BL39" s="226">
        <v>0</v>
      </c>
      <c r="BM39" s="226">
        <v>0</v>
      </c>
      <c r="BN39" s="226">
        <v>0</v>
      </c>
      <c r="BO39" s="226">
        <v>1.2</v>
      </c>
      <c r="BP39" s="226">
        <v>0</v>
      </c>
      <c r="BQ39" s="226">
        <v>0.6</v>
      </c>
      <c r="BR39" s="226">
        <v>0.6</v>
      </c>
      <c r="BS39" s="226">
        <v>0</v>
      </c>
      <c r="BT39" s="226">
        <v>0</v>
      </c>
      <c r="BU39" s="226">
        <v>0</v>
      </c>
      <c r="BV39" s="226">
        <v>0</v>
      </c>
      <c r="BW39" s="226">
        <v>0</v>
      </c>
      <c r="BX39" s="226">
        <v>0</v>
      </c>
      <c r="BY39" s="226">
        <v>0</v>
      </c>
      <c r="BZ39" s="226">
        <v>1.2</v>
      </c>
      <c r="CA39" s="226">
        <v>0</v>
      </c>
      <c r="CB39" s="226">
        <v>0.6</v>
      </c>
      <c r="CC39" s="226">
        <v>0.6</v>
      </c>
      <c r="CD39" s="226">
        <v>0</v>
      </c>
      <c r="CE39" s="226">
        <v>0</v>
      </c>
      <c r="CF39" s="227">
        <v>0</v>
      </c>
      <c r="CG39" s="227">
        <v>0</v>
      </c>
      <c r="CH39" s="227">
        <v>0</v>
      </c>
      <c r="CI39" s="227">
        <v>0</v>
      </c>
      <c r="CJ39" s="227">
        <v>0</v>
      </c>
      <c r="CK39" s="227">
        <v>0</v>
      </c>
      <c r="CL39" s="227">
        <v>0</v>
      </c>
      <c r="CM39" s="227">
        <v>0</v>
      </c>
      <c r="CN39" s="227">
        <v>0</v>
      </c>
      <c r="CO39" s="227">
        <v>0</v>
      </c>
      <c r="CP39" s="227">
        <v>0</v>
      </c>
      <c r="CQ39" s="227">
        <v>0</v>
      </c>
      <c r="CR39" s="227">
        <v>0</v>
      </c>
      <c r="CS39" s="227">
        <v>0</v>
      </c>
      <c r="CT39" s="227">
        <v>0</v>
      </c>
      <c r="CU39" s="227">
        <v>0</v>
      </c>
      <c r="CV39" s="227" t="s">
        <v>1128</v>
      </c>
      <c r="CW39" s="227" t="s">
        <v>1128</v>
      </c>
      <c r="CX39" s="227" t="s">
        <v>1128</v>
      </c>
      <c r="CY39" s="227" t="s">
        <v>1128</v>
      </c>
      <c r="CZ39" s="227">
        <v>2</v>
      </c>
      <c r="DA39" s="227">
        <v>2</v>
      </c>
      <c r="DB39" s="227">
        <v>2</v>
      </c>
      <c r="DC39" s="227">
        <v>2</v>
      </c>
      <c r="DD39" s="229" t="s">
        <v>1658</v>
      </c>
      <c r="DE39" s="229" t="s">
        <v>1659</v>
      </c>
      <c r="DF39" s="229" t="s">
        <v>1660</v>
      </c>
      <c r="DG39" s="229" t="s">
        <v>1661</v>
      </c>
      <c r="DH39" s="228">
        <v>0.9</v>
      </c>
      <c r="DI39" s="228">
        <v>1</v>
      </c>
      <c r="DJ39" s="228">
        <v>1</v>
      </c>
      <c r="DK39" s="228">
        <v>1</v>
      </c>
      <c r="DL39" s="228">
        <v>1</v>
      </c>
      <c r="DM39" s="230" t="s">
        <v>1662</v>
      </c>
      <c r="DN39" s="230" t="s">
        <v>1663</v>
      </c>
      <c r="DO39" s="230" t="s">
        <v>1664</v>
      </c>
      <c r="DP39" s="230" t="s">
        <v>1665</v>
      </c>
      <c r="DQ39" s="230" t="s">
        <v>1666</v>
      </c>
      <c r="DR39" s="228">
        <v>1</v>
      </c>
      <c r="DS39" s="228">
        <v>6.9999999999999999E-4</v>
      </c>
      <c r="DT39" s="228">
        <v>1.9E-3</v>
      </c>
      <c r="DU39" s="228" t="s">
        <v>1150</v>
      </c>
      <c r="DV39" s="228" t="s">
        <v>1150</v>
      </c>
      <c r="DW39" s="228" t="s">
        <v>1150</v>
      </c>
      <c r="DX39" s="228" t="s">
        <v>1150</v>
      </c>
      <c r="DY39" s="228" t="s">
        <v>1150</v>
      </c>
      <c r="DZ39" s="228" t="s">
        <v>1150</v>
      </c>
      <c r="EA39" s="228" t="s">
        <v>1150</v>
      </c>
      <c r="EB39" s="228" t="s">
        <v>1150</v>
      </c>
      <c r="EC39" s="230" t="s">
        <v>1667</v>
      </c>
      <c r="ED39" s="230" t="s">
        <v>1668</v>
      </c>
      <c r="EE39" s="230" t="s">
        <v>1669</v>
      </c>
      <c r="EF39" s="230" t="s">
        <v>49</v>
      </c>
      <c r="EG39" s="230" t="s">
        <v>49</v>
      </c>
      <c r="EH39" s="230" t="s">
        <v>49</v>
      </c>
      <c r="EI39" s="230" t="s">
        <v>49</v>
      </c>
      <c r="EJ39" s="230" t="s">
        <v>49</v>
      </c>
      <c r="EK39" s="230" t="s">
        <v>49</v>
      </c>
      <c r="EL39" s="230" t="s">
        <v>49</v>
      </c>
      <c r="EM39" s="230" t="s">
        <v>49</v>
      </c>
      <c r="EN39" s="228">
        <v>1</v>
      </c>
      <c r="EO39" s="228">
        <v>1</v>
      </c>
      <c r="EP39" s="228">
        <v>1</v>
      </c>
      <c r="EQ39" s="228">
        <v>1</v>
      </c>
      <c r="ER39" s="228">
        <v>1</v>
      </c>
      <c r="ES39" s="228">
        <v>0</v>
      </c>
      <c r="ET39" s="228">
        <v>0.83333333333333337</v>
      </c>
      <c r="EU39" s="230" t="s">
        <v>343</v>
      </c>
      <c r="EV39" s="228">
        <v>44099</v>
      </c>
      <c r="EW39" s="228">
        <v>0</v>
      </c>
      <c r="EX39" s="228">
        <v>0</v>
      </c>
      <c r="EY39" s="228">
        <v>0</v>
      </c>
      <c r="EZ39" s="228">
        <v>0</v>
      </c>
      <c r="FA39" s="228">
        <v>0</v>
      </c>
      <c r="FB39" s="228">
        <v>0</v>
      </c>
      <c r="FC39" s="228">
        <v>0</v>
      </c>
      <c r="FD39" s="228">
        <v>0</v>
      </c>
      <c r="FE39" s="228">
        <v>0</v>
      </c>
      <c r="FF39" s="230" t="s">
        <v>49</v>
      </c>
      <c r="FG39" s="228" t="s">
        <v>49</v>
      </c>
    </row>
    <row r="40" spans="1:163" ht="10.5">
      <c r="A40" s="210" t="s">
        <v>1123</v>
      </c>
      <c r="B40" s="201" t="str">
        <f t="shared" si="7"/>
        <v>15475-G4004771</v>
      </c>
      <c r="C40" s="202">
        <v>15475</v>
      </c>
      <c r="D40" s="202" t="s">
        <v>375</v>
      </c>
      <c r="E40" s="256" t="s">
        <v>1670</v>
      </c>
      <c r="F40" s="164" t="s">
        <v>69</v>
      </c>
      <c r="G40" s="164" t="s">
        <v>78</v>
      </c>
      <c r="H40" s="162" t="s">
        <v>88</v>
      </c>
      <c r="I40" s="162" t="s">
        <v>1206</v>
      </c>
      <c r="J40" s="163" t="s">
        <v>1671</v>
      </c>
      <c r="K40" s="212">
        <v>6.6416999999999993</v>
      </c>
      <c r="L40" s="212">
        <v>1.18</v>
      </c>
      <c r="M40" s="212">
        <v>5.4616999999999996</v>
      </c>
      <c r="N40" s="212">
        <v>0</v>
      </c>
      <c r="O40" s="212">
        <v>3</v>
      </c>
      <c r="P40" s="166">
        <v>0.85737500000000011</v>
      </c>
      <c r="Q40" s="167">
        <f>IF(P40&gt;'3X3 Data'!$D$9,3,IF(P40&gt;'3X3 Data'!$D$10,2,IF(P40&lt;'3X3 Data'!$D$11,1)))</f>
        <v>3</v>
      </c>
      <c r="R40" s="166">
        <v>1</v>
      </c>
      <c r="S40" s="165">
        <v>34.514378092520971</v>
      </c>
      <c r="T40" s="165">
        <v>29.591764917075171</v>
      </c>
      <c r="U40" s="165">
        <v>-4.7016322682817524</v>
      </c>
      <c r="V40" s="165">
        <v>29.812745824239219</v>
      </c>
      <c r="W40" s="165">
        <v>24.890132648793418</v>
      </c>
      <c r="X40" s="168">
        <f>IF(W40&gt;'3X3 Data'!$J$9,3,IF(W40&gt;'3X3 Data'!$J$10,2,IF(W40&lt;'3X3 Data'!$J$11,1)))</f>
        <v>2</v>
      </c>
      <c r="Y40" s="160">
        <v>4.4887221380428537</v>
      </c>
      <c r="Z40" s="169">
        <v>3.7475544888798682</v>
      </c>
      <c r="AA40" s="168">
        <f>IF(Z40&gt;'3X3 Data'!$J$15,3,IF(Z40&gt;'3X3 Data'!$J$16,2,IF(Z40&lt;'3X3 Data'!$J$17,1)))</f>
        <v>1</v>
      </c>
      <c r="AB40" s="165">
        <f t="shared" si="8"/>
        <v>1.3333333333333333</v>
      </c>
      <c r="AC40" s="168">
        <f t="shared" si="9"/>
        <v>1</v>
      </c>
      <c r="AD40" s="206">
        <v>6.3409352588807453</v>
      </c>
      <c r="AE40" s="206">
        <v>5.2939343675828798</v>
      </c>
    </row>
    <row r="41" spans="1:163" ht="10.5">
      <c r="A41" s="210" t="s">
        <v>1123</v>
      </c>
      <c r="B41" s="201" t="str">
        <f t="shared" ref="B41" si="12">C41&amp;"-"&amp;D41</f>
        <v>15902-G4010820</v>
      </c>
      <c r="C41" s="202">
        <v>15902</v>
      </c>
      <c r="D41" s="202" t="s">
        <v>1672</v>
      </c>
      <c r="E41" s="256" t="s">
        <v>1673</v>
      </c>
      <c r="F41" s="164" t="s">
        <v>131</v>
      </c>
      <c r="G41" s="164" t="s">
        <v>78</v>
      </c>
      <c r="H41" s="162" t="s">
        <v>88</v>
      </c>
      <c r="I41" s="162" t="s">
        <v>1124</v>
      </c>
      <c r="J41" s="163" t="s">
        <v>1674</v>
      </c>
      <c r="K41" s="212">
        <v>4.0999999999999996</v>
      </c>
      <c r="L41" s="212">
        <v>3.3</v>
      </c>
      <c r="M41" s="212">
        <v>0.08</v>
      </c>
      <c r="N41" s="212">
        <v>0</v>
      </c>
      <c r="O41" s="212">
        <v>2.5</v>
      </c>
      <c r="P41" s="166">
        <v>0.32</v>
      </c>
      <c r="Q41" s="167">
        <f>IF(P41&gt;'3X3 Data'!$D$9,3,IF(P41&gt;'3X3 Data'!$D$10,2,IF(P41&lt;'3X3 Data'!$D$11,1)))</f>
        <v>2</v>
      </c>
      <c r="R41" s="166">
        <v>0.05</v>
      </c>
      <c r="S41" s="165">
        <v>53.737259313908204</v>
      </c>
      <c r="T41" s="165">
        <v>17.410872017706261</v>
      </c>
      <c r="U41" s="165">
        <v>-3.0738276918749823</v>
      </c>
      <c r="V41" s="165">
        <v>50.663431622033222</v>
      </c>
      <c r="W41" s="165">
        <v>14.3</v>
      </c>
      <c r="X41" s="168">
        <f>IF(W41&gt;'3X3 Data'!$J$9,3,IF(W41&gt;'3X3 Data'!$J$10,2,IF(W41&lt;'3X3 Data'!$J$11,1)))</f>
        <v>2</v>
      </c>
      <c r="Y41" s="160">
        <v>12.290982926257454</v>
      </c>
      <c r="Z41" s="169">
        <v>3.48</v>
      </c>
      <c r="AA41" s="168">
        <f>IF(Z41&gt;'3X3 Data'!$J$15,3,IF(Z41&gt;'3X3 Data'!$J$16,2,IF(Z41&lt;'3X3 Data'!$J$17,1)))</f>
        <v>1</v>
      </c>
      <c r="AB41" s="165">
        <f t="shared" ref="AB41:AB43" si="13">(2*AA41+X41)/3</f>
        <v>1.3333333333333333</v>
      </c>
      <c r="AC41" s="168">
        <f t="shared" ref="AC41" si="14">ROUND(AB41,)</f>
        <v>1</v>
      </c>
      <c r="AD41" s="206">
        <v>16.482196369025942</v>
      </c>
      <c r="AE41" s="206">
        <v>4.6642316235644055</v>
      </c>
    </row>
    <row r="42" spans="1:163" ht="12" customHeight="1">
      <c r="A42" s="210" t="s">
        <v>1123</v>
      </c>
      <c r="B42" s="201" t="str">
        <f t="shared" ref="B42:B43" si="15">C42&amp;"-"&amp;D42</f>
        <v>15412-G4004628</v>
      </c>
      <c r="C42" s="202">
        <v>15412</v>
      </c>
      <c r="D42" s="202" t="s">
        <v>1675</v>
      </c>
      <c r="E42" s="256" t="s">
        <v>933</v>
      </c>
      <c r="F42" s="164" t="s">
        <v>1558</v>
      </c>
      <c r="G42" s="164" t="s">
        <v>78</v>
      </c>
      <c r="H42" s="162" t="s">
        <v>88</v>
      </c>
      <c r="I42" s="162" t="s">
        <v>1124</v>
      </c>
      <c r="J42" s="163" t="s">
        <v>1676</v>
      </c>
      <c r="K42" s="212">
        <v>9</v>
      </c>
      <c r="L42" s="212">
        <v>0.60000000000000009</v>
      </c>
      <c r="M42" s="212">
        <v>8.4</v>
      </c>
      <c r="N42" s="212">
        <v>0</v>
      </c>
      <c r="O42" s="212">
        <v>3</v>
      </c>
      <c r="P42" s="166">
        <v>0.28177500000000011</v>
      </c>
      <c r="Q42" s="167">
        <f>IF(P42&gt;'3X3 Data'!$D$9,3,IF(P42&gt;'3X3 Data'!$D$10,2,IF(P42&lt;'3X3 Data'!$D$11,1)))</f>
        <v>2</v>
      </c>
      <c r="R42" s="166">
        <v>0.08</v>
      </c>
      <c r="S42" s="165">
        <v>389.49942542496581</v>
      </c>
      <c r="T42" s="165">
        <v>109.75120059911977</v>
      </c>
      <c r="U42" s="165">
        <v>-7.1358742753862785</v>
      </c>
      <c r="V42" s="165">
        <v>382.36355114957951</v>
      </c>
      <c r="W42" s="165">
        <v>102.61532632373348</v>
      </c>
      <c r="X42" s="168">
        <f>IF(W42&gt;'3X3 Data'!$J$9,3,IF(W42&gt;'3X3 Data'!$J$10,2,IF(W42&lt;'3X3 Data'!$J$11,1)))</f>
        <v>3</v>
      </c>
      <c r="Y42" s="169">
        <v>42.484839016619944</v>
      </c>
      <c r="Z42" s="169">
        <v>11.401702924859276</v>
      </c>
      <c r="AA42" s="168">
        <f>IF(Z42&gt;'3X3 Data'!$J$15,3,IF(Z42&gt;'3X3 Data'!$J$16,2,IF(Z42&lt;'3X3 Data'!$J$17,1)))</f>
        <v>3</v>
      </c>
      <c r="AB42" s="165">
        <f t="shared" si="13"/>
        <v>3</v>
      </c>
      <c r="AC42" s="168">
        <f t="shared" ref="AC42:AC47" si="16">ROUND(AB42,)</f>
        <v>3</v>
      </c>
      <c r="AD42" s="206">
        <v>53.583280253193841</v>
      </c>
      <c r="AE42" s="206">
        <v>14.3802037933437</v>
      </c>
      <c r="AF42" s="206"/>
      <c r="AG42" s="240"/>
      <c r="AH42" s="206"/>
      <c r="AI42" s="206"/>
      <c r="AJ42" s="206"/>
      <c r="AK42" s="206"/>
      <c r="AL42" s="206"/>
      <c r="AM42" s="206"/>
      <c r="AN42" s="206"/>
      <c r="AO42" s="206"/>
      <c r="AP42" s="206"/>
      <c r="AQ42" s="206"/>
      <c r="AR42" s="206"/>
      <c r="AS42" s="241"/>
      <c r="AT42" s="242"/>
      <c r="AU42" s="206"/>
      <c r="AV42" s="206"/>
      <c r="AW42" s="206"/>
      <c r="AX42" s="206"/>
      <c r="AY42" s="206"/>
      <c r="AZ42" s="206"/>
      <c r="BA42" s="206"/>
      <c r="BB42" s="206"/>
      <c r="BC42" s="243"/>
      <c r="BD42" s="244"/>
      <c r="BE42" s="206"/>
      <c r="BF42" s="206"/>
      <c r="BG42" s="206"/>
      <c r="BH42" s="206"/>
      <c r="BI42" s="206"/>
      <c r="BJ42" s="206"/>
      <c r="BK42" s="206"/>
      <c r="BL42" s="206"/>
      <c r="BM42" s="206"/>
      <c r="BN42" s="206"/>
      <c r="BO42" s="206"/>
      <c r="BP42" s="206"/>
      <c r="BQ42" s="206"/>
      <c r="BR42" s="206"/>
      <c r="BS42" s="206"/>
      <c r="BT42" s="206"/>
      <c r="BU42" s="206"/>
      <c r="BV42" s="206"/>
      <c r="BW42" s="206"/>
      <c r="BX42" s="206"/>
      <c r="BY42" s="206"/>
      <c r="BZ42" s="206"/>
      <c r="CA42" s="206"/>
      <c r="CB42" s="206"/>
      <c r="CC42" s="206"/>
      <c r="CD42" s="206"/>
      <c r="CE42" s="206"/>
      <c r="CF42" s="165"/>
      <c r="CG42" s="165"/>
      <c r="CH42" s="165"/>
      <c r="CI42" s="165"/>
      <c r="CJ42" s="165"/>
      <c r="CK42" s="165"/>
      <c r="CL42" s="165"/>
      <c r="CM42" s="165"/>
      <c r="CN42" s="165"/>
      <c r="CO42" s="165"/>
      <c r="CP42" s="165"/>
      <c r="CQ42" s="165"/>
      <c r="CR42" s="165"/>
      <c r="CS42" s="165"/>
      <c r="CT42" s="165"/>
      <c r="CU42" s="165"/>
      <c r="CV42" s="165"/>
      <c r="CW42" s="165"/>
      <c r="CX42" s="165"/>
      <c r="CY42" s="165"/>
      <c r="CZ42" s="165"/>
      <c r="DA42" s="165"/>
      <c r="DB42" s="165"/>
      <c r="DC42" s="165"/>
      <c r="DD42" s="171"/>
      <c r="DE42" s="171"/>
      <c r="DF42" s="171"/>
      <c r="DG42" s="171"/>
      <c r="DH42" s="170"/>
      <c r="DI42" s="170"/>
      <c r="DJ42" s="170"/>
      <c r="DK42" s="170"/>
      <c r="DL42" s="170"/>
      <c r="DM42" s="172"/>
      <c r="DN42" s="172"/>
      <c r="DO42" s="172"/>
      <c r="DP42" s="172"/>
      <c r="DQ42" s="172"/>
      <c r="DR42" s="170"/>
      <c r="DS42" s="170"/>
      <c r="DT42" s="170"/>
      <c r="DU42" s="170"/>
      <c r="DV42" s="170"/>
      <c r="DW42" s="170"/>
      <c r="DX42" s="170"/>
      <c r="DY42" s="170"/>
      <c r="DZ42" s="170"/>
      <c r="EA42" s="170"/>
      <c r="EB42" s="170"/>
      <c r="EC42" s="172"/>
      <c r="ED42" s="172"/>
      <c r="EE42" s="172"/>
      <c r="EF42" s="172"/>
      <c r="EG42" s="172"/>
      <c r="EH42" s="172"/>
      <c r="EI42" s="172"/>
      <c r="EJ42" s="172"/>
      <c r="EK42" s="172"/>
      <c r="EL42" s="172"/>
      <c r="EM42" s="172"/>
      <c r="EN42" s="170"/>
      <c r="EO42" s="170"/>
      <c r="EP42" s="170"/>
      <c r="EQ42" s="170"/>
      <c r="ER42" s="170"/>
      <c r="ES42" s="170"/>
      <c r="ET42" s="170"/>
      <c r="EU42" s="172"/>
      <c r="EV42" s="170"/>
      <c r="EW42" s="170"/>
      <c r="EX42" s="170"/>
      <c r="EY42" s="170"/>
      <c r="EZ42" s="170"/>
      <c r="FA42" s="170"/>
      <c r="FB42" s="170"/>
      <c r="FC42" s="170"/>
      <c r="FD42" s="170"/>
      <c r="FE42" s="170"/>
      <c r="FF42" s="172"/>
      <c r="FG42" s="170"/>
    </row>
    <row r="43" spans="1:163" ht="12" customHeight="1">
      <c r="A43" s="210" t="s">
        <v>1123</v>
      </c>
      <c r="B43" s="201" t="str">
        <f t="shared" si="15"/>
        <v>18073-G4012067</v>
      </c>
      <c r="C43" s="202">
        <v>18073</v>
      </c>
      <c r="D43" s="202" t="s">
        <v>1677</v>
      </c>
      <c r="E43" s="256" t="s">
        <v>1678</v>
      </c>
      <c r="F43" s="164" t="s">
        <v>292</v>
      </c>
      <c r="G43" s="164" t="s">
        <v>78</v>
      </c>
      <c r="H43" s="162" t="s">
        <v>88</v>
      </c>
      <c r="I43" s="162" t="s">
        <v>1139</v>
      </c>
      <c r="J43" s="163" t="s">
        <v>1679</v>
      </c>
      <c r="K43" s="212">
        <v>13.175000000000001</v>
      </c>
      <c r="L43" s="212">
        <v>0.375</v>
      </c>
      <c r="M43" s="212">
        <v>12.8</v>
      </c>
      <c r="N43" s="212">
        <v>0</v>
      </c>
      <c r="O43" s="212">
        <v>2.75</v>
      </c>
      <c r="P43" s="166">
        <v>0.39912750000000002</v>
      </c>
      <c r="Q43" s="167">
        <f>IF(P43&gt;'3X3 Data'!$D$9,3,IF(P43&gt;'3X3 Data'!$D$10,2,IF(P43&lt;'3X3 Data'!$D$11,1)))</f>
        <v>2</v>
      </c>
      <c r="R43" s="166">
        <v>0.2</v>
      </c>
      <c r="S43" s="165">
        <v>231.45567655628275</v>
      </c>
      <c r="T43" s="165">
        <v>92.380325544717749</v>
      </c>
      <c r="U43" s="165">
        <v>-8.8903906877401102</v>
      </c>
      <c r="V43" s="165">
        <v>222.56528586854265</v>
      </c>
      <c r="W43" s="165">
        <v>83.489934856977641</v>
      </c>
      <c r="X43" s="168">
        <f>IF(W43&gt;'3X3 Data'!$J$9,3,IF(W43&gt;'3X3 Data'!$J$10,2,IF(W43&lt;'3X3 Data'!$J$11,1)))</f>
        <v>2</v>
      </c>
      <c r="Y43" s="169">
        <v>16.893000824936824</v>
      </c>
      <c r="Z43" s="169">
        <v>6.3369969530912815</v>
      </c>
      <c r="AA43" s="168">
        <f>IF(Z43&gt;'3X3 Data'!$J$15,3,IF(Z43&gt;'3X3 Data'!$J$16,2,IF(Z43&lt;'3X3 Data'!$J$17,1)))</f>
        <v>2</v>
      </c>
      <c r="AB43" s="165">
        <f t="shared" si="13"/>
        <v>2</v>
      </c>
      <c r="AC43" s="168">
        <f t="shared" si="16"/>
        <v>2</v>
      </c>
      <c r="AD43" s="206">
        <v>25.034365044886183</v>
      </c>
      <c r="AE43" s="206">
        <v>9.3910310344528103</v>
      </c>
      <c r="AF43" s="206"/>
      <c r="AG43" s="240"/>
      <c r="AH43" s="206"/>
      <c r="AI43" s="206"/>
      <c r="AJ43" s="206"/>
      <c r="AK43" s="206"/>
      <c r="AL43" s="206"/>
      <c r="AM43" s="206"/>
      <c r="AN43" s="206"/>
      <c r="AO43" s="206"/>
      <c r="AP43" s="206"/>
      <c r="AQ43" s="206"/>
      <c r="AR43" s="206"/>
      <c r="AS43" s="241"/>
      <c r="AT43" s="242"/>
      <c r="AU43" s="206"/>
      <c r="AV43" s="206"/>
      <c r="AW43" s="206"/>
      <c r="AX43" s="206"/>
      <c r="AY43" s="206"/>
      <c r="AZ43" s="206"/>
      <c r="BA43" s="206"/>
      <c r="BB43" s="206"/>
      <c r="BC43" s="243"/>
      <c r="BD43" s="244"/>
      <c r="BE43" s="206"/>
      <c r="BF43" s="206"/>
      <c r="BG43" s="206"/>
      <c r="BH43" s="206"/>
      <c r="BI43" s="206"/>
      <c r="BJ43" s="206"/>
      <c r="BK43" s="206"/>
      <c r="BL43" s="206"/>
      <c r="BM43" s="206"/>
      <c r="BN43" s="206"/>
      <c r="BO43" s="206"/>
      <c r="BP43" s="206"/>
      <c r="BQ43" s="206"/>
      <c r="BR43" s="206"/>
      <c r="BS43" s="206"/>
      <c r="BT43" s="206"/>
      <c r="BU43" s="206"/>
      <c r="BV43" s="206"/>
      <c r="BW43" s="206"/>
      <c r="BX43" s="206"/>
      <c r="BY43" s="206"/>
      <c r="BZ43" s="206"/>
      <c r="CA43" s="206"/>
      <c r="CB43" s="206"/>
      <c r="CC43" s="206"/>
      <c r="CD43" s="206"/>
      <c r="CE43" s="206"/>
      <c r="CF43" s="165"/>
      <c r="CG43" s="165"/>
      <c r="CH43" s="165"/>
      <c r="CI43" s="165"/>
      <c r="CJ43" s="165"/>
      <c r="CK43" s="165"/>
      <c r="CL43" s="165"/>
      <c r="CM43" s="165"/>
      <c r="CN43" s="165"/>
      <c r="CO43" s="165"/>
      <c r="CP43" s="165"/>
      <c r="CQ43" s="165"/>
      <c r="CR43" s="165"/>
      <c r="CS43" s="165"/>
      <c r="CT43" s="165"/>
      <c r="CU43" s="165"/>
      <c r="CV43" s="165"/>
      <c r="CW43" s="165"/>
      <c r="CX43" s="165"/>
      <c r="CY43" s="165"/>
      <c r="CZ43" s="165"/>
      <c r="DA43" s="165"/>
      <c r="DB43" s="165"/>
      <c r="DC43" s="165"/>
      <c r="DD43" s="171"/>
      <c r="DE43" s="171"/>
      <c r="DF43" s="171"/>
      <c r="DG43" s="171"/>
      <c r="DH43" s="170"/>
      <c r="DI43" s="170"/>
      <c r="DJ43" s="170"/>
      <c r="DK43" s="170"/>
      <c r="DL43" s="170"/>
      <c r="DM43" s="172"/>
      <c r="DN43" s="172"/>
      <c r="DO43" s="172"/>
      <c r="DP43" s="172"/>
      <c r="DQ43" s="172"/>
      <c r="DR43" s="170"/>
      <c r="DS43" s="170"/>
      <c r="DT43" s="170"/>
      <c r="DU43" s="170"/>
      <c r="DV43" s="170"/>
      <c r="DW43" s="170"/>
      <c r="DX43" s="170"/>
      <c r="DY43" s="170"/>
      <c r="DZ43" s="170"/>
      <c r="EA43" s="170"/>
      <c r="EB43" s="170"/>
      <c r="EC43" s="172"/>
      <c r="ED43" s="172"/>
      <c r="EE43" s="172"/>
      <c r="EF43" s="172"/>
      <c r="EG43" s="172"/>
      <c r="EH43" s="172"/>
      <c r="EI43" s="172"/>
      <c r="EJ43" s="172"/>
      <c r="EK43" s="172"/>
      <c r="EL43" s="172"/>
      <c r="EM43" s="172"/>
      <c r="EN43" s="170"/>
      <c r="EO43" s="170"/>
      <c r="EP43" s="170"/>
      <c r="EQ43" s="170"/>
      <c r="ER43" s="170"/>
      <c r="ES43" s="170"/>
      <c r="ET43" s="170"/>
      <c r="EU43" s="172"/>
      <c r="EV43" s="170"/>
      <c r="EW43" s="170"/>
      <c r="EX43" s="170"/>
      <c r="EY43" s="170"/>
      <c r="EZ43" s="170"/>
      <c r="FA43" s="170"/>
      <c r="FB43" s="170"/>
      <c r="FC43" s="170"/>
      <c r="FD43" s="170"/>
      <c r="FE43" s="170"/>
      <c r="FF43" s="172"/>
      <c r="FG43" s="170"/>
    </row>
    <row r="44" spans="1:163" ht="12" customHeight="1">
      <c r="A44" s="210" t="s">
        <v>1123</v>
      </c>
      <c r="B44" s="201" t="str">
        <f>C44&amp;"-"&amp;D44</f>
        <v>18035-G4011911</v>
      </c>
      <c r="C44" s="202">
        <v>18035</v>
      </c>
      <c r="D44" s="202" t="s">
        <v>1680</v>
      </c>
      <c r="E44" s="256" t="s">
        <v>1681</v>
      </c>
      <c r="F44" s="164" t="s">
        <v>81</v>
      </c>
      <c r="G44" s="164" t="s">
        <v>78</v>
      </c>
      <c r="H44" s="162" t="s">
        <v>70</v>
      </c>
      <c r="I44" s="162" t="s">
        <v>1206</v>
      </c>
      <c r="J44" s="163" t="s">
        <v>1682</v>
      </c>
      <c r="K44" s="212">
        <v>3.4755000000000007</v>
      </c>
      <c r="L44" s="212">
        <v>1.4755</v>
      </c>
      <c r="M44" s="212">
        <v>2.0000000000000004</v>
      </c>
      <c r="N44" s="212">
        <v>0</v>
      </c>
      <c r="O44" s="212">
        <v>2</v>
      </c>
      <c r="P44" s="166">
        <v>0.28684983600000008</v>
      </c>
      <c r="Q44" s="167">
        <f>IF(P44&gt;'3X3 Data'!$D$9,3,IF(P44&gt;'3X3 Data'!$D$10,2,IF(P44&lt;'3X3 Data'!$D$11,1)))</f>
        <v>2</v>
      </c>
      <c r="R44" s="166">
        <v>1</v>
      </c>
      <c r="S44" s="165">
        <v>21.47360107238876</v>
      </c>
      <c r="T44" s="165">
        <v>6.1596989459441422</v>
      </c>
      <c r="U44" s="165">
        <v>-2.598348132189551</v>
      </c>
      <c r="V44" s="165">
        <v>18.875252940199211</v>
      </c>
      <c r="W44" s="165">
        <v>3.5613508137545913</v>
      </c>
      <c r="X44" s="168">
        <f>IF(W44&gt;'3X3 Data'!$J$9,3,IF(W44&gt;'3X3 Data'!$J$10,2,IF(W44&lt;'3X3 Data'!$J$11,1)))</f>
        <v>1</v>
      </c>
      <c r="Y44" s="169">
        <v>5.4309460337215389</v>
      </c>
      <c r="Z44" s="169">
        <v>1.0247017159414735</v>
      </c>
      <c r="AA44" s="168">
        <f>IF(Z44&gt;'3X3 Data'!$J$15,3,IF(Z44&gt;'3X3 Data'!$J$16,2,IF(Z44&lt;'3X3 Data'!$J$17,1)))</f>
        <v>1</v>
      </c>
      <c r="AB44" s="165">
        <f>(2*AA44+X44)/3</f>
        <v>1</v>
      </c>
      <c r="AC44" s="168">
        <f t="shared" si="16"/>
        <v>1</v>
      </c>
      <c r="AD44" s="206">
        <v>7.2643279421890226</v>
      </c>
      <c r="AE44" s="206">
        <v>1.3706211148671392</v>
      </c>
      <c r="AF44" s="206"/>
      <c r="AG44" s="240"/>
      <c r="AH44" s="206"/>
      <c r="AI44" s="206"/>
      <c r="AJ44" s="206"/>
      <c r="AK44" s="206"/>
      <c r="AL44" s="206"/>
      <c r="AM44" s="206"/>
      <c r="AN44" s="206"/>
      <c r="AO44" s="206"/>
      <c r="AP44" s="206"/>
      <c r="AQ44" s="206"/>
      <c r="AR44" s="206"/>
      <c r="AS44" s="241"/>
      <c r="AT44" s="242"/>
      <c r="AU44" s="206"/>
      <c r="AV44" s="206"/>
      <c r="AW44" s="206"/>
      <c r="AX44" s="206"/>
      <c r="AY44" s="206"/>
      <c r="AZ44" s="206"/>
      <c r="BA44" s="206"/>
      <c r="BB44" s="206"/>
      <c r="BC44" s="243"/>
      <c r="BD44" s="244"/>
      <c r="BE44" s="206"/>
      <c r="BF44" s="206"/>
      <c r="BG44" s="206"/>
      <c r="BH44" s="206"/>
      <c r="BI44" s="206"/>
      <c r="BJ44" s="206"/>
      <c r="BK44" s="206"/>
      <c r="BL44" s="206"/>
      <c r="BM44" s="206"/>
      <c r="BN44" s="206"/>
      <c r="BO44" s="206"/>
      <c r="BP44" s="206"/>
      <c r="BQ44" s="206"/>
      <c r="BR44" s="206"/>
      <c r="BS44" s="206"/>
      <c r="BT44" s="206"/>
      <c r="BU44" s="206"/>
      <c r="BV44" s="206"/>
      <c r="BW44" s="206"/>
      <c r="BX44" s="206"/>
      <c r="BY44" s="206"/>
      <c r="BZ44" s="206"/>
      <c r="CA44" s="206"/>
      <c r="CB44" s="206"/>
      <c r="CC44" s="206"/>
      <c r="CD44" s="206"/>
      <c r="CE44" s="206"/>
      <c r="CF44" s="165"/>
      <c r="CG44" s="165"/>
      <c r="CH44" s="165"/>
      <c r="CI44" s="165"/>
      <c r="CJ44" s="165"/>
      <c r="CK44" s="165"/>
      <c r="CL44" s="165"/>
      <c r="CM44" s="165"/>
      <c r="CN44" s="165"/>
      <c r="CO44" s="165"/>
      <c r="CP44" s="165"/>
      <c r="CQ44" s="165"/>
      <c r="CR44" s="165"/>
      <c r="CS44" s="165"/>
      <c r="CT44" s="165"/>
      <c r="CU44" s="165"/>
      <c r="CV44" s="165"/>
      <c r="CW44" s="165"/>
      <c r="CX44" s="165"/>
      <c r="CY44" s="165"/>
      <c r="CZ44" s="165"/>
      <c r="DA44" s="165"/>
      <c r="DB44" s="165"/>
      <c r="DC44" s="165"/>
      <c r="DD44" s="171"/>
      <c r="DE44" s="171"/>
      <c r="DF44" s="171"/>
      <c r="DG44" s="171"/>
      <c r="DH44" s="170"/>
      <c r="DI44" s="170"/>
      <c r="DJ44" s="170"/>
      <c r="DK44" s="170"/>
      <c r="DL44" s="170"/>
      <c r="DM44" s="172"/>
      <c r="DN44" s="172"/>
      <c r="DO44" s="172"/>
      <c r="DP44" s="172"/>
      <c r="DQ44" s="172"/>
      <c r="DR44" s="170"/>
      <c r="DS44" s="170"/>
      <c r="DT44" s="170"/>
      <c r="DU44" s="170"/>
      <c r="DV44" s="170"/>
      <c r="DW44" s="170"/>
      <c r="DX44" s="170"/>
      <c r="DY44" s="170"/>
      <c r="DZ44" s="170"/>
      <c r="EA44" s="170"/>
      <c r="EB44" s="170"/>
      <c r="EC44" s="172"/>
      <c r="ED44" s="172"/>
      <c r="EE44" s="172"/>
      <c r="EF44" s="172"/>
      <c r="EG44" s="172"/>
      <c r="EH44" s="172"/>
      <c r="EI44" s="172"/>
      <c r="EJ44" s="172"/>
      <c r="EK44" s="172"/>
      <c r="EL44" s="172"/>
      <c r="EM44" s="172"/>
      <c r="EN44" s="170"/>
      <c r="EO44" s="170"/>
      <c r="EP44" s="170"/>
      <c r="EQ44" s="170"/>
      <c r="ER44" s="170"/>
      <c r="ES44" s="170"/>
      <c r="ET44" s="170"/>
      <c r="EU44" s="172"/>
      <c r="EV44" s="170"/>
      <c r="EW44" s="170"/>
      <c r="EX44" s="170"/>
      <c r="EY44" s="170"/>
      <c r="EZ44" s="170"/>
      <c r="FA44" s="170"/>
      <c r="FB44" s="170"/>
      <c r="FC44" s="170"/>
      <c r="FD44" s="170"/>
      <c r="FE44" s="170"/>
      <c r="FF44" s="172"/>
      <c r="FG44" s="170"/>
    </row>
    <row r="45" spans="1:163" ht="12" customHeight="1">
      <c r="A45" s="210" t="s">
        <v>1123</v>
      </c>
      <c r="B45" s="201" t="str">
        <f t="shared" ref="B45:B47" si="17">C45&amp;"-"&amp;D45</f>
        <v>15823-G4010012</v>
      </c>
      <c r="C45" s="202">
        <v>15823</v>
      </c>
      <c r="D45" s="202" t="s">
        <v>1683</v>
      </c>
      <c r="E45" s="256" t="s">
        <v>1684</v>
      </c>
      <c r="F45" s="164" t="s">
        <v>292</v>
      </c>
      <c r="G45" s="164" t="s">
        <v>78</v>
      </c>
      <c r="H45" s="162" t="s">
        <v>88</v>
      </c>
      <c r="I45" s="162" t="s">
        <v>1206</v>
      </c>
      <c r="J45" s="163" t="s">
        <v>1682</v>
      </c>
      <c r="K45" s="212">
        <v>1.2010000000000001</v>
      </c>
      <c r="L45" s="212">
        <v>0.17199999999999999</v>
      </c>
      <c r="M45" s="212">
        <v>1.03</v>
      </c>
      <c r="N45" s="212">
        <v>0</v>
      </c>
      <c r="O45" s="212">
        <v>2.75</v>
      </c>
      <c r="P45" s="166">
        <v>0.4</v>
      </c>
      <c r="Q45" s="167">
        <f>IF(P45&gt;'3X3 Data'!$D$9,3,IF(P45&gt;'3X3 Data'!$D$10,2,IF(P45&lt;'3X3 Data'!$D$11,1)))</f>
        <v>2</v>
      </c>
      <c r="R45" s="166">
        <v>1</v>
      </c>
      <c r="S45" s="165">
        <v>1.95</v>
      </c>
      <c r="T45" s="165">
        <v>0.79</v>
      </c>
      <c r="U45" s="165">
        <v>-0.98</v>
      </c>
      <c r="V45" s="165">
        <v>0.96</v>
      </c>
      <c r="W45" s="165">
        <v>0.39</v>
      </c>
      <c r="X45" s="168">
        <f>IF(W45&gt;'3X3 Data'!$J$9,3,IF(W45&gt;'3X3 Data'!$J$10,2,IF(W45&lt;'3X3 Data'!$J$11,1)))</f>
        <v>1</v>
      </c>
      <c r="Y45" s="169">
        <v>0.80300000000000005</v>
      </c>
      <c r="Z45" s="169">
        <v>0.32400000000000001</v>
      </c>
      <c r="AA45" s="168">
        <f>IF(Z45&gt;'3X3 Data'!$J$15,3,IF(Z45&gt;'3X3 Data'!$J$16,2,IF(Z45&lt;'3X3 Data'!$J$17,1)))</f>
        <v>1</v>
      </c>
      <c r="AB45" s="165">
        <f t="shared" ref="AB45:AB47" si="18">(2*AA45+X45)/3</f>
        <v>1</v>
      </c>
      <c r="AC45" s="168">
        <f t="shared" si="16"/>
        <v>1</v>
      </c>
      <c r="AD45" s="206">
        <v>0.98</v>
      </c>
      <c r="AE45" s="206">
        <v>0.39600000000000002</v>
      </c>
      <c r="AF45" s="206"/>
      <c r="AG45" s="240"/>
      <c r="AH45" s="206"/>
      <c r="AI45" s="206"/>
      <c r="AJ45" s="206"/>
      <c r="AK45" s="206"/>
      <c r="AL45" s="206"/>
      <c r="AM45" s="206"/>
      <c r="AN45" s="206"/>
      <c r="AO45" s="206"/>
      <c r="AP45" s="206"/>
      <c r="AQ45" s="206"/>
      <c r="AR45" s="206"/>
      <c r="AS45" s="241"/>
      <c r="AT45" s="242"/>
      <c r="AU45" s="206"/>
      <c r="AV45" s="206"/>
      <c r="AW45" s="206"/>
      <c r="AX45" s="206"/>
      <c r="AY45" s="206"/>
      <c r="AZ45" s="206"/>
      <c r="BA45" s="206"/>
      <c r="BB45" s="206"/>
      <c r="BC45" s="243"/>
      <c r="BD45" s="244"/>
      <c r="BE45" s="206"/>
      <c r="BF45" s="206"/>
      <c r="BG45" s="206"/>
      <c r="BH45" s="206"/>
      <c r="BI45" s="206"/>
      <c r="BJ45" s="206"/>
      <c r="BK45" s="206"/>
      <c r="BL45" s="206"/>
      <c r="BM45" s="206"/>
      <c r="BN45" s="206"/>
      <c r="BO45" s="206"/>
      <c r="BP45" s="206"/>
      <c r="BQ45" s="206"/>
      <c r="BR45" s="206"/>
      <c r="BS45" s="206"/>
      <c r="BT45" s="206"/>
      <c r="BU45" s="206"/>
      <c r="BV45" s="206"/>
      <c r="BW45" s="206"/>
      <c r="BX45" s="206"/>
      <c r="BY45" s="206"/>
      <c r="BZ45" s="206"/>
      <c r="CA45" s="206"/>
      <c r="CB45" s="206"/>
      <c r="CC45" s="206"/>
      <c r="CD45" s="206"/>
      <c r="CE45" s="206"/>
      <c r="CF45" s="165"/>
      <c r="CG45" s="165"/>
      <c r="CH45" s="165"/>
      <c r="CI45" s="165"/>
      <c r="CJ45" s="165"/>
      <c r="CK45" s="165"/>
      <c r="CL45" s="165"/>
      <c r="CM45" s="165"/>
      <c r="CN45" s="165"/>
      <c r="CO45" s="165"/>
      <c r="CP45" s="165"/>
      <c r="CQ45" s="165"/>
      <c r="CR45" s="165"/>
      <c r="CS45" s="165"/>
      <c r="CT45" s="165"/>
      <c r="CU45" s="165"/>
      <c r="CV45" s="165"/>
      <c r="CW45" s="165"/>
      <c r="CX45" s="165"/>
      <c r="CY45" s="165"/>
      <c r="CZ45" s="165"/>
      <c r="DA45" s="165"/>
      <c r="DB45" s="165"/>
      <c r="DC45" s="165"/>
      <c r="DD45" s="171"/>
      <c r="DE45" s="171"/>
      <c r="DF45" s="171"/>
      <c r="DG45" s="171"/>
      <c r="DH45" s="170"/>
      <c r="DI45" s="170"/>
      <c r="DJ45" s="170"/>
      <c r="DK45" s="170"/>
      <c r="DL45" s="170"/>
      <c r="DM45" s="172"/>
      <c r="DN45" s="172"/>
      <c r="DO45" s="172"/>
      <c r="DP45" s="172"/>
      <c r="DQ45" s="172"/>
      <c r="DR45" s="170"/>
      <c r="DS45" s="170"/>
      <c r="DT45" s="170"/>
      <c r="DU45" s="170"/>
      <c r="DV45" s="170"/>
      <c r="DW45" s="170"/>
      <c r="DX45" s="170"/>
      <c r="DY45" s="170"/>
      <c r="DZ45" s="170"/>
      <c r="EA45" s="170"/>
      <c r="EB45" s="170"/>
      <c r="EC45" s="172"/>
      <c r="ED45" s="172"/>
      <c r="EE45" s="172"/>
      <c r="EF45" s="172"/>
      <c r="EG45" s="172"/>
      <c r="EH45" s="172"/>
      <c r="EI45" s="172"/>
      <c r="EJ45" s="172"/>
      <c r="EK45" s="172"/>
      <c r="EL45" s="172"/>
      <c r="EM45" s="172"/>
      <c r="EN45" s="170"/>
      <c r="EO45" s="170"/>
      <c r="EP45" s="170"/>
      <c r="EQ45" s="170"/>
      <c r="ER45" s="170"/>
      <c r="ES45" s="170"/>
      <c r="ET45" s="170"/>
      <c r="EU45" s="172"/>
      <c r="EV45" s="170"/>
      <c r="EW45" s="170"/>
      <c r="EX45" s="170"/>
      <c r="EY45" s="170"/>
      <c r="EZ45" s="170"/>
      <c r="FA45" s="170"/>
      <c r="FB45" s="170"/>
      <c r="FC45" s="170"/>
      <c r="FD45" s="170"/>
      <c r="FE45" s="170"/>
      <c r="FF45" s="172"/>
      <c r="FG45" s="170"/>
    </row>
    <row r="46" spans="1:163" ht="12" customHeight="1">
      <c r="A46" s="210" t="s">
        <v>1123</v>
      </c>
      <c r="B46" s="201" t="str">
        <f t="shared" ref="B46" si="19">C46&amp;"-"&amp;D46</f>
        <v>15850-G4010702</v>
      </c>
      <c r="C46" s="202">
        <v>15850</v>
      </c>
      <c r="D46" s="202" t="s">
        <v>1685</v>
      </c>
      <c r="E46" s="256" t="s">
        <v>1686</v>
      </c>
      <c r="F46" s="164" t="s">
        <v>292</v>
      </c>
      <c r="G46" s="164" t="s">
        <v>78</v>
      </c>
      <c r="H46" s="162" t="s">
        <v>88</v>
      </c>
      <c r="I46" s="162" t="s">
        <v>1206</v>
      </c>
      <c r="J46" s="163" t="s">
        <v>1687</v>
      </c>
      <c r="K46" s="212">
        <v>1.41</v>
      </c>
      <c r="L46" s="212">
        <v>0</v>
      </c>
      <c r="M46" s="212">
        <v>0.33900000000000002</v>
      </c>
      <c r="N46" s="212">
        <v>1.071</v>
      </c>
      <c r="O46" s="212">
        <v>2.5</v>
      </c>
      <c r="P46" s="166">
        <v>0.44</v>
      </c>
      <c r="Q46" s="167">
        <f>IF(P46&gt;'3X3 Data'!$D$9,3,IF(P46&gt;'3X3 Data'!$D$10,2,IF(P46&lt;'3X3 Data'!$D$11,1)))</f>
        <v>2</v>
      </c>
      <c r="R46" s="166">
        <v>1</v>
      </c>
      <c r="S46" s="165">
        <v>15.59</v>
      </c>
      <c r="T46" s="165">
        <v>6.88</v>
      </c>
      <c r="U46" s="165">
        <v>-1.42</v>
      </c>
      <c r="V46" s="165">
        <v>14.17</v>
      </c>
      <c r="W46" s="165">
        <v>6.25</v>
      </c>
      <c r="X46" s="168">
        <f>IF(W46&gt;'3X3 Data'!$J$9,3,IF(W46&gt;'3X3 Data'!$J$10,2,IF(W46&lt;'3X3 Data'!$J$11,1)))</f>
        <v>2</v>
      </c>
      <c r="Y46" s="169">
        <v>10.048999999999999</v>
      </c>
      <c r="Z46" s="169">
        <v>4.4359999999999999</v>
      </c>
      <c r="AA46" s="168">
        <f>IF(Z46&gt;'3X3 Data'!$J$15,3,IF(Z46&gt;'3X3 Data'!$J$16,2,IF(Z46&lt;'3X3 Data'!$J$17,1)))</f>
        <v>2</v>
      </c>
      <c r="AB46" s="165">
        <f t="shared" ref="AB46" si="20">(2*AA46+X46)/3</f>
        <v>2</v>
      </c>
      <c r="AC46" s="168">
        <f t="shared" si="16"/>
        <v>2</v>
      </c>
      <c r="AD46" s="206">
        <v>9.9710000000000001</v>
      </c>
      <c r="AE46" s="206">
        <v>4.4020000000000001</v>
      </c>
      <c r="AF46" s="206"/>
      <c r="AG46" s="240"/>
      <c r="AH46" s="206"/>
      <c r="AI46" s="206"/>
      <c r="AJ46" s="206"/>
      <c r="AK46" s="206"/>
      <c r="AL46" s="206"/>
      <c r="AM46" s="206"/>
      <c r="AN46" s="206"/>
      <c r="AO46" s="206"/>
      <c r="AP46" s="206"/>
      <c r="AQ46" s="206"/>
      <c r="AR46" s="206"/>
      <c r="AS46" s="241"/>
      <c r="AT46" s="242"/>
      <c r="AU46" s="206"/>
      <c r="AV46" s="206"/>
      <c r="AW46" s="206"/>
      <c r="AX46" s="206"/>
      <c r="AY46" s="206"/>
      <c r="AZ46" s="206"/>
      <c r="BA46" s="206"/>
      <c r="BB46" s="206"/>
      <c r="BC46" s="243"/>
      <c r="BD46" s="244"/>
      <c r="BE46" s="206"/>
      <c r="BF46" s="206"/>
      <c r="BG46" s="206"/>
      <c r="BH46" s="206"/>
      <c r="BI46" s="206"/>
      <c r="BJ46" s="206"/>
      <c r="BK46" s="206"/>
      <c r="BL46" s="206"/>
      <c r="BM46" s="206"/>
      <c r="BN46" s="206"/>
      <c r="BO46" s="206"/>
      <c r="BP46" s="206"/>
      <c r="BQ46" s="206"/>
      <c r="BR46" s="206"/>
      <c r="BS46" s="206"/>
      <c r="BT46" s="206"/>
      <c r="BU46" s="206"/>
      <c r="BV46" s="206"/>
      <c r="BW46" s="206"/>
      <c r="BX46" s="206"/>
      <c r="BY46" s="206"/>
      <c r="BZ46" s="206"/>
      <c r="CA46" s="206"/>
      <c r="CB46" s="206"/>
      <c r="CC46" s="206"/>
      <c r="CD46" s="206"/>
      <c r="CE46" s="206"/>
      <c r="CF46" s="165"/>
      <c r="CG46" s="165"/>
      <c r="CH46" s="165"/>
      <c r="CI46" s="165"/>
      <c r="CJ46" s="165"/>
      <c r="CK46" s="165"/>
      <c r="CL46" s="165"/>
      <c r="CM46" s="165"/>
      <c r="CN46" s="165"/>
      <c r="CO46" s="165"/>
      <c r="CP46" s="165"/>
      <c r="CQ46" s="165"/>
      <c r="CR46" s="165"/>
      <c r="CS46" s="165"/>
      <c r="CT46" s="165"/>
      <c r="CU46" s="165"/>
      <c r="CV46" s="165"/>
      <c r="CW46" s="165"/>
      <c r="CX46" s="165"/>
      <c r="CY46" s="165"/>
      <c r="CZ46" s="165"/>
      <c r="DA46" s="165"/>
      <c r="DB46" s="165"/>
      <c r="DC46" s="165"/>
      <c r="DD46" s="171"/>
      <c r="DE46" s="171"/>
      <c r="DF46" s="171"/>
      <c r="DG46" s="171"/>
      <c r="DH46" s="170"/>
      <c r="DI46" s="170"/>
      <c r="DJ46" s="170"/>
      <c r="DK46" s="170"/>
      <c r="DL46" s="170"/>
      <c r="DM46" s="172"/>
      <c r="DN46" s="172"/>
      <c r="DO46" s="172"/>
      <c r="DP46" s="172"/>
      <c r="DQ46" s="172"/>
      <c r="DR46" s="170"/>
      <c r="DS46" s="170"/>
      <c r="DT46" s="170"/>
      <c r="DU46" s="170"/>
      <c r="DV46" s="170"/>
      <c r="DW46" s="170"/>
      <c r="DX46" s="170"/>
      <c r="DY46" s="170"/>
      <c r="DZ46" s="170"/>
      <c r="EA46" s="170"/>
      <c r="EB46" s="170"/>
      <c r="EC46" s="172"/>
      <c r="ED46" s="172"/>
      <c r="EE46" s="172"/>
      <c r="EF46" s="172"/>
      <c r="EG46" s="172"/>
      <c r="EH46" s="172"/>
      <c r="EI46" s="172"/>
      <c r="EJ46" s="172"/>
      <c r="EK46" s="172"/>
      <c r="EL46" s="172"/>
      <c r="EM46" s="172"/>
      <c r="EN46" s="170"/>
      <c r="EO46" s="170"/>
      <c r="EP46" s="170"/>
      <c r="EQ46" s="170"/>
      <c r="ER46" s="170"/>
      <c r="ES46" s="170"/>
      <c r="ET46" s="170"/>
      <c r="EU46" s="172"/>
      <c r="EV46" s="170"/>
      <c r="EW46" s="170"/>
      <c r="EX46" s="170"/>
      <c r="EY46" s="170"/>
      <c r="EZ46" s="170"/>
      <c r="FA46" s="170"/>
      <c r="FB46" s="170"/>
      <c r="FC46" s="170"/>
      <c r="FD46" s="170"/>
      <c r="FE46" s="170"/>
      <c r="FF46" s="172"/>
      <c r="FG46" s="170"/>
    </row>
    <row r="47" spans="1:163" ht="12" customHeight="1">
      <c r="A47" s="210" t="s">
        <v>1123</v>
      </c>
      <c r="B47" s="201" t="str">
        <f t="shared" si="17"/>
        <v>15902-G4010834</v>
      </c>
      <c r="C47" s="202">
        <v>15902</v>
      </c>
      <c r="D47" s="202" t="s">
        <v>1688</v>
      </c>
      <c r="E47" s="257" t="s">
        <v>1689</v>
      </c>
      <c r="F47" s="164" t="s">
        <v>131</v>
      </c>
      <c r="G47" s="164" t="s">
        <v>218</v>
      </c>
      <c r="H47" s="162" t="s">
        <v>88</v>
      </c>
      <c r="I47" s="162" t="s">
        <v>1206</v>
      </c>
      <c r="J47" s="163" t="s">
        <v>1690</v>
      </c>
      <c r="K47" s="212">
        <v>8.0220000000000002</v>
      </c>
      <c r="L47" s="212">
        <v>1.3166</v>
      </c>
      <c r="M47" s="212">
        <v>1.5840000000000001</v>
      </c>
      <c r="N47" s="212">
        <v>5.1211000000000002</v>
      </c>
      <c r="O47" s="212">
        <v>2.25</v>
      </c>
      <c r="P47" s="166">
        <v>0.40241250000000001</v>
      </c>
      <c r="Q47" s="167">
        <f>IF(P47&gt;'3X3 Data'!$D$9,3,IF(P47&gt;'3X3 Data'!$D$10,2,IF(P47&lt;'3X3 Data'!$D$11,1)))</f>
        <v>2</v>
      </c>
      <c r="R47" s="166">
        <v>1</v>
      </c>
      <c r="S47" s="165">
        <v>83</v>
      </c>
      <c r="T47" s="165">
        <v>33.31</v>
      </c>
      <c r="U47" s="165">
        <v>-8.08</v>
      </c>
      <c r="V47" s="165">
        <v>74.92</v>
      </c>
      <c r="W47" s="165">
        <v>30.07</v>
      </c>
      <c r="X47" s="168">
        <f>IF(W47&gt;'3X3 Data'!$J$9,3,IF(W47&gt;'3X3 Data'!$J$10,2,IF(W47&lt;'3X3 Data'!$J$11,1)))</f>
        <v>2</v>
      </c>
      <c r="Y47" s="169">
        <v>9.3390000000000004</v>
      </c>
      <c r="Z47" s="169">
        <v>3.7480000000000002</v>
      </c>
      <c r="AA47" s="168">
        <f>IF(Z47&gt;'3X3 Data'!$J$15,3,IF(Z47&gt;'3X3 Data'!$J$16,2,IF(Z47&lt;'3X3 Data'!$J$17,1)))</f>
        <v>1</v>
      </c>
      <c r="AB47" s="165">
        <f t="shared" si="18"/>
        <v>1.3333333333333333</v>
      </c>
      <c r="AC47" s="168">
        <f t="shared" si="16"/>
        <v>1</v>
      </c>
      <c r="AD47" s="206">
        <v>9.2669999999999995</v>
      </c>
      <c r="AE47" s="206">
        <v>3.7189999999999999</v>
      </c>
      <c r="AF47" s="206"/>
      <c r="AG47" s="240"/>
      <c r="AH47" s="206"/>
      <c r="AI47" s="206"/>
      <c r="AJ47" s="206"/>
      <c r="AK47" s="206"/>
      <c r="AL47" s="206"/>
      <c r="AM47" s="206"/>
      <c r="AN47" s="206"/>
      <c r="AO47" s="206"/>
      <c r="AP47" s="206"/>
      <c r="AQ47" s="206"/>
      <c r="AR47" s="206"/>
      <c r="AS47" s="241"/>
      <c r="AT47" s="242"/>
      <c r="AU47" s="206"/>
      <c r="AV47" s="206"/>
      <c r="AW47" s="206"/>
      <c r="AX47" s="206"/>
      <c r="AY47" s="206"/>
      <c r="AZ47" s="206"/>
      <c r="BA47" s="206"/>
      <c r="BB47" s="206"/>
      <c r="BC47" s="243"/>
      <c r="BD47" s="244"/>
      <c r="BE47" s="206"/>
      <c r="BF47" s="206"/>
      <c r="BG47" s="206"/>
      <c r="BH47" s="206"/>
      <c r="BI47" s="206"/>
      <c r="BJ47" s="206"/>
      <c r="BK47" s="206"/>
      <c r="BL47" s="206"/>
      <c r="BM47" s="206"/>
      <c r="BN47" s="206"/>
      <c r="BO47" s="206"/>
      <c r="BP47" s="206"/>
      <c r="BQ47" s="206"/>
      <c r="BR47" s="206"/>
      <c r="BS47" s="206"/>
      <c r="BT47" s="206"/>
      <c r="BU47" s="206"/>
      <c r="BV47" s="206"/>
      <c r="BW47" s="206"/>
      <c r="BX47" s="206"/>
      <c r="BY47" s="206"/>
      <c r="BZ47" s="206"/>
      <c r="CA47" s="206"/>
      <c r="CB47" s="206"/>
      <c r="CC47" s="206"/>
      <c r="CD47" s="206"/>
      <c r="CE47" s="206"/>
      <c r="CF47" s="165"/>
      <c r="CG47" s="165"/>
      <c r="CH47" s="165"/>
      <c r="CI47" s="165"/>
      <c r="CJ47" s="165"/>
      <c r="CK47" s="165"/>
      <c r="CL47" s="165"/>
      <c r="CM47" s="165"/>
      <c r="CN47" s="165"/>
      <c r="CO47" s="165"/>
      <c r="CP47" s="165"/>
      <c r="CQ47" s="165"/>
      <c r="CR47" s="165"/>
      <c r="CS47" s="165"/>
      <c r="CT47" s="165"/>
      <c r="CU47" s="165"/>
      <c r="CV47" s="165"/>
      <c r="CW47" s="165"/>
      <c r="CX47" s="165"/>
      <c r="CY47" s="165"/>
      <c r="CZ47" s="165"/>
      <c r="DA47" s="165"/>
      <c r="DB47" s="165"/>
      <c r="DC47" s="165"/>
      <c r="DD47" s="171"/>
      <c r="DE47" s="171"/>
      <c r="DF47" s="171"/>
      <c r="DG47" s="171"/>
      <c r="DH47" s="170"/>
      <c r="DI47" s="170"/>
      <c r="DJ47" s="170"/>
      <c r="DK47" s="170"/>
      <c r="DL47" s="170"/>
      <c r="DM47" s="172"/>
      <c r="DN47" s="172"/>
      <c r="DO47" s="172"/>
      <c r="DP47" s="172"/>
      <c r="DQ47" s="172"/>
      <c r="DR47" s="170"/>
      <c r="DS47" s="170"/>
      <c r="DT47" s="170"/>
      <c r="DU47" s="170"/>
      <c r="DV47" s="170"/>
      <c r="DW47" s="170"/>
      <c r="DX47" s="170"/>
      <c r="DY47" s="170"/>
      <c r="DZ47" s="170"/>
      <c r="EA47" s="170"/>
      <c r="EB47" s="170"/>
      <c r="EC47" s="172"/>
      <c r="ED47" s="172"/>
      <c r="EE47" s="172"/>
      <c r="EF47" s="172"/>
      <c r="EG47" s="172"/>
      <c r="EH47" s="172"/>
      <c r="EI47" s="172"/>
      <c r="EJ47" s="172"/>
      <c r="EK47" s="172"/>
      <c r="EL47" s="172"/>
      <c r="EM47" s="172"/>
      <c r="EN47" s="170"/>
      <c r="EO47" s="170"/>
      <c r="EP47" s="170"/>
      <c r="EQ47" s="170"/>
      <c r="ER47" s="170"/>
      <c r="ES47" s="170"/>
      <c r="ET47" s="170"/>
      <c r="EU47" s="172"/>
      <c r="EV47" s="170"/>
      <c r="EW47" s="170"/>
      <c r="EX47" s="170"/>
      <c r="EY47" s="170"/>
      <c r="EZ47" s="170"/>
      <c r="FA47" s="170"/>
      <c r="FB47" s="170"/>
      <c r="FC47" s="170"/>
      <c r="FD47" s="170"/>
      <c r="FE47" s="170"/>
      <c r="FF47" s="172"/>
      <c r="FG47" s="170"/>
    </row>
    <row r="48" spans="1:163" ht="12" customHeight="1">
      <c r="A48" s="210" t="s">
        <v>1123</v>
      </c>
      <c r="B48" s="201" t="str">
        <f>C48&amp;"-"&amp;D48</f>
        <v>15545-G4012659</v>
      </c>
      <c r="C48" s="202">
        <v>15545</v>
      </c>
      <c r="D48" s="202" t="s">
        <v>1836</v>
      </c>
      <c r="E48" s="257" t="s">
        <v>1833</v>
      </c>
      <c r="F48" s="164" t="s">
        <v>1509</v>
      </c>
      <c r="G48" s="164" t="s">
        <v>218</v>
      </c>
      <c r="H48" s="162" t="s">
        <v>88</v>
      </c>
      <c r="I48" s="162" t="s">
        <v>1139</v>
      </c>
      <c r="J48" s="163" t="s">
        <v>1835</v>
      </c>
      <c r="K48" s="212">
        <v>10.811999999999999</v>
      </c>
      <c r="L48" s="212">
        <v>0.68100000000000005</v>
      </c>
      <c r="M48" s="212">
        <v>3.4710000000000001</v>
      </c>
      <c r="N48" s="212">
        <v>6.66</v>
      </c>
      <c r="O48" s="212">
        <v>2.75</v>
      </c>
      <c r="P48" s="166">
        <v>0.62</v>
      </c>
      <c r="Q48" s="167">
        <f>IF(P48&gt;'3X3 Data'!$D$9,3,IF(P48&gt;'3X3 Data'!$D$10,2,IF(P48&lt;'3X3 Data'!$D$11,1)))</f>
        <v>3</v>
      </c>
      <c r="R48" s="166">
        <v>1</v>
      </c>
      <c r="S48" s="258">
        <v>447.7</v>
      </c>
      <c r="T48" s="258">
        <v>723.8</v>
      </c>
      <c r="U48" s="165">
        <v>-10</v>
      </c>
      <c r="V48" s="165">
        <v>723.8</v>
      </c>
      <c r="W48" s="165">
        <v>447.7</v>
      </c>
      <c r="X48" s="168">
        <f>IF(W48&gt;'3X3 Data'!$J$9,3,IF(W48&gt;'3X3 Data'!$J$10,2,IF(W48&lt;'3X3 Data'!$J$11,1)))</f>
        <v>3</v>
      </c>
      <c r="Y48" s="169">
        <v>66.900000000000006</v>
      </c>
      <c r="Z48" s="169">
        <v>41.4</v>
      </c>
      <c r="AA48" s="168">
        <f>IF(Z48&gt;'3X3 Data'!$J$15,3,IF(Z48&gt;'3X3 Data'!$J$16,2,IF(Z48&lt;'3X3 Data'!$J$17,1)))</f>
        <v>3</v>
      </c>
      <c r="AB48" s="165">
        <f t="shared" ref="AB48" si="21">(2*AA48+X48)/3</f>
        <v>3</v>
      </c>
      <c r="AC48" s="168">
        <f t="shared" ref="AC48" si="22">ROUND(AB48,)</f>
        <v>3</v>
      </c>
      <c r="AD48" s="206">
        <v>72.7</v>
      </c>
      <c r="AE48" s="206">
        <v>45</v>
      </c>
      <c r="AF48" s="206"/>
      <c r="AG48" s="240"/>
      <c r="AH48" s="206"/>
      <c r="AI48" s="206"/>
      <c r="AJ48" s="206"/>
      <c r="AK48" s="206"/>
      <c r="AL48" s="206"/>
      <c r="AM48" s="206"/>
      <c r="AN48" s="206"/>
      <c r="AO48" s="206"/>
      <c r="AP48" s="206"/>
      <c r="AQ48" s="206"/>
      <c r="AR48" s="206"/>
      <c r="AS48" s="241"/>
      <c r="AT48" s="242"/>
      <c r="AU48" s="206"/>
      <c r="AV48" s="206"/>
      <c r="AW48" s="206"/>
      <c r="AX48" s="206"/>
      <c r="AY48" s="206"/>
      <c r="AZ48" s="206"/>
      <c r="BA48" s="206"/>
      <c r="BB48" s="206"/>
      <c r="BC48" s="243"/>
      <c r="BD48" s="244"/>
      <c r="BE48" s="206"/>
      <c r="BF48" s="206"/>
      <c r="BG48" s="206"/>
      <c r="BH48" s="206"/>
      <c r="BI48" s="206"/>
      <c r="BJ48" s="206"/>
      <c r="BK48" s="206"/>
      <c r="BL48" s="206"/>
      <c r="BM48" s="206"/>
      <c r="BN48" s="206"/>
      <c r="BO48" s="206"/>
      <c r="BP48" s="206"/>
      <c r="BQ48" s="206"/>
      <c r="BR48" s="206"/>
      <c r="BS48" s="206"/>
      <c r="BT48" s="206"/>
      <c r="BU48" s="206"/>
      <c r="BV48" s="206"/>
      <c r="BW48" s="206"/>
      <c r="BX48" s="206"/>
      <c r="BY48" s="206"/>
      <c r="BZ48" s="206"/>
      <c r="CA48" s="206"/>
      <c r="CB48" s="206"/>
      <c r="CC48" s="206"/>
      <c r="CD48" s="206"/>
      <c r="CE48" s="206"/>
      <c r="CF48" s="165"/>
      <c r="CG48" s="165"/>
      <c r="CH48" s="165"/>
      <c r="CI48" s="165"/>
      <c r="CJ48" s="165"/>
      <c r="CK48" s="165"/>
      <c r="CL48" s="165"/>
      <c r="CM48" s="165"/>
      <c r="CN48" s="165">
        <v>5.0129999999999999</v>
      </c>
      <c r="CO48" s="165">
        <v>1.647</v>
      </c>
      <c r="CP48" s="165"/>
      <c r="CQ48" s="165"/>
      <c r="CR48" s="165"/>
      <c r="CS48" s="165"/>
      <c r="CT48" s="165"/>
      <c r="CU48" s="165"/>
      <c r="CV48" s="165"/>
      <c r="CW48" s="165"/>
      <c r="CX48" s="165"/>
      <c r="CY48" s="165"/>
      <c r="CZ48" s="165"/>
      <c r="DA48" s="165"/>
      <c r="DB48" s="165"/>
      <c r="DC48" s="165"/>
      <c r="DD48" s="171"/>
      <c r="DE48" s="171"/>
      <c r="DF48" s="171"/>
      <c r="DG48" s="171"/>
      <c r="DH48" s="170"/>
      <c r="DI48" s="170"/>
      <c r="DJ48" s="170"/>
      <c r="DK48" s="170"/>
      <c r="DL48" s="170"/>
      <c r="DM48" s="172"/>
      <c r="DN48" s="172"/>
      <c r="DO48" s="172"/>
      <c r="DP48" s="172"/>
      <c r="DQ48" s="172"/>
      <c r="DR48" s="170"/>
      <c r="DS48" s="170"/>
      <c r="DT48" s="170"/>
      <c r="DU48" s="170"/>
      <c r="DV48" s="170"/>
      <c r="DW48" s="170"/>
      <c r="DX48" s="170"/>
      <c r="DY48" s="170"/>
      <c r="DZ48" s="170"/>
      <c r="EA48" s="170"/>
      <c r="EB48" s="170"/>
      <c r="EC48" s="172"/>
      <c r="ED48" s="172"/>
      <c r="EE48" s="172"/>
      <c r="EF48" s="172"/>
      <c r="EG48" s="172"/>
      <c r="EH48" s="172"/>
      <c r="EI48" s="172"/>
      <c r="EJ48" s="172"/>
      <c r="EK48" s="172"/>
      <c r="EL48" s="172"/>
      <c r="EM48" s="172"/>
      <c r="EN48" s="170"/>
      <c r="EO48" s="170"/>
      <c r="EP48" s="170"/>
      <c r="EQ48" s="170"/>
      <c r="ER48" s="170"/>
      <c r="ES48" s="170"/>
      <c r="ET48" s="170"/>
      <c r="EU48" s="172"/>
      <c r="EV48" s="170"/>
      <c r="EW48" s="170"/>
      <c r="EX48" s="170"/>
      <c r="EY48" s="170"/>
      <c r="EZ48" s="170"/>
      <c r="FA48" s="170"/>
      <c r="FB48" s="170"/>
      <c r="FC48" s="170"/>
      <c r="FD48" s="170"/>
      <c r="FE48" s="170"/>
      <c r="FF48" s="172"/>
      <c r="FG48" s="170"/>
    </row>
    <row r="49" spans="11:14">
      <c r="K49" s="214"/>
      <c r="L49" s="214"/>
      <c r="M49" s="214"/>
      <c r="N49" s="214"/>
    </row>
    <row r="50" spans="11:14">
      <c r="K50" s="214"/>
      <c r="L50" s="214"/>
      <c r="M50" s="214"/>
      <c r="N50" s="214"/>
    </row>
    <row r="51" spans="11:14">
      <c r="K51" s="214"/>
      <c r="L51" s="214"/>
      <c r="M51" s="214"/>
      <c r="N51" s="214"/>
    </row>
    <row r="52" spans="11:14">
      <c r="K52" s="214"/>
      <c r="L52" s="214"/>
      <c r="M52" s="214"/>
      <c r="N52" s="214"/>
    </row>
    <row r="53" spans="11:14">
      <c r="K53" s="214"/>
      <c r="L53" s="214"/>
      <c r="M53" s="214"/>
      <c r="N53" s="214"/>
    </row>
  </sheetData>
  <mergeCells count="19">
    <mergeCell ref="EN1:EV1"/>
    <mergeCell ref="EW1:FG1"/>
    <mergeCell ref="CZ1:DC1"/>
    <mergeCell ref="DD1:DG1"/>
    <mergeCell ref="DH1:DL1"/>
    <mergeCell ref="DM1:DQ1"/>
    <mergeCell ref="DR1:EB1"/>
    <mergeCell ref="EC1:EM1"/>
    <mergeCell ref="CV1:CY1"/>
    <mergeCell ref="AH1:AR1"/>
    <mergeCell ref="E1:J1"/>
    <mergeCell ref="K1:P1"/>
    <mergeCell ref="R1:W1"/>
    <mergeCell ref="Y1:AG1"/>
    <mergeCell ref="AS1:BC1"/>
    <mergeCell ref="BD1:BN1"/>
    <mergeCell ref="BO1:BY1"/>
    <mergeCell ref="BZ1:CJ1"/>
    <mergeCell ref="CK1:CU1"/>
  </mergeCells>
  <conditionalFormatting sqref="BG4:FG4 AD34:AR36 BD34:FG36 BD4:BE4 J34:P36 J4:K4 E34:F36 R34:R36 J11:P11 BD3:FG3 E31:F31 G31:G32 J3:V3 J5:R9 BD5:FG9 E3:E9 Q10:Q11 AD3:AR9 R11 O4:R4 R31 AD11:AR31 Q31:Q32 E18:G30 J31:P31 J12:R30 BD11:FG31 E11:E17 G3:G17 P3:P43 P45 R45:V45">
    <cfRule type="expression" dxfId="199" priority="594">
      <formula>IFERROR(E3="NA",TRUE)</formula>
    </cfRule>
  </conditionalFormatting>
  <conditionalFormatting sqref="L4:N4">
    <cfRule type="expression" dxfId="198" priority="580">
      <formula>IFERROR(L4="NA",TRUE)</formula>
    </cfRule>
  </conditionalFormatting>
  <conditionalFormatting sqref="BF4">
    <cfRule type="expression" dxfId="197" priority="579">
      <formula>IFERROR(BF4="NA",TRUE)</formula>
    </cfRule>
  </conditionalFormatting>
  <conditionalFormatting sqref="AD10:AR10 E10 R10 BD10:FG10 J10:P10">
    <cfRule type="expression" dxfId="196" priority="578">
      <formula>IFERROR(E10="NA",TRUE)</formula>
    </cfRule>
  </conditionalFormatting>
  <conditionalFormatting sqref="AD32:AR32 R32 BD32:FG32 J32:P32 F32">
    <cfRule type="expression" dxfId="195" priority="564">
      <formula>IFERROR(F32="NA",TRUE)</formula>
    </cfRule>
  </conditionalFormatting>
  <conditionalFormatting sqref="E32">
    <cfRule type="expression" dxfId="194" priority="488">
      <formula>IFERROR(E32="NA",TRUE)</formula>
    </cfRule>
  </conditionalFormatting>
  <conditionalFormatting sqref="AD33:AR33 BD33:FG33 J33:R33 E33:G33 Q34:Q36 G34:G37">
    <cfRule type="expression" dxfId="193" priority="481">
      <formula>IFERROR(E33="NA",TRUE)</formula>
    </cfRule>
  </conditionalFormatting>
  <conditionalFormatting sqref="Q33:Q36">
    <cfRule type="colorScale" priority="479">
      <colorScale>
        <cfvo type="min"/>
        <cfvo type="percentile" val="50"/>
        <cfvo type="max"/>
        <color rgb="FFF8696B"/>
        <color rgb="FFFCFCFF"/>
        <color rgb="FF63BE7B"/>
      </colorScale>
    </cfRule>
  </conditionalFormatting>
  <conditionalFormatting sqref="AS33">
    <cfRule type="dataBar" priority="472">
      <dataBar>
        <cfvo type="min"/>
        <cfvo type="max"/>
        <color rgb="FF638EC6"/>
      </dataBar>
      <extLst>
        <ext xmlns:x14="http://schemas.microsoft.com/office/spreadsheetml/2009/9/main" uri="{B025F937-C7B1-47D3-B67F-A62EFF666E3E}">
          <x14:id>{34026140-D9B9-4672-8988-CABBF2B9DD6A}</x14:id>
        </ext>
      </extLst>
    </cfRule>
  </conditionalFormatting>
  <conditionalFormatting sqref="AT33:BC33">
    <cfRule type="dataBar" priority="471">
      <dataBar>
        <cfvo type="min"/>
        <cfvo type="max"/>
        <color rgb="FF638EC6"/>
      </dataBar>
      <extLst>
        <ext xmlns:x14="http://schemas.microsoft.com/office/spreadsheetml/2009/9/main" uri="{B025F937-C7B1-47D3-B67F-A62EFF666E3E}">
          <x14:id>{D215C17F-9C44-47BD-87E7-37C3C3FEBE1D}</x14:id>
        </ext>
      </extLst>
    </cfRule>
  </conditionalFormatting>
  <conditionalFormatting sqref="D12 D3 D10">
    <cfRule type="duplicateValues" dxfId="192" priority="888"/>
  </conditionalFormatting>
  <conditionalFormatting sqref="R37:R38 E37:F37 J37:P38 BD37:FG38 AD37:AR38">
    <cfRule type="expression" dxfId="191" priority="441">
      <formula>IFERROR(E37="NA",TRUE)</formula>
    </cfRule>
  </conditionalFormatting>
  <conditionalFormatting sqref="AS37:AS38">
    <cfRule type="dataBar" priority="438">
      <dataBar>
        <cfvo type="min"/>
        <cfvo type="max"/>
        <color rgb="FF638EC6"/>
      </dataBar>
      <extLst>
        <ext xmlns:x14="http://schemas.microsoft.com/office/spreadsheetml/2009/9/main" uri="{B025F937-C7B1-47D3-B67F-A62EFF666E3E}">
          <x14:id>{AA7F5B75-8C23-4B57-B294-C895D46B57CD}</x14:id>
        </ext>
      </extLst>
    </cfRule>
  </conditionalFormatting>
  <conditionalFormatting sqref="AT37:BC38">
    <cfRule type="dataBar" priority="437">
      <dataBar>
        <cfvo type="min"/>
        <cfvo type="max"/>
        <color rgb="FF638EC6"/>
      </dataBar>
      <extLst>
        <ext xmlns:x14="http://schemas.microsoft.com/office/spreadsheetml/2009/9/main" uri="{B025F937-C7B1-47D3-B67F-A62EFF666E3E}">
          <x14:id>{834DBD6C-E020-49B6-B1BE-9B9F638B94F6}</x14:id>
        </ext>
      </extLst>
    </cfRule>
  </conditionalFormatting>
  <conditionalFormatting sqref="Q37:Q38">
    <cfRule type="expression" dxfId="190" priority="432">
      <formula>IFERROR(Q37="NA",TRUE)</formula>
    </cfRule>
  </conditionalFormatting>
  <conditionalFormatting sqref="AA37:AA38 AC37:AC38">
    <cfRule type="colorScale" priority="433">
      <colorScale>
        <cfvo type="min"/>
        <cfvo type="percentile" val="50"/>
        <cfvo type="max"/>
        <color rgb="FFF8696B"/>
        <color rgb="FFFCFCFF"/>
        <color rgb="FF63BE7B"/>
      </colorScale>
    </cfRule>
    <cfRule type="expression" dxfId="189" priority="434">
      <formula>IFERROR(AA37="NA",TRUE)</formula>
    </cfRule>
  </conditionalFormatting>
  <conditionalFormatting sqref="X37:X38">
    <cfRule type="colorScale" priority="435">
      <colorScale>
        <cfvo type="min"/>
        <cfvo type="percentile" val="50"/>
        <cfvo type="max"/>
        <color rgb="FFF8696B"/>
        <color rgb="FFFCFCFF"/>
        <color rgb="FF63BE7B"/>
      </colorScale>
    </cfRule>
    <cfRule type="expression" dxfId="188" priority="436">
      <formula>IFERROR(X37="NA",TRUE)</formula>
    </cfRule>
  </conditionalFormatting>
  <conditionalFormatting sqref="Q37:Q38">
    <cfRule type="colorScale" priority="431">
      <colorScale>
        <cfvo type="min"/>
        <cfvo type="percentile" val="50"/>
        <cfvo type="max"/>
        <color rgb="FFF8696B"/>
        <color rgb="FFFCFCFF"/>
        <color rgb="FF63BE7B"/>
      </colorScale>
    </cfRule>
  </conditionalFormatting>
  <conditionalFormatting sqref="Q37:Q38">
    <cfRule type="colorScale" priority="430">
      <colorScale>
        <cfvo type="min"/>
        <cfvo type="percentile" val="50"/>
        <cfvo type="max"/>
        <color rgb="FFF8696B"/>
        <color rgb="FFFCFCFF"/>
        <color rgb="FF63BE7B"/>
      </colorScale>
    </cfRule>
  </conditionalFormatting>
  <conditionalFormatting sqref="X37:X38">
    <cfRule type="colorScale" priority="429">
      <colorScale>
        <cfvo type="min"/>
        <cfvo type="percentile" val="50"/>
        <cfvo type="max"/>
        <color rgb="FFF8696B"/>
        <color rgb="FFFCFCFF"/>
        <color rgb="FF63BE7B"/>
      </colorScale>
    </cfRule>
  </conditionalFormatting>
  <conditionalFormatting sqref="AA37:AA38">
    <cfRule type="colorScale" priority="428">
      <colorScale>
        <cfvo type="min"/>
        <cfvo type="percentile" val="50"/>
        <cfvo type="max"/>
        <color rgb="FFF8696B"/>
        <color rgb="FFFCFCFF"/>
        <color rgb="FF63BE7B"/>
      </colorScale>
    </cfRule>
  </conditionalFormatting>
  <conditionalFormatting sqref="AC37:AC38">
    <cfRule type="colorScale" priority="427">
      <colorScale>
        <cfvo type="min"/>
        <cfvo type="percentile" val="50"/>
        <cfvo type="max"/>
        <color rgb="FFF8696B"/>
        <color rgb="FFFCFCFF"/>
        <color rgb="FF63BE7B"/>
      </colorScale>
    </cfRule>
  </conditionalFormatting>
  <conditionalFormatting sqref="AB37:AB38">
    <cfRule type="colorScale" priority="444">
      <colorScale>
        <cfvo type="min"/>
        <cfvo type="percentile" val="50"/>
        <cfvo type="max"/>
        <color rgb="FFF8696B"/>
        <color rgb="FFFCFCFF"/>
        <color rgb="FF63BE7B"/>
      </colorScale>
    </cfRule>
    <cfRule type="expression" dxfId="187" priority="445">
      <formula>IFERROR(AB37="NA",TRUE)</formula>
    </cfRule>
  </conditionalFormatting>
  <conditionalFormatting sqref="AB37:AB38">
    <cfRule type="colorScale" priority="446">
      <colorScale>
        <cfvo type="min"/>
        <cfvo type="percentile" val="50"/>
        <cfvo type="max"/>
        <color rgb="FFF8696B"/>
        <color rgb="FFFCFCFF"/>
        <color rgb="FF63BE7B"/>
      </colorScale>
    </cfRule>
  </conditionalFormatting>
  <conditionalFormatting sqref="AC37:AC38">
    <cfRule type="colorScale" priority="447">
      <colorScale>
        <cfvo type="min"/>
        <cfvo type="percentile" val="50"/>
        <cfvo type="max"/>
        <color rgb="FFF8696B"/>
        <color rgb="FFFCFCFF"/>
        <color rgb="FF63BE7B"/>
      </colorScale>
    </cfRule>
  </conditionalFormatting>
  <conditionalFormatting sqref="B37">
    <cfRule type="duplicateValues" dxfId="186" priority="448"/>
  </conditionalFormatting>
  <conditionalFormatting sqref="C37">
    <cfRule type="duplicateValues" dxfId="185" priority="449"/>
  </conditionalFormatting>
  <conditionalFormatting sqref="E39:F39 BD39:FG39 AD39:AR39 J39:P40">
    <cfRule type="expression" dxfId="184" priority="419">
      <formula>IFERROR(E39="NA",TRUE)</formula>
    </cfRule>
  </conditionalFormatting>
  <conditionalFormatting sqref="AS39">
    <cfRule type="dataBar" priority="416">
      <dataBar>
        <cfvo type="min"/>
        <cfvo type="max"/>
        <color rgb="FF638EC6"/>
      </dataBar>
      <extLst>
        <ext xmlns:x14="http://schemas.microsoft.com/office/spreadsheetml/2009/9/main" uri="{B025F937-C7B1-47D3-B67F-A62EFF666E3E}">
          <x14:id>{0BDF3856-2948-49EA-B79B-50B95019CE7D}</x14:id>
        </ext>
      </extLst>
    </cfRule>
  </conditionalFormatting>
  <conditionalFormatting sqref="AT39:BC39">
    <cfRule type="dataBar" priority="415">
      <dataBar>
        <cfvo type="min"/>
        <cfvo type="max"/>
        <color rgb="FF638EC6"/>
      </dataBar>
      <extLst>
        <ext xmlns:x14="http://schemas.microsoft.com/office/spreadsheetml/2009/9/main" uri="{B025F937-C7B1-47D3-B67F-A62EFF666E3E}">
          <x14:id>{06D6359D-4AB8-4852-AFFE-F4EFDB868806}</x14:id>
        </ext>
      </extLst>
    </cfRule>
  </conditionalFormatting>
  <conditionalFormatting sqref="G39 Q39:Q40">
    <cfRule type="expression" dxfId="183" priority="410">
      <formula>IFERROR(G39="NA",TRUE)</formula>
    </cfRule>
  </conditionalFormatting>
  <conditionalFormatting sqref="AA39:AA40">
    <cfRule type="colorScale" priority="411">
      <colorScale>
        <cfvo type="min"/>
        <cfvo type="percentile" val="50"/>
        <cfvo type="max"/>
        <color rgb="FFF8696B"/>
        <color rgb="FFFCFCFF"/>
        <color rgb="FF63BE7B"/>
      </colorScale>
    </cfRule>
    <cfRule type="expression" dxfId="182" priority="412">
      <formula>IFERROR(AA39="NA",TRUE)</formula>
    </cfRule>
  </conditionalFormatting>
  <conditionalFormatting sqref="X39:X40">
    <cfRule type="colorScale" priority="413">
      <colorScale>
        <cfvo type="min"/>
        <cfvo type="percentile" val="50"/>
        <cfvo type="max"/>
        <color rgb="FFF8696B"/>
        <color rgb="FFFCFCFF"/>
        <color rgb="FF63BE7B"/>
      </colorScale>
    </cfRule>
    <cfRule type="expression" dxfId="181" priority="414">
      <formula>IFERROR(X39="NA",TRUE)</formula>
    </cfRule>
  </conditionalFormatting>
  <conditionalFormatting sqref="Q39:Q40">
    <cfRule type="colorScale" priority="409">
      <colorScale>
        <cfvo type="min"/>
        <cfvo type="percentile" val="50"/>
        <cfvo type="max"/>
        <color rgb="FFF8696B"/>
        <color rgb="FFFCFCFF"/>
        <color rgb="FF63BE7B"/>
      </colorScale>
    </cfRule>
  </conditionalFormatting>
  <conditionalFormatting sqref="X39:X40">
    <cfRule type="colorScale" priority="408">
      <colorScale>
        <cfvo type="min"/>
        <cfvo type="percentile" val="50"/>
        <cfvo type="max"/>
        <color rgb="FFF8696B"/>
        <color rgb="FFFCFCFF"/>
        <color rgb="FF63BE7B"/>
      </colorScale>
    </cfRule>
  </conditionalFormatting>
  <conditionalFormatting sqref="AA39:AA40">
    <cfRule type="colorScale" priority="407">
      <colorScale>
        <cfvo type="min"/>
        <cfvo type="percentile" val="50"/>
        <cfvo type="max"/>
        <color rgb="FFF8696B"/>
        <color rgb="FFFCFCFF"/>
        <color rgb="FF63BE7B"/>
      </colorScale>
    </cfRule>
  </conditionalFormatting>
  <conditionalFormatting sqref="AB39:AB40">
    <cfRule type="colorScale" priority="422">
      <colorScale>
        <cfvo type="min"/>
        <cfvo type="percentile" val="50"/>
        <cfvo type="max"/>
        <color rgb="FFF8696B"/>
        <color rgb="FFFCFCFF"/>
        <color rgb="FF63BE7B"/>
      </colorScale>
    </cfRule>
    <cfRule type="expression" dxfId="180" priority="423">
      <formula>IFERROR(AB39="NA",TRUE)</formula>
    </cfRule>
  </conditionalFormatting>
  <conditionalFormatting sqref="AB39:AB40">
    <cfRule type="colorScale" priority="424">
      <colorScale>
        <cfvo type="min"/>
        <cfvo type="percentile" val="50"/>
        <cfvo type="max"/>
        <color rgb="FFF8696B"/>
        <color rgb="FFFCFCFF"/>
        <color rgb="FF63BE7B"/>
      </colorScale>
    </cfRule>
  </conditionalFormatting>
  <conditionalFormatting sqref="AS34:AS36 AS3:AS32">
    <cfRule type="dataBar" priority="934">
      <dataBar>
        <cfvo type="min"/>
        <cfvo type="max"/>
        <color rgb="FF638EC6"/>
      </dataBar>
      <extLst>
        <ext xmlns:x14="http://schemas.microsoft.com/office/spreadsheetml/2009/9/main" uri="{B025F937-C7B1-47D3-B67F-A62EFF666E3E}">
          <x14:id>{82C3F150-AC34-47E6-85BD-7DAB5D7B5A2E}</x14:id>
        </ext>
      </extLst>
    </cfRule>
  </conditionalFormatting>
  <conditionalFormatting sqref="AT34:BC36 AT3:BC32">
    <cfRule type="dataBar" priority="936">
      <dataBar>
        <cfvo type="min"/>
        <cfvo type="max"/>
        <color rgb="FF638EC6"/>
      </dataBar>
      <extLst>
        <ext xmlns:x14="http://schemas.microsoft.com/office/spreadsheetml/2009/9/main" uri="{B025F937-C7B1-47D3-B67F-A62EFF666E3E}">
          <x14:id>{175DA7C5-1F60-4EE3-B4F3-741CE1663D73}</x14:id>
        </ext>
      </extLst>
    </cfRule>
  </conditionalFormatting>
  <conditionalFormatting sqref="AA33:AA36 AC33:AC36">
    <cfRule type="colorScale" priority="938">
      <colorScale>
        <cfvo type="min"/>
        <cfvo type="percentile" val="50"/>
        <cfvo type="max"/>
        <color rgb="FFF8696B"/>
        <color rgb="FFFCFCFF"/>
        <color rgb="FF63BE7B"/>
      </colorScale>
    </cfRule>
    <cfRule type="expression" dxfId="179" priority="939">
      <formula>IFERROR(AA33="NA",TRUE)</formula>
    </cfRule>
  </conditionalFormatting>
  <conditionalFormatting sqref="X33:X36">
    <cfRule type="colorScale" priority="942">
      <colorScale>
        <cfvo type="min"/>
        <cfvo type="percentile" val="50"/>
        <cfvo type="max"/>
        <color rgb="FFF8696B"/>
        <color rgb="FFFCFCFF"/>
        <color rgb="FF63BE7B"/>
      </colorScale>
    </cfRule>
    <cfRule type="expression" dxfId="178" priority="943">
      <formula>IFERROR(X33="NA",TRUE)</formula>
    </cfRule>
  </conditionalFormatting>
  <conditionalFormatting sqref="Q33:Q36">
    <cfRule type="colorScale" priority="944">
      <colorScale>
        <cfvo type="min"/>
        <cfvo type="percentile" val="50"/>
        <cfvo type="max"/>
        <color rgb="FFF8696B"/>
        <color rgb="FFFCFCFF"/>
        <color rgb="FF63BE7B"/>
      </colorScale>
    </cfRule>
  </conditionalFormatting>
  <conditionalFormatting sqref="X33:X36">
    <cfRule type="colorScale" priority="945">
      <colorScale>
        <cfvo type="min"/>
        <cfvo type="percentile" val="50"/>
        <cfvo type="max"/>
        <color rgb="FFF8696B"/>
        <color rgb="FFFCFCFF"/>
        <color rgb="FF63BE7B"/>
      </colorScale>
    </cfRule>
  </conditionalFormatting>
  <conditionalFormatting sqref="AA33:AA36">
    <cfRule type="colorScale" priority="946">
      <colorScale>
        <cfvo type="min"/>
        <cfvo type="percentile" val="50"/>
        <cfvo type="max"/>
        <color rgb="FFF8696B"/>
        <color rgb="FFFCFCFF"/>
        <color rgb="FF63BE7B"/>
      </colorScale>
    </cfRule>
  </conditionalFormatting>
  <conditionalFormatting sqref="AC33:AC36">
    <cfRule type="colorScale" priority="947">
      <colorScale>
        <cfvo type="min"/>
        <cfvo type="percentile" val="50"/>
        <cfvo type="max"/>
        <color rgb="FFF8696B"/>
        <color rgb="FFFCFCFF"/>
        <color rgb="FF63BE7B"/>
      </colorScale>
    </cfRule>
  </conditionalFormatting>
  <conditionalFormatting sqref="E38:F38">
    <cfRule type="expression" dxfId="177" priority="403">
      <formula>IFERROR(E38="NA",TRUE)</formula>
    </cfRule>
  </conditionalFormatting>
  <conditionalFormatting sqref="B38:B40">
    <cfRule type="duplicateValues" dxfId="176" priority="404"/>
  </conditionalFormatting>
  <conditionalFormatting sqref="C38">
    <cfRule type="duplicateValues" dxfId="175" priority="405"/>
  </conditionalFormatting>
  <conditionalFormatting sqref="G38">
    <cfRule type="expression" dxfId="174" priority="402">
      <formula>IFERROR(G38="NA",TRUE)</formula>
    </cfRule>
  </conditionalFormatting>
  <conditionalFormatting sqref="D13:D14 D11 D4:D9">
    <cfRule type="duplicateValues" dxfId="173" priority="989"/>
  </conditionalFormatting>
  <conditionalFormatting sqref="X3:X32">
    <cfRule type="colorScale" priority="993">
      <colorScale>
        <cfvo type="min"/>
        <cfvo type="percentile" val="50"/>
        <cfvo type="max"/>
        <color rgb="FFF8696B"/>
        <color rgb="FFFCFCFF"/>
        <color rgb="FF63BE7B"/>
      </colorScale>
    </cfRule>
    <cfRule type="expression" dxfId="172" priority="994">
      <formula>IFERROR(X3="NA",TRUE)</formula>
    </cfRule>
  </conditionalFormatting>
  <conditionalFormatting sqref="Q3:Q32">
    <cfRule type="colorScale" priority="997">
      <colorScale>
        <cfvo type="min"/>
        <cfvo type="percentile" val="50"/>
        <cfvo type="max"/>
        <color rgb="FFF8696B"/>
        <color rgb="FFFCFCFF"/>
        <color rgb="FF63BE7B"/>
      </colorScale>
    </cfRule>
  </conditionalFormatting>
  <conditionalFormatting sqref="E40:F40">
    <cfRule type="expression" dxfId="171" priority="378">
      <formula>IFERROR(E40="NA",TRUE)</formula>
    </cfRule>
  </conditionalFormatting>
  <conditionalFormatting sqref="AC39:AC40">
    <cfRule type="colorScale" priority="374">
      <colorScale>
        <cfvo type="min"/>
        <cfvo type="percentile" val="50"/>
        <cfvo type="max"/>
        <color rgb="FFF8696B"/>
        <color rgb="FFFCFCFF"/>
        <color rgb="FF63BE7B"/>
      </colorScale>
    </cfRule>
    <cfRule type="expression" dxfId="170" priority="375">
      <formula>IFERROR(AC39="NA",TRUE)</formula>
    </cfRule>
  </conditionalFormatting>
  <conditionalFormatting sqref="AC39:AC40">
    <cfRule type="colorScale" priority="376">
      <colorScale>
        <cfvo type="min"/>
        <cfvo type="percentile" val="50"/>
        <cfvo type="max"/>
        <color rgb="FFF8696B"/>
        <color rgb="FFFCFCFF"/>
        <color rgb="FF63BE7B"/>
      </colorScale>
    </cfRule>
  </conditionalFormatting>
  <conditionalFormatting sqref="AC39:AC40">
    <cfRule type="colorScale" priority="377">
      <colorScale>
        <cfvo type="min"/>
        <cfvo type="percentile" val="50"/>
        <cfvo type="max"/>
        <color rgb="FFF8696B"/>
        <color rgb="FFFCFCFF"/>
        <color rgb="FF63BE7B"/>
      </colorScale>
    </cfRule>
  </conditionalFormatting>
  <conditionalFormatting sqref="Q41">
    <cfRule type="expression" dxfId="169" priority="360">
      <formula>IFERROR(Q41="NA",TRUE)</formula>
    </cfRule>
  </conditionalFormatting>
  <conditionalFormatting sqref="AA41">
    <cfRule type="colorScale" priority="361">
      <colorScale>
        <cfvo type="min"/>
        <cfvo type="percentile" val="50"/>
        <cfvo type="max"/>
        <color rgb="FFF8696B"/>
        <color rgb="FFFCFCFF"/>
        <color rgb="FF63BE7B"/>
      </colorScale>
    </cfRule>
    <cfRule type="expression" dxfId="168" priority="362">
      <formula>IFERROR(AA41="NA",TRUE)</formula>
    </cfRule>
  </conditionalFormatting>
  <conditionalFormatting sqref="X41">
    <cfRule type="colorScale" priority="363">
      <colorScale>
        <cfvo type="min"/>
        <cfvo type="percentile" val="50"/>
        <cfvo type="max"/>
        <color rgb="FFF8696B"/>
        <color rgb="FFFCFCFF"/>
        <color rgb="FF63BE7B"/>
      </colorScale>
    </cfRule>
    <cfRule type="expression" dxfId="167" priority="364">
      <formula>IFERROR(X41="NA",TRUE)</formula>
    </cfRule>
  </conditionalFormatting>
  <conditionalFormatting sqref="Q41">
    <cfRule type="colorScale" priority="359">
      <colorScale>
        <cfvo type="min"/>
        <cfvo type="percentile" val="50"/>
        <cfvo type="max"/>
        <color rgb="FFF8696B"/>
        <color rgb="FFFCFCFF"/>
        <color rgb="FF63BE7B"/>
      </colorScale>
    </cfRule>
  </conditionalFormatting>
  <conditionalFormatting sqref="X41">
    <cfRule type="colorScale" priority="358">
      <colorScale>
        <cfvo type="min"/>
        <cfvo type="percentile" val="50"/>
        <cfvo type="max"/>
        <color rgb="FFF8696B"/>
        <color rgb="FFFCFCFF"/>
        <color rgb="FF63BE7B"/>
      </colorScale>
    </cfRule>
  </conditionalFormatting>
  <conditionalFormatting sqref="AA41">
    <cfRule type="colorScale" priority="357">
      <colorScale>
        <cfvo type="min"/>
        <cfvo type="percentile" val="50"/>
        <cfvo type="max"/>
        <color rgb="FFF8696B"/>
        <color rgb="FFFCFCFF"/>
        <color rgb="FF63BE7B"/>
      </colorScale>
    </cfRule>
  </conditionalFormatting>
  <conditionalFormatting sqref="AB41">
    <cfRule type="colorScale" priority="370">
      <colorScale>
        <cfvo type="min"/>
        <cfvo type="percentile" val="50"/>
        <cfvo type="max"/>
        <color rgb="FFF8696B"/>
        <color rgb="FFFCFCFF"/>
        <color rgb="FF63BE7B"/>
      </colorScale>
    </cfRule>
    <cfRule type="expression" dxfId="166" priority="371">
      <formula>IFERROR(AB41="NA",TRUE)</formula>
    </cfRule>
  </conditionalFormatting>
  <conditionalFormatting sqref="AB41">
    <cfRule type="colorScale" priority="372">
      <colorScale>
        <cfvo type="min"/>
        <cfvo type="percentile" val="50"/>
        <cfvo type="max"/>
        <color rgb="FFF8696B"/>
        <color rgb="FFFCFCFF"/>
        <color rgb="FF63BE7B"/>
      </colorScale>
    </cfRule>
  </conditionalFormatting>
  <conditionalFormatting sqref="B41">
    <cfRule type="duplicateValues" dxfId="165" priority="355"/>
  </conditionalFormatting>
  <conditionalFormatting sqref="AC41">
    <cfRule type="colorScale" priority="350">
      <colorScale>
        <cfvo type="min"/>
        <cfvo type="percentile" val="50"/>
        <cfvo type="max"/>
        <color rgb="FFF8696B"/>
        <color rgb="FFFCFCFF"/>
        <color rgb="FF63BE7B"/>
      </colorScale>
    </cfRule>
    <cfRule type="expression" dxfId="164" priority="351">
      <formula>IFERROR(AC41="NA",TRUE)</formula>
    </cfRule>
  </conditionalFormatting>
  <conditionalFormatting sqref="AC41">
    <cfRule type="colorScale" priority="352">
      <colorScale>
        <cfvo type="min"/>
        <cfvo type="percentile" val="50"/>
        <cfvo type="max"/>
        <color rgb="FFF8696B"/>
        <color rgb="FFFCFCFF"/>
        <color rgb="FF63BE7B"/>
      </colorScale>
    </cfRule>
  </conditionalFormatting>
  <conditionalFormatting sqref="AC41">
    <cfRule type="colorScale" priority="353">
      <colorScale>
        <cfvo type="min"/>
        <cfvo type="percentile" val="50"/>
        <cfvo type="max"/>
        <color rgb="FFF8696B"/>
        <color rgb="FFFCFCFF"/>
        <color rgb="FF63BE7B"/>
      </colorScale>
    </cfRule>
  </conditionalFormatting>
  <conditionalFormatting sqref="AA41:AC41">
    <cfRule type="colorScale" priority="349">
      <colorScale>
        <cfvo type="min"/>
        <cfvo type="percentile" val="50"/>
        <cfvo type="max"/>
        <color rgb="FFF8696B"/>
        <color rgb="FFFCFCFF"/>
        <color rgb="FF63BE7B"/>
      </colorScale>
    </cfRule>
  </conditionalFormatting>
  <conditionalFormatting sqref="J41:P41">
    <cfRule type="expression" dxfId="163" priority="348">
      <formula>IFERROR(J41="NA",TRUE)</formula>
    </cfRule>
  </conditionalFormatting>
  <conditionalFormatting sqref="E41:F41">
    <cfRule type="expression" dxfId="162" priority="346">
      <formula>IFERROR(E41="NA",TRUE)</formula>
    </cfRule>
  </conditionalFormatting>
  <conditionalFormatting sqref="G40:G41">
    <cfRule type="expression" dxfId="161" priority="345">
      <formula>IFERROR(G40="NA",TRUE)</formula>
    </cfRule>
  </conditionalFormatting>
  <conditionalFormatting sqref="X3:X32">
    <cfRule type="colorScale" priority="1106">
      <colorScale>
        <cfvo type="min"/>
        <cfvo type="percentile" val="50"/>
        <cfvo type="max"/>
        <color rgb="FFF8696B"/>
        <color rgb="FFFCFCFF"/>
        <color rgb="FF63BE7B"/>
      </colorScale>
    </cfRule>
  </conditionalFormatting>
  <conditionalFormatting sqref="AA3:AA32">
    <cfRule type="colorScale" priority="1107">
      <colorScale>
        <cfvo type="min"/>
        <cfvo type="percentile" val="50"/>
        <cfvo type="max"/>
        <color rgb="FFF8696B"/>
        <color rgb="FFFCFCFF"/>
        <color rgb="FF63BE7B"/>
      </colorScale>
    </cfRule>
  </conditionalFormatting>
  <conditionalFormatting sqref="AC3:AC32">
    <cfRule type="colorScale" priority="1108">
      <colorScale>
        <cfvo type="min"/>
        <cfvo type="percentile" val="50"/>
        <cfvo type="max"/>
        <color rgb="FFF8696B"/>
        <color rgb="FFFCFCFF"/>
        <color rgb="FF63BE7B"/>
      </colorScale>
    </cfRule>
  </conditionalFormatting>
  <conditionalFormatting sqref="AB33:AB36 AA3:AC32">
    <cfRule type="colorScale" priority="1109">
      <colorScale>
        <cfvo type="min"/>
        <cfvo type="percentile" val="50"/>
        <cfvo type="max"/>
        <color rgb="FFF8696B"/>
        <color rgb="FFFCFCFF"/>
        <color rgb="FF63BE7B"/>
      </colorScale>
    </cfRule>
    <cfRule type="expression" dxfId="160" priority="1110">
      <formula>IFERROR(AA3="NA",TRUE)</formula>
    </cfRule>
  </conditionalFormatting>
  <conditionalFormatting sqref="AB3:AB36">
    <cfRule type="colorScale" priority="1119">
      <colorScale>
        <cfvo type="min"/>
        <cfvo type="percentile" val="50"/>
        <cfvo type="max"/>
        <color rgb="FFF8696B"/>
        <color rgb="FFFCFCFF"/>
        <color rgb="FF63BE7B"/>
      </colorScale>
    </cfRule>
  </conditionalFormatting>
  <conditionalFormatting sqref="AC3:AC36">
    <cfRule type="colorScale" priority="1121">
      <colorScale>
        <cfvo type="min"/>
        <cfvo type="percentile" val="50"/>
        <cfvo type="max"/>
        <color rgb="FFF8696B"/>
        <color rgb="FFFCFCFF"/>
        <color rgb="FF63BE7B"/>
      </colorScale>
    </cfRule>
  </conditionalFormatting>
  <conditionalFormatting sqref="C3:C14 C16:C37">
    <cfRule type="duplicateValues" dxfId="159" priority="1123"/>
  </conditionalFormatting>
  <conditionalFormatting sqref="B3:B36">
    <cfRule type="duplicateValues" dxfId="158" priority="1125"/>
  </conditionalFormatting>
  <conditionalFormatting sqref="B3:B40">
    <cfRule type="duplicateValues" dxfId="157" priority="1127"/>
  </conditionalFormatting>
  <conditionalFormatting sqref="AA6:AC40">
    <cfRule type="colorScale" priority="1129">
      <colorScale>
        <cfvo type="min"/>
        <cfvo type="percentile" val="50"/>
        <cfvo type="max"/>
        <color rgb="FFF8696B"/>
        <color rgb="FFFCFCFF"/>
        <color rgb="FF63BE7B"/>
      </colorScale>
    </cfRule>
  </conditionalFormatting>
  <conditionalFormatting sqref="AD3:AE39 AD45:AE45">
    <cfRule type="expression" dxfId="156" priority="297">
      <formula>IFERROR(AD3="NA",TRUE)</formula>
    </cfRule>
  </conditionalFormatting>
  <conditionalFormatting sqref="AC45">
    <cfRule type="colorScale" priority="298">
      <colorScale>
        <cfvo type="min"/>
        <cfvo type="percentile" val="50"/>
        <cfvo type="max"/>
        <color rgb="FFF8696B"/>
        <color rgb="FFFCFCFF"/>
        <color rgb="FF63BE7B"/>
      </colorScale>
    </cfRule>
    <cfRule type="expression" dxfId="155" priority="299">
      <formula>IFERROR(AC45="NA",TRUE)</formula>
    </cfRule>
  </conditionalFormatting>
  <conditionalFormatting sqref="F3:F17">
    <cfRule type="expression" dxfId="154" priority="287">
      <formula>IFERROR(F3="NA",TRUE)</formula>
    </cfRule>
  </conditionalFormatting>
  <conditionalFormatting sqref="D15">
    <cfRule type="duplicateValues" dxfId="153" priority="285"/>
  </conditionalFormatting>
  <conditionalFormatting sqref="C15">
    <cfRule type="duplicateValues" dxfId="152" priority="286"/>
  </conditionalFormatting>
  <conditionalFormatting sqref="B42">
    <cfRule type="duplicateValues" dxfId="151" priority="278"/>
  </conditionalFormatting>
  <conditionalFormatting sqref="B42">
    <cfRule type="duplicateValues" dxfId="150" priority="277"/>
  </conditionalFormatting>
  <conditionalFormatting sqref="M42">
    <cfRule type="expression" dxfId="149" priority="276">
      <formula>IFERROR(M42="NA",TRUE)</formula>
    </cfRule>
  </conditionalFormatting>
  <conditionalFormatting sqref="AF42:AR42 BD42:FG42 J42:K42 E42:G42 N42:Q42 R3:R38 G43">
    <cfRule type="expression" dxfId="148" priority="259">
      <formula>IFERROR(E3="NA",TRUE)</formula>
    </cfRule>
  </conditionalFormatting>
  <conditionalFormatting sqref="AC42 AA42">
    <cfRule type="colorScale" priority="260">
      <colorScale>
        <cfvo type="min"/>
        <cfvo type="percentile" val="50"/>
        <cfvo type="max"/>
        <color rgb="FFF8696B"/>
        <color rgb="FFFCFCFF"/>
        <color rgb="FF63BE7B"/>
      </colorScale>
    </cfRule>
    <cfRule type="expression" dxfId="147" priority="261">
      <formula>IFERROR(AA42="NA",TRUE)</formula>
    </cfRule>
  </conditionalFormatting>
  <conditionalFormatting sqref="X42">
    <cfRule type="colorScale" priority="262">
      <colorScale>
        <cfvo type="min"/>
        <cfvo type="percentile" val="50"/>
        <cfvo type="max"/>
        <color rgb="FFF8696B"/>
        <color rgb="FFFCFCFF"/>
        <color rgb="FF63BE7B"/>
      </colorScale>
    </cfRule>
    <cfRule type="expression" dxfId="146" priority="263">
      <formula>IFERROR(X42="NA",TRUE)</formula>
    </cfRule>
  </conditionalFormatting>
  <conditionalFormatting sqref="Q42">
    <cfRule type="colorScale" priority="258">
      <colorScale>
        <cfvo type="min"/>
        <cfvo type="percentile" val="50"/>
        <cfvo type="max"/>
        <color rgb="FFF8696B"/>
        <color rgb="FFFCFCFF"/>
        <color rgb="FF63BE7B"/>
      </colorScale>
    </cfRule>
  </conditionalFormatting>
  <conditionalFormatting sqref="Q42">
    <cfRule type="colorScale" priority="264">
      <colorScale>
        <cfvo type="min"/>
        <cfvo type="percentile" val="50"/>
        <cfvo type="max"/>
        <color rgb="FFF8696B"/>
        <color rgb="FFFCFCFF"/>
        <color rgb="FF63BE7B"/>
      </colorScale>
    </cfRule>
  </conditionalFormatting>
  <conditionalFormatting sqref="AS42">
    <cfRule type="dataBar" priority="265">
      <dataBar>
        <cfvo type="min"/>
        <cfvo type="max"/>
        <color rgb="FF638EC6"/>
      </dataBar>
      <extLst>
        <ext xmlns:x14="http://schemas.microsoft.com/office/spreadsheetml/2009/9/main" uri="{B025F937-C7B1-47D3-B67F-A62EFF666E3E}">
          <x14:id>{A3747F71-93BB-4E96-AB32-91E703FC4511}</x14:id>
        </ext>
      </extLst>
    </cfRule>
  </conditionalFormatting>
  <conditionalFormatting sqref="AT42:BC42">
    <cfRule type="dataBar" priority="266">
      <dataBar>
        <cfvo type="min"/>
        <cfvo type="max"/>
        <color rgb="FF638EC6"/>
      </dataBar>
      <extLst>
        <ext xmlns:x14="http://schemas.microsoft.com/office/spreadsheetml/2009/9/main" uri="{B025F937-C7B1-47D3-B67F-A62EFF666E3E}">
          <x14:id>{4DC0A49D-5A1D-42DC-B9B7-FD70F29F18C2}</x14:id>
        </ext>
      </extLst>
    </cfRule>
  </conditionalFormatting>
  <conditionalFormatting sqref="X42">
    <cfRule type="colorScale" priority="267">
      <colorScale>
        <cfvo type="min"/>
        <cfvo type="percentile" val="50"/>
        <cfvo type="max"/>
        <color rgb="FFF8696B"/>
        <color rgb="FFFCFCFF"/>
        <color rgb="FF63BE7B"/>
      </colorScale>
    </cfRule>
  </conditionalFormatting>
  <conditionalFormatting sqref="AA42">
    <cfRule type="colorScale" priority="268">
      <colorScale>
        <cfvo type="min"/>
        <cfvo type="percentile" val="50"/>
        <cfvo type="max"/>
        <color rgb="FFF8696B"/>
        <color rgb="FFFCFCFF"/>
        <color rgb="FF63BE7B"/>
      </colorScale>
    </cfRule>
  </conditionalFormatting>
  <conditionalFormatting sqref="AC42">
    <cfRule type="colorScale" priority="269">
      <colorScale>
        <cfvo type="min"/>
        <cfvo type="percentile" val="50"/>
        <cfvo type="max"/>
        <color rgb="FFF8696B"/>
        <color rgb="FFFCFCFF"/>
        <color rgb="FF63BE7B"/>
      </colorScale>
    </cfRule>
  </conditionalFormatting>
  <conditionalFormatting sqref="AB42">
    <cfRule type="colorScale" priority="270">
      <colorScale>
        <cfvo type="min"/>
        <cfvo type="percentile" val="50"/>
        <cfvo type="max"/>
        <color rgb="FFF8696B"/>
        <color rgb="FFFCFCFF"/>
        <color rgb="FF63BE7B"/>
      </colorScale>
    </cfRule>
    <cfRule type="expression" dxfId="145" priority="271">
      <formula>IFERROR(AB42="NA",TRUE)</formula>
    </cfRule>
  </conditionalFormatting>
  <conditionalFormatting sqref="AB42">
    <cfRule type="colorScale" priority="272">
      <colorScale>
        <cfvo type="min"/>
        <cfvo type="percentile" val="50"/>
        <cfvo type="max"/>
        <color rgb="FFF8696B"/>
        <color rgb="FFFCFCFF"/>
        <color rgb="FF63BE7B"/>
      </colorScale>
    </cfRule>
  </conditionalFormatting>
  <conditionalFormatting sqref="AC42">
    <cfRule type="colorScale" priority="273">
      <colorScale>
        <cfvo type="min"/>
        <cfvo type="percentile" val="50"/>
        <cfvo type="max"/>
        <color rgb="FFF8696B"/>
        <color rgb="FFFCFCFF"/>
        <color rgb="FF63BE7B"/>
      </colorScale>
    </cfRule>
  </conditionalFormatting>
  <conditionalFormatting sqref="C42">
    <cfRule type="duplicateValues" dxfId="144" priority="274"/>
  </conditionalFormatting>
  <conditionalFormatting sqref="AA42:AC42">
    <cfRule type="colorScale" priority="275">
      <colorScale>
        <cfvo type="min"/>
        <cfvo type="percentile" val="50"/>
        <cfvo type="max"/>
        <color rgb="FFF8696B"/>
        <color rgb="FFFCFCFF"/>
        <color rgb="FF63BE7B"/>
      </colorScale>
    </cfRule>
  </conditionalFormatting>
  <conditionalFormatting sqref="L42">
    <cfRule type="expression" dxfId="143" priority="257">
      <formula>IFERROR(L42="NA",TRUE)</formula>
    </cfRule>
  </conditionalFormatting>
  <conditionalFormatting sqref="X42">
    <cfRule type="colorScale" priority="279">
      <colorScale>
        <cfvo type="min"/>
        <cfvo type="percentile" val="50"/>
        <cfvo type="max"/>
        <color rgb="FFF8696B"/>
        <color rgb="FFFFEB84"/>
        <color rgb="FF63BE7B"/>
      </colorScale>
    </cfRule>
  </conditionalFormatting>
  <conditionalFormatting sqref="AA42">
    <cfRule type="colorScale" priority="280">
      <colorScale>
        <cfvo type="min"/>
        <cfvo type="percentile" val="50"/>
        <cfvo type="max"/>
        <color rgb="FFF8696B"/>
        <color rgb="FFFFEB84"/>
        <color rgb="FF63BE7B"/>
      </colorScale>
    </cfRule>
  </conditionalFormatting>
  <conditionalFormatting sqref="X42">
    <cfRule type="colorScale" priority="281">
      <colorScale>
        <cfvo type="min"/>
        <cfvo type="percentile" val="50"/>
        <cfvo type="max"/>
        <color rgb="FFF8696B"/>
        <color rgb="FFFFEB84"/>
        <color rgb="FF63BE7B"/>
      </colorScale>
    </cfRule>
  </conditionalFormatting>
  <conditionalFormatting sqref="Q42">
    <cfRule type="colorScale" priority="282">
      <colorScale>
        <cfvo type="min"/>
        <cfvo type="percentile" val="50"/>
        <cfvo type="max"/>
        <color rgb="FFF8696B"/>
        <color rgb="FFFFEB84"/>
        <color rgb="FF63BE7B"/>
      </colorScale>
    </cfRule>
  </conditionalFormatting>
  <conditionalFormatting sqref="AB42">
    <cfRule type="colorScale" priority="283">
      <colorScale>
        <cfvo type="min"/>
        <cfvo type="percentile" val="50"/>
        <cfvo type="max"/>
        <color rgb="FFF8696B"/>
        <color rgb="FFFFEB84"/>
        <color rgb="FF63BE7B"/>
      </colorScale>
    </cfRule>
  </conditionalFormatting>
  <conditionalFormatting sqref="AC42">
    <cfRule type="colorScale" priority="284">
      <colorScale>
        <cfvo type="min"/>
        <cfvo type="percentile" val="50"/>
        <cfvo type="max"/>
        <color rgb="FFF8696B"/>
        <color rgb="FFFFEB84"/>
        <color rgb="FF63BE7B"/>
      </colorScale>
    </cfRule>
  </conditionalFormatting>
  <conditionalFormatting sqref="B43">
    <cfRule type="duplicateValues" dxfId="142" priority="250"/>
  </conditionalFormatting>
  <conditionalFormatting sqref="M43">
    <cfRule type="expression" dxfId="141" priority="249">
      <formula>IFERROR(M43="NA",TRUE)</formula>
    </cfRule>
  </conditionalFormatting>
  <conditionalFormatting sqref="AF43:AR43 BD43:FG43 J43:K43 E43:F43 N43:Q43">
    <cfRule type="expression" dxfId="140" priority="232">
      <formula>IFERROR(E43="NA",TRUE)</formula>
    </cfRule>
  </conditionalFormatting>
  <conditionalFormatting sqref="AA43 AC43">
    <cfRule type="colorScale" priority="233">
      <colorScale>
        <cfvo type="min"/>
        <cfvo type="percentile" val="50"/>
        <cfvo type="max"/>
        <color rgb="FFF8696B"/>
        <color rgb="FFFCFCFF"/>
        <color rgb="FF63BE7B"/>
      </colorScale>
    </cfRule>
    <cfRule type="expression" dxfId="139" priority="234">
      <formula>IFERROR(AA43="NA",TRUE)</formula>
    </cfRule>
  </conditionalFormatting>
  <conditionalFormatting sqref="X43">
    <cfRule type="colorScale" priority="235">
      <colorScale>
        <cfvo type="min"/>
        <cfvo type="percentile" val="50"/>
        <cfvo type="max"/>
        <color rgb="FFF8696B"/>
        <color rgb="FFFCFCFF"/>
        <color rgb="FF63BE7B"/>
      </colorScale>
    </cfRule>
    <cfRule type="expression" dxfId="138" priority="236">
      <formula>IFERROR(X43="NA",TRUE)</formula>
    </cfRule>
  </conditionalFormatting>
  <conditionalFormatting sqref="Q43">
    <cfRule type="colorScale" priority="231">
      <colorScale>
        <cfvo type="min"/>
        <cfvo type="percentile" val="50"/>
        <cfvo type="max"/>
        <color rgb="FFF8696B"/>
        <color rgb="FFFCFCFF"/>
        <color rgb="FF63BE7B"/>
      </colorScale>
    </cfRule>
  </conditionalFormatting>
  <conditionalFormatting sqref="Q43">
    <cfRule type="colorScale" priority="237">
      <colorScale>
        <cfvo type="min"/>
        <cfvo type="percentile" val="50"/>
        <cfvo type="max"/>
        <color rgb="FFF8696B"/>
        <color rgb="FFFCFCFF"/>
        <color rgb="FF63BE7B"/>
      </colorScale>
    </cfRule>
  </conditionalFormatting>
  <conditionalFormatting sqref="AS43">
    <cfRule type="dataBar" priority="238">
      <dataBar>
        <cfvo type="min"/>
        <cfvo type="max"/>
        <color rgb="FF638EC6"/>
      </dataBar>
      <extLst>
        <ext xmlns:x14="http://schemas.microsoft.com/office/spreadsheetml/2009/9/main" uri="{B025F937-C7B1-47D3-B67F-A62EFF666E3E}">
          <x14:id>{E33D94CE-F930-419C-867D-9B7856BB2074}</x14:id>
        </ext>
      </extLst>
    </cfRule>
  </conditionalFormatting>
  <conditionalFormatting sqref="AT43:BC43">
    <cfRule type="dataBar" priority="239">
      <dataBar>
        <cfvo type="min"/>
        <cfvo type="max"/>
        <color rgb="FF638EC6"/>
      </dataBar>
      <extLst>
        <ext xmlns:x14="http://schemas.microsoft.com/office/spreadsheetml/2009/9/main" uri="{B025F937-C7B1-47D3-B67F-A62EFF666E3E}">
          <x14:id>{0F542113-2E03-4FB1-B2AF-D6A969B34C2C}</x14:id>
        </ext>
      </extLst>
    </cfRule>
  </conditionalFormatting>
  <conditionalFormatting sqref="X43">
    <cfRule type="colorScale" priority="240">
      <colorScale>
        <cfvo type="min"/>
        <cfvo type="percentile" val="50"/>
        <cfvo type="max"/>
        <color rgb="FFF8696B"/>
        <color rgb="FFFCFCFF"/>
        <color rgb="FF63BE7B"/>
      </colorScale>
    </cfRule>
  </conditionalFormatting>
  <conditionalFormatting sqref="AA43">
    <cfRule type="colorScale" priority="241">
      <colorScale>
        <cfvo type="min"/>
        <cfvo type="percentile" val="50"/>
        <cfvo type="max"/>
        <color rgb="FFF8696B"/>
        <color rgb="FFFCFCFF"/>
        <color rgb="FF63BE7B"/>
      </colorScale>
    </cfRule>
  </conditionalFormatting>
  <conditionalFormatting sqref="AC43">
    <cfRule type="colorScale" priority="242">
      <colorScale>
        <cfvo type="min"/>
        <cfvo type="percentile" val="50"/>
        <cfvo type="max"/>
        <color rgb="FFF8696B"/>
        <color rgb="FFFCFCFF"/>
        <color rgb="FF63BE7B"/>
      </colorScale>
    </cfRule>
  </conditionalFormatting>
  <conditionalFormatting sqref="AB43">
    <cfRule type="colorScale" priority="243">
      <colorScale>
        <cfvo type="min"/>
        <cfvo type="percentile" val="50"/>
        <cfvo type="max"/>
        <color rgb="FFF8696B"/>
        <color rgb="FFFCFCFF"/>
        <color rgb="FF63BE7B"/>
      </colorScale>
    </cfRule>
    <cfRule type="expression" dxfId="137" priority="244">
      <formula>IFERROR(AB43="NA",TRUE)</formula>
    </cfRule>
  </conditionalFormatting>
  <conditionalFormatting sqref="AB43">
    <cfRule type="colorScale" priority="245">
      <colorScale>
        <cfvo type="min"/>
        <cfvo type="percentile" val="50"/>
        <cfvo type="max"/>
        <color rgb="FFF8696B"/>
        <color rgb="FFFCFCFF"/>
        <color rgb="FF63BE7B"/>
      </colorScale>
    </cfRule>
  </conditionalFormatting>
  <conditionalFormatting sqref="AC43">
    <cfRule type="colorScale" priority="246">
      <colorScale>
        <cfvo type="min"/>
        <cfvo type="percentile" val="50"/>
        <cfvo type="max"/>
        <color rgb="FFF8696B"/>
        <color rgb="FFFCFCFF"/>
        <color rgb="FF63BE7B"/>
      </colorScale>
    </cfRule>
  </conditionalFormatting>
  <conditionalFormatting sqref="C43">
    <cfRule type="duplicateValues" dxfId="136" priority="247"/>
  </conditionalFormatting>
  <conditionalFormatting sqref="AA43:AC43">
    <cfRule type="colorScale" priority="248">
      <colorScale>
        <cfvo type="min"/>
        <cfvo type="percentile" val="50"/>
        <cfvo type="max"/>
        <color rgb="FFF8696B"/>
        <color rgb="FFFCFCFF"/>
        <color rgb="FF63BE7B"/>
      </colorScale>
    </cfRule>
  </conditionalFormatting>
  <conditionalFormatting sqref="L43">
    <cfRule type="expression" dxfId="135" priority="230">
      <formula>IFERROR(L43="NA",TRUE)</formula>
    </cfRule>
  </conditionalFormatting>
  <conditionalFormatting sqref="X43">
    <cfRule type="colorScale" priority="251">
      <colorScale>
        <cfvo type="min"/>
        <cfvo type="percentile" val="50"/>
        <cfvo type="max"/>
        <color rgb="FFF8696B"/>
        <color rgb="FFFFEB84"/>
        <color rgb="FF63BE7B"/>
      </colorScale>
    </cfRule>
  </conditionalFormatting>
  <conditionalFormatting sqref="AA43">
    <cfRule type="colorScale" priority="252">
      <colorScale>
        <cfvo type="min"/>
        <cfvo type="percentile" val="50"/>
        <cfvo type="max"/>
        <color rgb="FFF8696B"/>
        <color rgb="FFFFEB84"/>
        <color rgb="FF63BE7B"/>
      </colorScale>
    </cfRule>
  </conditionalFormatting>
  <conditionalFormatting sqref="X43">
    <cfRule type="colorScale" priority="253">
      <colorScale>
        <cfvo type="min"/>
        <cfvo type="percentile" val="50"/>
        <cfvo type="max"/>
        <color rgb="FFF8696B"/>
        <color rgb="FFFFEB84"/>
        <color rgb="FF63BE7B"/>
      </colorScale>
    </cfRule>
  </conditionalFormatting>
  <conditionalFormatting sqref="Q43">
    <cfRule type="colorScale" priority="254">
      <colorScale>
        <cfvo type="min"/>
        <cfvo type="percentile" val="50"/>
        <cfvo type="max"/>
        <color rgb="FFF8696B"/>
        <color rgb="FFFFEB84"/>
        <color rgb="FF63BE7B"/>
      </colorScale>
    </cfRule>
  </conditionalFormatting>
  <conditionalFormatting sqref="AB43">
    <cfRule type="colorScale" priority="255">
      <colorScale>
        <cfvo type="min"/>
        <cfvo type="percentile" val="50"/>
        <cfvo type="max"/>
        <color rgb="FFF8696B"/>
        <color rgb="FFFFEB84"/>
        <color rgb="FF63BE7B"/>
      </colorScale>
    </cfRule>
  </conditionalFormatting>
  <conditionalFormatting sqref="AC43">
    <cfRule type="colorScale" priority="256">
      <colorScale>
        <cfvo type="min"/>
        <cfvo type="percentile" val="50"/>
        <cfvo type="max"/>
        <color rgb="FFF8696B"/>
        <color rgb="FFFFEB84"/>
        <color rgb="FF63BE7B"/>
      </colorScale>
    </cfRule>
  </conditionalFormatting>
  <conditionalFormatting sqref="B45">
    <cfRule type="duplicateValues" dxfId="134" priority="222"/>
  </conditionalFormatting>
  <conditionalFormatting sqref="M45">
    <cfRule type="expression" dxfId="133" priority="221">
      <formula>IFERROR(M45="NA",TRUE)</formula>
    </cfRule>
  </conditionalFormatting>
  <conditionalFormatting sqref="AF45:AR45 BD45:FG45 E45:F45 Q45 K3:O43 J45:O45">
    <cfRule type="expression" dxfId="132" priority="204">
      <formula>IFERROR(E3="NA",TRUE)</formula>
    </cfRule>
  </conditionalFormatting>
  <conditionalFormatting sqref="AA45">
    <cfRule type="colorScale" priority="205">
      <colorScale>
        <cfvo type="min"/>
        <cfvo type="percentile" val="50"/>
        <cfvo type="max"/>
        <color rgb="FFF8696B"/>
        <color rgb="FFFCFCFF"/>
        <color rgb="FF63BE7B"/>
      </colorScale>
    </cfRule>
    <cfRule type="expression" dxfId="131" priority="206">
      <formula>IFERROR(AA45="NA",TRUE)</formula>
    </cfRule>
  </conditionalFormatting>
  <conditionalFormatting sqref="X45">
    <cfRule type="colorScale" priority="207">
      <colorScale>
        <cfvo type="min"/>
        <cfvo type="percentile" val="50"/>
        <cfvo type="max"/>
        <color rgb="FFF8696B"/>
        <color rgb="FFFCFCFF"/>
        <color rgb="FF63BE7B"/>
      </colorScale>
    </cfRule>
    <cfRule type="expression" dxfId="130" priority="208">
      <formula>IFERROR(X45="NA",TRUE)</formula>
    </cfRule>
  </conditionalFormatting>
  <conditionalFormatting sqref="Q45">
    <cfRule type="colorScale" priority="203">
      <colorScale>
        <cfvo type="min"/>
        <cfvo type="percentile" val="50"/>
        <cfvo type="max"/>
        <color rgb="FFF8696B"/>
        <color rgb="FFFCFCFF"/>
        <color rgb="FF63BE7B"/>
      </colorScale>
    </cfRule>
  </conditionalFormatting>
  <conditionalFormatting sqref="Q45">
    <cfRule type="colorScale" priority="209">
      <colorScale>
        <cfvo type="min"/>
        <cfvo type="percentile" val="50"/>
        <cfvo type="max"/>
        <color rgb="FFF8696B"/>
        <color rgb="FFFCFCFF"/>
        <color rgb="FF63BE7B"/>
      </colorScale>
    </cfRule>
  </conditionalFormatting>
  <conditionalFormatting sqref="AS45">
    <cfRule type="dataBar" priority="210">
      <dataBar>
        <cfvo type="min"/>
        <cfvo type="max"/>
        <color rgb="FF638EC6"/>
      </dataBar>
      <extLst>
        <ext xmlns:x14="http://schemas.microsoft.com/office/spreadsheetml/2009/9/main" uri="{B025F937-C7B1-47D3-B67F-A62EFF666E3E}">
          <x14:id>{BE8B6B30-3340-420C-82DF-ADCEA4654812}</x14:id>
        </ext>
      </extLst>
    </cfRule>
  </conditionalFormatting>
  <conditionalFormatting sqref="AT45:BC45">
    <cfRule type="dataBar" priority="211">
      <dataBar>
        <cfvo type="min"/>
        <cfvo type="max"/>
        <color rgb="FF638EC6"/>
      </dataBar>
      <extLst>
        <ext xmlns:x14="http://schemas.microsoft.com/office/spreadsheetml/2009/9/main" uri="{B025F937-C7B1-47D3-B67F-A62EFF666E3E}">
          <x14:id>{A65E6598-7E85-4AF8-BCCC-3DB934480A12}</x14:id>
        </ext>
      </extLst>
    </cfRule>
  </conditionalFormatting>
  <conditionalFormatting sqref="X45">
    <cfRule type="colorScale" priority="212">
      <colorScale>
        <cfvo type="min"/>
        <cfvo type="percentile" val="50"/>
        <cfvo type="max"/>
        <color rgb="FFF8696B"/>
        <color rgb="FFFCFCFF"/>
        <color rgb="FF63BE7B"/>
      </colorScale>
    </cfRule>
  </conditionalFormatting>
  <conditionalFormatting sqref="AA45">
    <cfRule type="colorScale" priority="213">
      <colorScale>
        <cfvo type="min"/>
        <cfvo type="percentile" val="50"/>
        <cfvo type="max"/>
        <color rgb="FFF8696B"/>
        <color rgb="FFFCFCFF"/>
        <color rgb="FF63BE7B"/>
      </colorScale>
    </cfRule>
  </conditionalFormatting>
  <conditionalFormatting sqref="AC45">
    <cfRule type="colorScale" priority="214">
      <colorScale>
        <cfvo type="min"/>
        <cfvo type="percentile" val="50"/>
        <cfvo type="max"/>
        <color rgb="FFF8696B"/>
        <color rgb="FFFCFCFF"/>
        <color rgb="FF63BE7B"/>
      </colorScale>
    </cfRule>
  </conditionalFormatting>
  <conditionalFormatting sqref="AB45">
    <cfRule type="colorScale" priority="215">
      <colorScale>
        <cfvo type="min"/>
        <cfvo type="percentile" val="50"/>
        <cfvo type="max"/>
        <color rgb="FFF8696B"/>
        <color rgb="FFFCFCFF"/>
        <color rgb="FF63BE7B"/>
      </colorScale>
    </cfRule>
    <cfRule type="expression" dxfId="129" priority="216">
      <formula>IFERROR(AB45="NA",TRUE)</formula>
    </cfRule>
  </conditionalFormatting>
  <conditionalFormatting sqref="AB45">
    <cfRule type="colorScale" priority="217">
      <colorScale>
        <cfvo type="min"/>
        <cfvo type="percentile" val="50"/>
        <cfvo type="max"/>
        <color rgb="FFF8696B"/>
        <color rgb="FFFCFCFF"/>
        <color rgb="FF63BE7B"/>
      </colorScale>
    </cfRule>
  </conditionalFormatting>
  <conditionalFormatting sqref="AC45">
    <cfRule type="colorScale" priority="218">
      <colorScale>
        <cfvo type="min"/>
        <cfvo type="percentile" val="50"/>
        <cfvo type="max"/>
        <color rgb="FFF8696B"/>
        <color rgb="FFFCFCFF"/>
        <color rgb="FF63BE7B"/>
      </colorScale>
    </cfRule>
  </conditionalFormatting>
  <conditionalFormatting sqref="C45">
    <cfRule type="duplicateValues" dxfId="128" priority="219"/>
  </conditionalFormatting>
  <conditionalFormatting sqref="AA45:AC45">
    <cfRule type="colorScale" priority="220">
      <colorScale>
        <cfvo type="min"/>
        <cfvo type="percentile" val="50"/>
        <cfvo type="max"/>
        <color rgb="FFF8696B"/>
        <color rgb="FFFCFCFF"/>
        <color rgb="FF63BE7B"/>
      </colorScale>
    </cfRule>
  </conditionalFormatting>
  <conditionalFormatting sqref="L45">
    <cfRule type="expression" dxfId="127" priority="202">
      <formula>IFERROR(L45="NA",TRUE)</formula>
    </cfRule>
  </conditionalFormatting>
  <conditionalFormatting sqref="X45">
    <cfRule type="colorScale" priority="223">
      <colorScale>
        <cfvo type="min"/>
        <cfvo type="percentile" val="50"/>
        <cfvo type="max"/>
        <color rgb="FFF8696B"/>
        <color rgb="FFFFEB84"/>
        <color rgb="FF63BE7B"/>
      </colorScale>
    </cfRule>
  </conditionalFormatting>
  <conditionalFormatting sqref="AA45">
    <cfRule type="colorScale" priority="224">
      <colorScale>
        <cfvo type="min"/>
        <cfvo type="percentile" val="50"/>
        <cfvo type="max"/>
        <color rgb="FFF8696B"/>
        <color rgb="FFFFEB84"/>
        <color rgb="FF63BE7B"/>
      </colorScale>
    </cfRule>
  </conditionalFormatting>
  <conditionalFormatting sqref="X45">
    <cfRule type="colorScale" priority="225">
      <colorScale>
        <cfvo type="min"/>
        <cfvo type="percentile" val="50"/>
        <cfvo type="max"/>
        <color rgb="FFF8696B"/>
        <color rgb="FFFFEB84"/>
        <color rgb="FF63BE7B"/>
      </colorScale>
    </cfRule>
  </conditionalFormatting>
  <conditionalFormatting sqref="Q45">
    <cfRule type="colorScale" priority="226">
      <colorScale>
        <cfvo type="min"/>
        <cfvo type="percentile" val="50"/>
        <cfvo type="max"/>
        <color rgb="FFF8696B"/>
        <color rgb="FFFFEB84"/>
        <color rgb="FF63BE7B"/>
      </colorScale>
    </cfRule>
  </conditionalFormatting>
  <conditionalFormatting sqref="AB45">
    <cfRule type="colorScale" priority="227">
      <colorScale>
        <cfvo type="min"/>
        <cfvo type="percentile" val="50"/>
        <cfvo type="max"/>
        <color rgb="FFF8696B"/>
        <color rgb="FFFFEB84"/>
        <color rgb="FF63BE7B"/>
      </colorScale>
    </cfRule>
  </conditionalFormatting>
  <conditionalFormatting sqref="AC45">
    <cfRule type="colorScale" priority="228">
      <colorScale>
        <cfvo type="min"/>
        <cfvo type="percentile" val="50"/>
        <cfvo type="max"/>
        <color rgb="FFF8696B"/>
        <color rgb="FFFFEB84"/>
        <color rgb="FF63BE7B"/>
      </colorScale>
    </cfRule>
  </conditionalFormatting>
  <conditionalFormatting sqref="S4:V38">
    <cfRule type="expression" dxfId="126" priority="200">
      <formula>IFERROR(S4="NA",TRUE)</formula>
    </cfRule>
  </conditionalFormatting>
  <conditionalFormatting sqref="AD40:AE40 AD42:AE42">
    <cfRule type="expression" dxfId="125" priority="199">
      <formula>IFERROR(AD40="NA",TRUE)</formula>
    </cfRule>
  </conditionalFormatting>
  <conditionalFormatting sqref="AD41:AE41 AD43:AE43">
    <cfRule type="expression" dxfId="124" priority="198">
      <formula>IFERROR(AD41="NA",TRUE)</formula>
    </cfRule>
  </conditionalFormatting>
  <conditionalFormatting sqref="AD40:AE43">
    <cfRule type="expression" dxfId="123" priority="197">
      <formula>IFERROR(AD40="NA",TRUE)</formula>
    </cfRule>
  </conditionalFormatting>
  <conditionalFormatting sqref="R39:R43">
    <cfRule type="expression" dxfId="122" priority="196">
      <formula>IFERROR(R39="NA",TRUE)</formula>
    </cfRule>
  </conditionalFormatting>
  <conditionalFormatting sqref="R39:R43">
    <cfRule type="expression" dxfId="121" priority="195">
      <formula>IFERROR(R39="NA",TRUE)</formula>
    </cfRule>
  </conditionalFormatting>
  <conditionalFormatting sqref="S39:V43">
    <cfRule type="expression" dxfId="120" priority="194">
      <formula>IFERROR(S39="NA",TRUE)</formula>
    </cfRule>
  </conditionalFormatting>
  <conditionalFormatting sqref="P44">
    <cfRule type="expression" dxfId="119" priority="186">
      <formula>IFERROR(P44="NA",TRUE)</formula>
    </cfRule>
  </conditionalFormatting>
  <conditionalFormatting sqref="AD44:AE44">
    <cfRule type="expression" dxfId="118" priority="185">
      <formula>IFERROR(AD44="NA",TRUE)</formula>
    </cfRule>
  </conditionalFormatting>
  <conditionalFormatting sqref="B44">
    <cfRule type="duplicateValues" dxfId="117" priority="178"/>
  </conditionalFormatting>
  <conditionalFormatting sqref="M44">
    <cfRule type="expression" dxfId="116" priority="177">
      <formula>IFERROR(M44="NA",TRUE)</formula>
    </cfRule>
  </conditionalFormatting>
  <conditionalFormatting sqref="AF44:AR44 BD44:FG44 E44:F44 Q44 J44:O44">
    <cfRule type="expression" dxfId="115" priority="160">
      <formula>IFERROR(E44="NA",TRUE)</formula>
    </cfRule>
  </conditionalFormatting>
  <conditionalFormatting sqref="AC44 AA44">
    <cfRule type="colorScale" priority="161">
      <colorScale>
        <cfvo type="min"/>
        <cfvo type="percentile" val="50"/>
        <cfvo type="max"/>
        <color rgb="FFF8696B"/>
        <color rgb="FFFCFCFF"/>
        <color rgb="FF63BE7B"/>
      </colorScale>
    </cfRule>
    <cfRule type="expression" dxfId="114" priority="162">
      <formula>IFERROR(AA44="NA",TRUE)</formula>
    </cfRule>
  </conditionalFormatting>
  <conditionalFormatting sqref="X44">
    <cfRule type="colorScale" priority="163">
      <colorScale>
        <cfvo type="min"/>
        <cfvo type="percentile" val="50"/>
        <cfvo type="max"/>
        <color rgb="FFF8696B"/>
        <color rgb="FFFCFCFF"/>
        <color rgb="FF63BE7B"/>
      </colorScale>
    </cfRule>
    <cfRule type="expression" dxfId="113" priority="164">
      <formula>IFERROR(X44="NA",TRUE)</formula>
    </cfRule>
  </conditionalFormatting>
  <conditionalFormatting sqref="Q44">
    <cfRule type="colorScale" priority="159">
      <colorScale>
        <cfvo type="min"/>
        <cfvo type="percentile" val="50"/>
        <cfvo type="max"/>
        <color rgb="FFF8696B"/>
        <color rgb="FFFCFCFF"/>
        <color rgb="FF63BE7B"/>
      </colorScale>
    </cfRule>
  </conditionalFormatting>
  <conditionalFormatting sqref="Q44">
    <cfRule type="colorScale" priority="165">
      <colorScale>
        <cfvo type="min"/>
        <cfvo type="percentile" val="50"/>
        <cfvo type="max"/>
        <color rgb="FFF8696B"/>
        <color rgb="FFFCFCFF"/>
        <color rgb="FF63BE7B"/>
      </colorScale>
    </cfRule>
  </conditionalFormatting>
  <conditionalFormatting sqref="AS44">
    <cfRule type="dataBar" priority="166">
      <dataBar>
        <cfvo type="min"/>
        <cfvo type="max"/>
        <color rgb="FF638EC6"/>
      </dataBar>
      <extLst>
        <ext xmlns:x14="http://schemas.microsoft.com/office/spreadsheetml/2009/9/main" uri="{B025F937-C7B1-47D3-B67F-A62EFF666E3E}">
          <x14:id>{CB7C57E6-8122-459F-ABA2-9A8E250D73CA}</x14:id>
        </ext>
      </extLst>
    </cfRule>
  </conditionalFormatting>
  <conditionalFormatting sqref="AT44:BC44">
    <cfRule type="dataBar" priority="167">
      <dataBar>
        <cfvo type="min"/>
        <cfvo type="max"/>
        <color rgb="FF638EC6"/>
      </dataBar>
      <extLst>
        <ext xmlns:x14="http://schemas.microsoft.com/office/spreadsheetml/2009/9/main" uri="{B025F937-C7B1-47D3-B67F-A62EFF666E3E}">
          <x14:id>{14594AC5-72A3-4CA9-BC07-ACAFA5C00E25}</x14:id>
        </ext>
      </extLst>
    </cfRule>
  </conditionalFormatting>
  <conditionalFormatting sqref="X44">
    <cfRule type="colorScale" priority="168">
      <colorScale>
        <cfvo type="min"/>
        <cfvo type="percentile" val="50"/>
        <cfvo type="max"/>
        <color rgb="FFF8696B"/>
        <color rgb="FFFCFCFF"/>
        <color rgb="FF63BE7B"/>
      </colorScale>
    </cfRule>
  </conditionalFormatting>
  <conditionalFormatting sqref="AA44">
    <cfRule type="colorScale" priority="169">
      <colorScale>
        <cfvo type="min"/>
        <cfvo type="percentile" val="50"/>
        <cfvo type="max"/>
        <color rgb="FFF8696B"/>
        <color rgb="FFFCFCFF"/>
        <color rgb="FF63BE7B"/>
      </colorScale>
    </cfRule>
  </conditionalFormatting>
  <conditionalFormatting sqref="AC44">
    <cfRule type="colorScale" priority="170">
      <colorScale>
        <cfvo type="min"/>
        <cfvo type="percentile" val="50"/>
        <cfvo type="max"/>
        <color rgb="FFF8696B"/>
        <color rgb="FFFCFCFF"/>
        <color rgb="FF63BE7B"/>
      </colorScale>
    </cfRule>
  </conditionalFormatting>
  <conditionalFormatting sqref="AB44">
    <cfRule type="colorScale" priority="171">
      <colorScale>
        <cfvo type="min"/>
        <cfvo type="percentile" val="50"/>
        <cfvo type="max"/>
        <color rgb="FFF8696B"/>
        <color rgb="FFFCFCFF"/>
        <color rgb="FF63BE7B"/>
      </colorScale>
    </cfRule>
    <cfRule type="expression" dxfId="112" priority="172">
      <formula>IFERROR(AB44="NA",TRUE)</formula>
    </cfRule>
  </conditionalFormatting>
  <conditionalFormatting sqref="AB44">
    <cfRule type="colorScale" priority="173">
      <colorScale>
        <cfvo type="min"/>
        <cfvo type="percentile" val="50"/>
        <cfvo type="max"/>
        <color rgb="FFF8696B"/>
        <color rgb="FFFCFCFF"/>
        <color rgb="FF63BE7B"/>
      </colorScale>
    </cfRule>
  </conditionalFormatting>
  <conditionalFormatting sqref="AC44">
    <cfRule type="colorScale" priority="174">
      <colorScale>
        <cfvo type="min"/>
        <cfvo type="percentile" val="50"/>
        <cfvo type="max"/>
        <color rgb="FFF8696B"/>
        <color rgb="FFFCFCFF"/>
        <color rgb="FF63BE7B"/>
      </colorScale>
    </cfRule>
  </conditionalFormatting>
  <conditionalFormatting sqref="C44">
    <cfRule type="duplicateValues" dxfId="111" priority="175"/>
  </conditionalFormatting>
  <conditionalFormatting sqref="AA44:AC44">
    <cfRule type="colorScale" priority="176">
      <colorScale>
        <cfvo type="min"/>
        <cfvo type="percentile" val="50"/>
        <cfvo type="max"/>
        <color rgb="FFF8696B"/>
        <color rgb="FFFCFCFF"/>
        <color rgb="FF63BE7B"/>
      </colorScale>
    </cfRule>
  </conditionalFormatting>
  <conditionalFormatting sqref="L44">
    <cfRule type="expression" dxfId="110" priority="158">
      <formula>IFERROR(L44="NA",TRUE)</formula>
    </cfRule>
  </conditionalFormatting>
  <conditionalFormatting sqref="X44">
    <cfRule type="colorScale" priority="179">
      <colorScale>
        <cfvo type="min"/>
        <cfvo type="percentile" val="50"/>
        <cfvo type="max"/>
        <color rgb="FFF8696B"/>
        <color rgb="FFFFEB84"/>
        <color rgb="FF63BE7B"/>
      </colorScale>
    </cfRule>
  </conditionalFormatting>
  <conditionalFormatting sqref="AA44">
    <cfRule type="colorScale" priority="180">
      <colorScale>
        <cfvo type="min"/>
        <cfvo type="percentile" val="50"/>
        <cfvo type="max"/>
        <color rgb="FFF8696B"/>
        <color rgb="FFFFEB84"/>
        <color rgb="FF63BE7B"/>
      </colorScale>
    </cfRule>
  </conditionalFormatting>
  <conditionalFormatting sqref="X44">
    <cfRule type="colorScale" priority="181">
      <colorScale>
        <cfvo type="min"/>
        <cfvo type="percentile" val="50"/>
        <cfvo type="max"/>
        <color rgb="FFF8696B"/>
        <color rgb="FFFFEB84"/>
        <color rgb="FF63BE7B"/>
      </colorScale>
    </cfRule>
  </conditionalFormatting>
  <conditionalFormatting sqref="Q44">
    <cfRule type="colorScale" priority="182">
      <colorScale>
        <cfvo type="min"/>
        <cfvo type="percentile" val="50"/>
        <cfvo type="max"/>
        <color rgb="FFF8696B"/>
        <color rgb="FFFFEB84"/>
        <color rgb="FF63BE7B"/>
      </colorScale>
    </cfRule>
  </conditionalFormatting>
  <conditionalFormatting sqref="AB44">
    <cfRule type="colorScale" priority="183">
      <colorScale>
        <cfvo type="min"/>
        <cfvo type="percentile" val="50"/>
        <cfvo type="max"/>
        <color rgb="FFF8696B"/>
        <color rgb="FFFFEB84"/>
        <color rgb="FF63BE7B"/>
      </colorScale>
    </cfRule>
  </conditionalFormatting>
  <conditionalFormatting sqref="AC44">
    <cfRule type="colorScale" priority="184">
      <colorScale>
        <cfvo type="min"/>
        <cfvo type="percentile" val="50"/>
        <cfvo type="max"/>
        <color rgb="FFF8696B"/>
        <color rgb="FFFFEB84"/>
        <color rgb="FF63BE7B"/>
      </colorScale>
    </cfRule>
  </conditionalFormatting>
  <conditionalFormatting sqref="R44">
    <cfRule type="expression" dxfId="109" priority="157">
      <formula>IFERROR(R44="NA",TRUE)</formula>
    </cfRule>
  </conditionalFormatting>
  <conditionalFormatting sqref="R44">
    <cfRule type="expression" dxfId="108" priority="156">
      <formula>IFERROR(R44="NA",TRUE)</formula>
    </cfRule>
  </conditionalFormatting>
  <conditionalFormatting sqref="S44:V44">
    <cfRule type="expression" dxfId="107" priority="155">
      <formula>IFERROR(S44="NA",TRUE)</formula>
    </cfRule>
  </conditionalFormatting>
  <conditionalFormatting sqref="Q44">
    <cfRule type="colorScale" priority="154">
      <colorScale>
        <cfvo type="min"/>
        <cfvo type="percentile" val="50"/>
        <cfvo type="max"/>
        <color rgb="FFF8696B"/>
        <color rgb="FFFFEB84"/>
        <color rgb="FF63BE7B"/>
      </colorScale>
    </cfRule>
  </conditionalFormatting>
  <conditionalFormatting sqref="X44">
    <cfRule type="colorScale" priority="153">
      <colorScale>
        <cfvo type="min"/>
        <cfvo type="percentile" val="50"/>
        <cfvo type="max"/>
        <color rgb="FFF8696B"/>
        <color rgb="FFFFEB84"/>
        <color rgb="FF63BE7B"/>
      </colorScale>
    </cfRule>
  </conditionalFormatting>
  <conditionalFormatting sqref="AA44">
    <cfRule type="colorScale" priority="152">
      <colorScale>
        <cfvo type="min"/>
        <cfvo type="percentile" val="50"/>
        <cfvo type="max"/>
        <color rgb="FFF8696B"/>
        <color rgb="FFFFEB84"/>
        <color rgb="FF63BE7B"/>
      </colorScale>
    </cfRule>
  </conditionalFormatting>
  <conditionalFormatting sqref="AB44">
    <cfRule type="colorScale" priority="151">
      <colorScale>
        <cfvo type="min"/>
        <cfvo type="percentile" val="50"/>
        <cfvo type="max"/>
        <color rgb="FFF8696B"/>
        <color rgb="FFFFEB84"/>
        <color rgb="FF63BE7B"/>
      </colorScale>
    </cfRule>
  </conditionalFormatting>
  <conditionalFormatting sqref="AC44">
    <cfRule type="colorScale" priority="150">
      <colorScale>
        <cfvo type="min"/>
        <cfvo type="percentile" val="50"/>
        <cfvo type="max"/>
        <color rgb="FFF8696B"/>
        <color rgb="FFFFEB84"/>
        <color rgb="FF63BE7B"/>
      </colorScale>
    </cfRule>
  </conditionalFormatting>
  <conditionalFormatting sqref="D44">
    <cfRule type="duplicateValues" dxfId="106" priority="149"/>
  </conditionalFormatting>
  <conditionalFormatting sqref="G44">
    <cfRule type="expression" dxfId="105" priority="148">
      <formula>IFERROR(G44="NA",TRUE)</formula>
    </cfRule>
  </conditionalFormatting>
  <conditionalFormatting sqref="G45">
    <cfRule type="expression" dxfId="104" priority="140">
      <formula>IFERROR(G45="NA",TRUE)</formula>
    </cfRule>
  </conditionalFormatting>
  <conditionalFormatting sqref="P47">
    <cfRule type="expression" dxfId="103" priority="133">
      <formula>IFERROR(P47="NA",TRUE)</formula>
    </cfRule>
  </conditionalFormatting>
  <conditionalFormatting sqref="B47">
    <cfRule type="duplicateValues" dxfId="102" priority="132"/>
  </conditionalFormatting>
  <conditionalFormatting sqref="M47">
    <cfRule type="expression" dxfId="101" priority="131">
      <formula>IFERROR(M47="NA",TRUE)</formula>
    </cfRule>
  </conditionalFormatting>
  <conditionalFormatting sqref="AF47:AR47 BD47:FG47 J47:K47 E47:F47 N47:Q47">
    <cfRule type="expression" dxfId="100" priority="114">
      <formula>IFERROR(E47="NA",TRUE)</formula>
    </cfRule>
  </conditionalFormatting>
  <conditionalFormatting sqref="AC47 AA47">
    <cfRule type="colorScale" priority="115">
      <colorScale>
        <cfvo type="min"/>
        <cfvo type="percentile" val="50"/>
        <cfvo type="max"/>
        <color rgb="FFF8696B"/>
        <color rgb="FFFCFCFF"/>
        <color rgb="FF63BE7B"/>
      </colorScale>
    </cfRule>
    <cfRule type="expression" dxfId="99" priority="116">
      <formula>IFERROR(AA47="NA",TRUE)</formula>
    </cfRule>
  </conditionalFormatting>
  <conditionalFormatting sqref="X47">
    <cfRule type="colorScale" priority="117">
      <colorScale>
        <cfvo type="min"/>
        <cfvo type="percentile" val="50"/>
        <cfvo type="max"/>
        <color rgb="FFF8696B"/>
        <color rgb="FFFCFCFF"/>
        <color rgb="FF63BE7B"/>
      </colorScale>
    </cfRule>
    <cfRule type="expression" dxfId="98" priority="118">
      <formula>IFERROR(X47="NA",TRUE)</formula>
    </cfRule>
  </conditionalFormatting>
  <conditionalFormatting sqref="Q47">
    <cfRule type="colorScale" priority="113">
      <colorScale>
        <cfvo type="min"/>
        <cfvo type="percentile" val="50"/>
        <cfvo type="max"/>
        <color rgb="FFF8696B"/>
        <color rgb="FFFCFCFF"/>
        <color rgb="FF63BE7B"/>
      </colorScale>
    </cfRule>
  </conditionalFormatting>
  <conditionalFormatting sqref="Q47">
    <cfRule type="colorScale" priority="119">
      <colorScale>
        <cfvo type="min"/>
        <cfvo type="percentile" val="50"/>
        <cfvo type="max"/>
        <color rgb="FFF8696B"/>
        <color rgb="FFFCFCFF"/>
        <color rgb="FF63BE7B"/>
      </colorScale>
    </cfRule>
  </conditionalFormatting>
  <conditionalFormatting sqref="AS47">
    <cfRule type="dataBar" priority="120">
      <dataBar>
        <cfvo type="min"/>
        <cfvo type="max"/>
        <color rgb="FF638EC6"/>
      </dataBar>
      <extLst>
        <ext xmlns:x14="http://schemas.microsoft.com/office/spreadsheetml/2009/9/main" uri="{B025F937-C7B1-47D3-B67F-A62EFF666E3E}">
          <x14:id>{8C2730AB-3467-457B-B0B9-7A557E692330}</x14:id>
        </ext>
      </extLst>
    </cfRule>
  </conditionalFormatting>
  <conditionalFormatting sqref="AT47:BC47">
    <cfRule type="dataBar" priority="121">
      <dataBar>
        <cfvo type="min"/>
        <cfvo type="max"/>
        <color rgb="FF638EC6"/>
      </dataBar>
      <extLst>
        <ext xmlns:x14="http://schemas.microsoft.com/office/spreadsheetml/2009/9/main" uri="{B025F937-C7B1-47D3-B67F-A62EFF666E3E}">
          <x14:id>{7E4956FA-26BA-49EA-82D2-C1B31C76C552}</x14:id>
        </ext>
      </extLst>
    </cfRule>
  </conditionalFormatting>
  <conditionalFormatting sqref="X47">
    <cfRule type="colorScale" priority="122">
      <colorScale>
        <cfvo type="min"/>
        <cfvo type="percentile" val="50"/>
        <cfvo type="max"/>
        <color rgb="FFF8696B"/>
        <color rgb="FFFCFCFF"/>
        <color rgb="FF63BE7B"/>
      </colorScale>
    </cfRule>
  </conditionalFormatting>
  <conditionalFormatting sqref="AA47">
    <cfRule type="colorScale" priority="123">
      <colorScale>
        <cfvo type="min"/>
        <cfvo type="percentile" val="50"/>
        <cfvo type="max"/>
        <color rgb="FFF8696B"/>
        <color rgb="FFFCFCFF"/>
        <color rgb="FF63BE7B"/>
      </colorScale>
    </cfRule>
  </conditionalFormatting>
  <conditionalFormatting sqref="AC47">
    <cfRule type="colorScale" priority="124">
      <colorScale>
        <cfvo type="min"/>
        <cfvo type="percentile" val="50"/>
        <cfvo type="max"/>
        <color rgb="FFF8696B"/>
        <color rgb="FFFCFCFF"/>
        <color rgb="FF63BE7B"/>
      </colorScale>
    </cfRule>
  </conditionalFormatting>
  <conditionalFormatting sqref="AB47">
    <cfRule type="colorScale" priority="125">
      <colorScale>
        <cfvo type="min"/>
        <cfvo type="percentile" val="50"/>
        <cfvo type="max"/>
        <color rgb="FFF8696B"/>
        <color rgb="FFFCFCFF"/>
        <color rgb="FF63BE7B"/>
      </colorScale>
    </cfRule>
    <cfRule type="expression" dxfId="97" priority="126">
      <formula>IFERROR(AB47="NA",TRUE)</formula>
    </cfRule>
  </conditionalFormatting>
  <conditionalFormatting sqref="AB47">
    <cfRule type="colorScale" priority="127">
      <colorScale>
        <cfvo type="min"/>
        <cfvo type="percentile" val="50"/>
        <cfvo type="max"/>
        <color rgb="FFF8696B"/>
        <color rgb="FFFCFCFF"/>
        <color rgb="FF63BE7B"/>
      </colorScale>
    </cfRule>
  </conditionalFormatting>
  <conditionalFormatting sqref="AC47">
    <cfRule type="colorScale" priority="128">
      <colorScale>
        <cfvo type="min"/>
        <cfvo type="percentile" val="50"/>
        <cfvo type="max"/>
        <color rgb="FFF8696B"/>
        <color rgb="FFFCFCFF"/>
        <color rgb="FF63BE7B"/>
      </colorScale>
    </cfRule>
  </conditionalFormatting>
  <conditionalFormatting sqref="C47">
    <cfRule type="duplicateValues" dxfId="96" priority="129"/>
  </conditionalFormatting>
  <conditionalFormatting sqref="AA47:AC47">
    <cfRule type="colorScale" priority="130">
      <colorScale>
        <cfvo type="min"/>
        <cfvo type="percentile" val="50"/>
        <cfvo type="max"/>
        <color rgb="FFF8696B"/>
        <color rgb="FFFCFCFF"/>
        <color rgb="FF63BE7B"/>
      </colorScale>
    </cfRule>
  </conditionalFormatting>
  <conditionalFormatting sqref="L47">
    <cfRule type="expression" dxfId="95" priority="112">
      <formula>IFERROR(L47="NA",TRUE)</formula>
    </cfRule>
  </conditionalFormatting>
  <conditionalFormatting sqref="X47">
    <cfRule type="colorScale" priority="134">
      <colorScale>
        <cfvo type="min"/>
        <cfvo type="percentile" val="50"/>
        <cfvo type="max"/>
        <color rgb="FFF8696B"/>
        <color rgb="FFFFEB84"/>
        <color rgb="FF63BE7B"/>
      </colorScale>
    </cfRule>
  </conditionalFormatting>
  <conditionalFormatting sqref="AA47">
    <cfRule type="colorScale" priority="135">
      <colorScale>
        <cfvo type="min"/>
        <cfvo type="percentile" val="50"/>
        <cfvo type="max"/>
        <color rgb="FFF8696B"/>
        <color rgb="FFFFEB84"/>
        <color rgb="FF63BE7B"/>
      </colorScale>
    </cfRule>
  </conditionalFormatting>
  <conditionalFormatting sqref="X47">
    <cfRule type="colorScale" priority="136">
      <colorScale>
        <cfvo type="min"/>
        <cfvo type="percentile" val="50"/>
        <cfvo type="max"/>
        <color rgb="FFF8696B"/>
        <color rgb="FFFFEB84"/>
        <color rgb="FF63BE7B"/>
      </colorScale>
    </cfRule>
  </conditionalFormatting>
  <conditionalFormatting sqref="Q47">
    <cfRule type="colorScale" priority="137">
      <colorScale>
        <cfvo type="min"/>
        <cfvo type="percentile" val="50"/>
        <cfvo type="max"/>
        <color rgb="FFF8696B"/>
        <color rgb="FFFFEB84"/>
        <color rgb="FF63BE7B"/>
      </colorScale>
    </cfRule>
  </conditionalFormatting>
  <conditionalFormatting sqref="AB47">
    <cfRule type="colorScale" priority="138">
      <colorScale>
        <cfvo type="min"/>
        <cfvo type="percentile" val="50"/>
        <cfvo type="max"/>
        <color rgb="FFF8696B"/>
        <color rgb="FFFFEB84"/>
        <color rgb="FF63BE7B"/>
      </colorScale>
    </cfRule>
  </conditionalFormatting>
  <conditionalFormatting sqref="AC47">
    <cfRule type="colorScale" priority="139">
      <colorScale>
        <cfvo type="min"/>
        <cfvo type="percentile" val="50"/>
        <cfvo type="max"/>
        <color rgb="FFF8696B"/>
        <color rgb="FFFFEB84"/>
        <color rgb="FF63BE7B"/>
      </colorScale>
    </cfRule>
  </conditionalFormatting>
  <conditionalFormatting sqref="K47:O47">
    <cfRule type="expression" dxfId="94" priority="111">
      <formula>IFERROR(K47="NA",TRUE)</formula>
    </cfRule>
  </conditionalFormatting>
  <conditionalFormatting sqref="AD47:AE47">
    <cfRule type="expression" dxfId="93" priority="110">
      <formula>IFERROR(AD47="NA",TRUE)</formula>
    </cfRule>
  </conditionalFormatting>
  <conditionalFormatting sqref="AD47:AE47">
    <cfRule type="expression" dxfId="92" priority="109">
      <formula>IFERROR(AD47="NA",TRUE)</formula>
    </cfRule>
  </conditionalFormatting>
  <conditionalFormatting sqref="R47">
    <cfRule type="expression" dxfId="91" priority="108">
      <formula>IFERROR(R47="NA",TRUE)</formula>
    </cfRule>
  </conditionalFormatting>
  <conditionalFormatting sqref="R47">
    <cfRule type="expression" dxfId="90" priority="107">
      <formula>IFERROR(R47="NA",TRUE)</formula>
    </cfRule>
  </conditionalFormatting>
  <conditionalFormatting sqref="S47:V47">
    <cfRule type="expression" dxfId="89" priority="106">
      <formula>IFERROR(S47="NA",TRUE)</formula>
    </cfRule>
  </conditionalFormatting>
  <conditionalFormatting sqref="Q47">
    <cfRule type="colorScale" priority="105">
      <colorScale>
        <cfvo type="min"/>
        <cfvo type="percentile" val="50"/>
        <cfvo type="max"/>
        <color rgb="FFF8696B"/>
        <color rgb="FFFFEB84"/>
        <color rgb="FF63BE7B"/>
      </colorScale>
    </cfRule>
  </conditionalFormatting>
  <conditionalFormatting sqref="X47">
    <cfRule type="colorScale" priority="104">
      <colorScale>
        <cfvo type="min"/>
        <cfvo type="percentile" val="50"/>
        <cfvo type="max"/>
        <color rgb="FFF8696B"/>
        <color rgb="FFFFEB84"/>
        <color rgb="FF63BE7B"/>
      </colorScale>
    </cfRule>
  </conditionalFormatting>
  <conditionalFormatting sqref="AA47">
    <cfRule type="colorScale" priority="103">
      <colorScale>
        <cfvo type="min"/>
        <cfvo type="percentile" val="50"/>
        <cfvo type="max"/>
        <color rgb="FFF8696B"/>
        <color rgb="FFFFEB84"/>
        <color rgb="FF63BE7B"/>
      </colorScale>
    </cfRule>
  </conditionalFormatting>
  <conditionalFormatting sqref="AB47">
    <cfRule type="colorScale" priority="102">
      <colorScale>
        <cfvo type="min"/>
        <cfvo type="percentile" val="50"/>
        <cfvo type="max"/>
        <color rgb="FFF8696B"/>
        <color rgb="FFFFEB84"/>
        <color rgb="FF63BE7B"/>
      </colorScale>
    </cfRule>
  </conditionalFormatting>
  <conditionalFormatting sqref="AC47">
    <cfRule type="colorScale" priority="101">
      <colorScale>
        <cfvo type="min"/>
        <cfvo type="percentile" val="50"/>
        <cfvo type="max"/>
        <color rgb="FFF8696B"/>
        <color rgb="FFFFEB84"/>
        <color rgb="FF63BE7B"/>
      </colorScale>
    </cfRule>
  </conditionalFormatting>
  <conditionalFormatting sqref="D47">
    <cfRule type="duplicateValues" dxfId="88" priority="100"/>
  </conditionalFormatting>
  <conditionalFormatting sqref="Q47">
    <cfRule type="colorScale" priority="99">
      <colorScale>
        <cfvo type="min"/>
        <cfvo type="percentile" val="50"/>
        <cfvo type="max"/>
        <color rgb="FFF8696B"/>
        <color rgb="FFFFEB84"/>
        <color rgb="FF63BE7B"/>
      </colorScale>
    </cfRule>
  </conditionalFormatting>
  <conditionalFormatting sqref="X47">
    <cfRule type="colorScale" priority="98">
      <colorScale>
        <cfvo type="min"/>
        <cfvo type="percentile" val="50"/>
        <cfvo type="max"/>
        <color rgb="FFF8696B"/>
        <color rgb="FFFFEB84"/>
        <color rgb="FF63BE7B"/>
      </colorScale>
    </cfRule>
  </conditionalFormatting>
  <conditionalFormatting sqref="AA47">
    <cfRule type="colorScale" priority="97">
      <colorScale>
        <cfvo type="min"/>
        <cfvo type="percentile" val="50"/>
        <cfvo type="max"/>
        <color rgb="FFF8696B"/>
        <color rgb="FFFFEB84"/>
        <color rgb="FF63BE7B"/>
      </colorScale>
    </cfRule>
  </conditionalFormatting>
  <conditionalFormatting sqref="AB47">
    <cfRule type="colorScale" priority="96">
      <colorScale>
        <cfvo type="min"/>
        <cfvo type="percentile" val="50"/>
        <cfvo type="max"/>
        <color rgb="FFF8696B"/>
        <color rgb="FFFFEB84"/>
        <color rgb="FF63BE7B"/>
      </colorScale>
    </cfRule>
  </conditionalFormatting>
  <conditionalFormatting sqref="AC47">
    <cfRule type="colorScale" priority="95">
      <colorScale>
        <cfvo type="min"/>
        <cfvo type="percentile" val="50"/>
        <cfvo type="max"/>
        <color rgb="FFF8696B"/>
        <color rgb="FFFFEB84"/>
        <color rgb="FF63BE7B"/>
      </colorScale>
    </cfRule>
  </conditionalFormatting>
  <conditionalFormatting sqref="G47">
    <cfRule type="expression" dxfId="87" priority="94">
      <formula>IFERROR(G47="NA",TRUE)</formula>
    </cfRule>
  </conditionalFormatting>
  <conditionalFormatting sqref="B41">
    <cfRule type="duplicateValues" dxfId="86" priority="1137"/>
  </conditionalFormatting>
  <conditionalFormatting sqref="X17:X41">
    <cfRule type="colorScale" priority="1138">
      <colorScale>
        <cfvo type="min"/>
        <cfvo type="percentile" val="50"/>
        <cfvo type="max"/>
        <color rgb="FFF8696B"/>
        <color rgb="FFFFEB84"/>
        <color rgb="FF63BE7B"/>
      </colorScale>
    </cfRule>
  </conditionalFormatting>
  <conditionalFormatting sqref="AA17:AA41">
    <cfRule type="colorScale" priority="1139">
      <colorScale>
        <cfvo type="min"/>
        <cfvo type="percentile" val="50"/>
        <cfvo type="max"/>
        <color rgb="FFF8696B"/>
        <color rgb="FFFFEB84"/>
        <color rgb="FF63BE7B"/>
      </colorScale>
    </cfRule>
  </conditionalFormatting>
  <conditionalFormatting sqref="X3:X41">
    <cfRule type="colorScale" priority="1140">
      <colorScale>
        <cfvo type="min"/>
        <cfvo type="percentile" val="50"/>
        <cfvo type="max"/>
        <color rgb="FFF8696B"/>
        <color rgb="FFFFEB84"/>
        <color rgb="FF63BE7B"/>
      </colorScale>
    </cfRule>
  </conditionalFormatting>
  <conditionalFormatting sqref="Q3:Q41">
    <cfRule type="colorScale" priority="1141">
      <colorScale>
        <cfvo type="min"/>
        <cfvo type="percentile" val="50"/>
        <cfvo type="max"/>
        <color rgb="FFF8696B"/>
        <color rgb="FFFFEB84"/>
        <color rgb="FF63BE7B"/>
      </colorScale>
    </cfRule>
  </conditionalFormatting>
  <conditionalFormatting sqref="AB3:AB41">
    <cfRule type="colorScale" priority="1142">
      <colorScale>
        <cfvo type="min"/>
        <cfvo type="percentile" val="50"/>
        <cfvo type="max"/>
        <color rgb="FFF8696B"/>
        <color rgb="FFFFEB84"/>
        <color rgb="FF63BE7B"/>
      </colorScale>
    </cfRule>
  </conditionalFormatting>
  <conditionalFormatting sqref="AC3:AC41">
    <cfRule type="colorScale" priority="1143">
      <colorScale>
        <cfvo type="min"/>
        <cfvo type="percentile" val="50"/>
        <cfvo type="max"/>
        <color rgb="FFF8696B"/>
        <color rgb="FFFFEB84"/>
        <color rgb="FF63BE7B"/>
      </colorScale>
    </cfRule>
  </conditionalFormatting>
  <conditionalFormatting sqref="Q3:Q43 Q45">
    <cfRule type="colorScale" priority="1149">
      <colorScale>
        <cfvo type="min"/>
        <cfvo type="percentile" val="50"/>
        <cfvo type="max"/>
        <color rgb="FFF8696B"/>
        <color rgb="FFFFEB84"/>
        <color rgb="FF63BE7B"/>
      </colorScale>
    </cfRule>
  </conditionalFormatting>
  <conditionalFormatting sqref="X3:X43 X45">
    <cfRule type="colorScale" priority="1151">
      <colorScale>
        <cfvo type="min"/>
        <cfvo type="percentile" val="50"/>
        <cfvo type="max"/>
        <color rgb="FFF8696B"/>
        <color rgb="FFFFEB84"/>
        <color rgb="FF63BE7B"/>
      </colorScale>
    </cfRule>
  </conditionalFormatting>
  <conditionalFormatting sqref="AA3:AA43 AA45">
    <cfRule type="colorScale" priority="1153">
      <colorScale>
        <cfvo type="min"/>
        <cfvo type="percentile" val="50"/>
        <cfvo type="max"/>
        <color rgb="FFF8696B"/>
        <color rgb="FFFFEB84"/>
        <color rgb="FF63BE7B"/>
      </colorScale>
    </cfRule>
  </conditionalFormatting>
  <conditionalFormatting sqref="AB3:AB43 AB45">
    <cfRule type="colorScale" priority="1155">
      <colorScale>
        <cfvo type="min"/>
        <cfvo type="percentile" val="50"/>
        <cfvo type="max"/>
        <color rgb="FFF8696B"/>
        <color rgb="FFFFEB84"/>
        <color rgb="FF63BE7B"/>
      </colorScale>
    </cfRule>
  </conditionalFormatting>
  <conditionalFormatting sqref="AC3:AC43 AC45">
    <cfRule type="colorScale" priority="1157">
      <colorScale>
        <cfvo type="min"/>
        <cfvo type="percentile" val="50"/>
        <cfvo type="max"/>
        <color rgb="FFF8696B"/>
        <color rgb="FFFFEB84"/>
        <color rgb="FF63BE7B"/>
      </colorScale>
    </cfRule>
  </conditionalFormatting>
  <conditionalFormatting sqref="D3:D43 D45">
    <cfRule type="duplicateValues" dxfId="85" priority="1159"/>
  </conditionalFormatting>
  <conditionalFormatting sqref="Q3:Q45">
    <cfRule type="colorScale" priority="1161">
      <colorScale>
        <cfvo type="min"/>
        <cfvo type="percentile" val="50"/>
        <cfvo type="max"/>
        <color rgb="FFF8696B"/>
        <color rgb="FFFFEB84"/>
        <color rgb="FF63BE7B"/>
      </colorScale>
    </cfRule>
  </conditionalFormatting>
  <conditionalFormatting sqref="X3:X45">
    <cfRule type="colorScale" priority="1163">
      <colorScale>
        <cfvo type="min"/>
        <cfvo type="percentile" val="50"/>
        <cfvo type="max"/>
        <color rgb="FFF8696B"/>
        <color rgb="FFFFEB84"/>
        <color rgb="FF63BE7B"/>
      </colorScale>
    </cfRule>
  </conditionalFormatting>
  <conditionalFormatting sqref="AA3:AA45">
    <cfRule type="colorScale" priority="1165">
      <colorScale>
        <cfvo type="min"/>
        <cfvo type="percentile" val="50"/>
        <cfvo type="max"/>
        <color rgb="FFF8696B"/>
        <color rgb="FFFFEB84"/>
        <color rgb="FF63BE7B"/>
      </colorScale>
    </cfRule>
  </conditionalFormatting>
  <conditionalFormatting sqref="AB3:AB45">
    <cfRule type="colorScale" priority="1167">
      <colorScale>
        <cfvo type="min"/>
        <cfvo type="percentile" val="50"/>
        <cfvo type="max"/>
        <color rgb="FFF8696B"/>
        <color rgb="FFFFEB84"/>
        <color rgb="FF63BE7B"/>
      </colorScale>
    </cfRule>
  </conditionalFormatting>
  <conditionalFormatting sqref="AC3:AC45">
    <cfRule type="colorScale" priority="1169">
      <colorScale>
        <cfvo type="min"/>
        <cfvo type="percentile" val="50"/>
        <cfvo type="max"/>
        <color rgb="FFF8696B"/>
        <color rgb="FFFFEB84"/>
        <color rgb="FF63BE7B"/>
      </colorScale>
    </cfRule>
  </conditionalFormatting>
  <conditionalFormatting sqref="P46">
    <cfRule type="expression" dxfId="84" priority="87">
      <formula>IFERROR(P46="NA",TRUE)</formula>
    </cfRule>
  </conditionalFormatting>
  <conditionalFormatting sqref="B46">
    <cfRule type="duplicateValues" dxfId="83" priority="86"/>
  </conditionalFormatting>
  <conditionalFormatting sqref="M46">
    <cfRule type="expression" dxfId="82" priority="85">
      <formula>IFERROR(M46="NA",TRUE)</formula>
    </cfRule>
  </conditionalFormatting>
  <conditionalFormatting sqref="AF46:AR46 BD46:FG46 J46:K46 F46 N46:Q46">
    <cfRule type="expression" dxfId="81" priority="68">
      <formula>IFERROR(F46="NA",TRUE)</formula>
    </cfRule>
  </conditionalFormatting>
  <conditionalFormatting sqref="AA46 AC46">
    <cfRule type="colorScale" priority="69">
      <colorScale>
        <cfvo type="min"/>
        <cfvo type="percentile" val="50"/>
        <cfvo type="max"/>
        <color rgb="FFF8696B"/>
        <color rgb="FFFCFCFF"/>
        <color rgb="FF63BE7B"/>
      </colorScale>
    </cfRule>
    <cfRule type="expression" dxfId="80" priority="70">
      <formula>IFERROR(AA46="NA",TRUE)</formula>
    </cfRule>
  </conditionalFormatting>
  <conditionalFormatting sqref="X46">
    <cfRule type="colorScale" priority="71">
      <colorScale>
        <cfvo type="min"/>
        <cfvo type="percentile" val="50"/>
        <cfvo type="max"/>
        <color rgb="FFF8696B"/>
        <color rgb="FFFCFCFF"/>
        <color rgb="FF63BE7B"/>
      </colorScale>
    </cfRule>
    <cfRule type="expression" dxfId="79" priority="72">
      <formula>IFERROR(X46="NA",TRUE)</formula>
    </cfRule>
  </conditionalFormatting>
  <conditionalFormatting sqref="Q46">
    <cfRule type="colorScale" priority="67">
      <colorScale>
        <cfvo type="min"/>
        <cfvo type="percentile" val="50"/>
        <cfvo type="max"/>
        <color rgb="FFF8696B"/>
        <color rgb="FFFCFCFF"/>
        <color rgb="FF63BE7B"/>
      </colorScale>
    </cfRule>
  </conditionalFormatting>
  <conditionalFormatting sqref="Q46">
    <cfRule type="colorScale" priority="73">
      <colorScale>
        <cfvo type="min"/>
        <cfvo type="percentile" val="50"/>
        <cfvo type="max"/>
        <color rgb="FFF8696B"/>
        <color rgb="FFFCFCFF"/>
        <color rgb="FF63BE7B"/>
      </colorScale>
    </cfRule>
  </conditionalFormatting>
  <conditionalFormatting sqref="AS46">
    <cfRule type="dataBar" priority="74">
      <dataBar>
        <cfvo type="min"/>
        <cfvo type="max"/>
        <color rgb="FF638EC6"/>
      </dataBar>
      <extLst>
        <ext xmlns:x14="http://schemas.microsoft.com/office/spreadsheetml/2009/9/main" uri="{B025F937-C7B1-47D3-B67F-A62EFF666E3E}">
          <x14:id>{8DE2A895-57CE-4A40-B9D1-52D84B50B398}</x14:id>
        </ext>
      </extLst>
    </cfRule>
  </conditionalFormatting>
  <conditionalFormatting sqref="AT46:BC46">
    <cfRule type="dataBar" priority="75">
      <dataBar>
        <cfvo type="min"/>
        <cfvo type="max"/>
        <color rgb="FF638EC6"/>
      </dataBar>
      <extLst>
        <ext xmlns:x14="http://schemas.microsoft.com/office/spreadsheetml/2009/9/main" uri="{B025F937-C7B1-47D3-B67F-A62EFF666E3E}">
          <x14:id>{694F0295-622C-42F2-A178-AFFB07B11005}</x14:id>
        </ext>
      </extLst>
    </cfRule>
  </conditionalFormatting>
  <conditionalFormatting sqref="X46">
    <cfRule type="colorScale" priority="76">
      <colorScale>
        <cfvo type="min"/>
        <cfvo type="percentile" val="50"/>
        <cfvo type="max"/>
        <color rgb="FFF8696B"/>
        <color rgb="FFFCFCFF"/>
        <color rgb="FF63BE7B"/>
      </colorScale>
    </cfRule>
  </conditionalFormatting>
  <conditionalFormatting sqref="AA46">
    <cfRule type="colorScale" priority="77">
      <colorScale>
        <cfvo type="min"/>
        <cfvo type="percentile" val="50"/>
        <cfvo type="max"/>
        <color rgb="FFF8696B"/>
        <color rgb="FFFCFCFF"/>
        <color rgb="FF63BE7B"/>
      </colorScale>
    </cfRule>
  </conditionalFormatting>
  <conditionalFormatting sqref="AC46">
    <cfRule type="colorScale" priority="78">
      <colorScale>
        <cfvo type="min"/>
        <cfvo type="percentile" val="50"/>
        <cfvo type="max"/>
        <color rgb="FFF8696B"/>
        <color rgb="FFFCFCFF"/>
        <color rgb="FF63BE7B"/>
      </colorScale>
    </cfRule>
  </conditionalFormatting>
  <conditionalFormatting sqref="AB46">
    <cfRule type="colorScale" priority="79">
      <colorScale>
        <cfvo type="min"/>
        <cfvo type="percentile" val="50"/>
        <cfvo type="max"/>
        <color rgb="FFF8696B"/>
        <color rgb="FFFCFCFF"/>
        <color rgb="FF63BE7B"/>
      </colorScale>
    </cfRule>
    <cfRule type="expression" dxfId="78" priority="80">
      <formula>IFERROR(AB46="NA",TRUE)</formula>
    </cfRule>
  </conditionalFormatting>
  <conditionalFormatting sqref="AB46">
    <cfRule type="colorScale" priority="81">
      <colorScale>
        <cfvo type="min"/>
        <cfvo type="percentile" val="50"/>
        <cfvo type="max"/>
        <color rgb="FFF8696B"/>
        <color rgb="FFFCFCFF"/>
        <color rgb="FF63BE7B"/>
      </colorScale>
    </cfRule>
  </conditionalFormatting>
  <conditionalFormatting sqref="AC46">
    <cfRule type="colorScale" priority="82">
      <colorScale>
        <cfvo type="min"/>
        <cfvo type="percentile" val="50"/>
        <cfvo type="max"/>
        <color rgb="FFF8696B"/>
        <color rgb="FFFCFCFF"/>
        <color rgb="FF63BE7B"/>
      </colorScale>
    </cfRule>
  </conditionalFormatting>
  <conditionalFormatting sqref="C46">
    <cfRule type="duplicateValues" dxfId="77" priority="83"/>
  </conditionalFormatting>
  <conditionalFormatting sqref="AA46:AC46">
    <cfRule type="colorScale" priority="84">
      <colorScale>
        <cfvo type="min"/>
        <cfvo type="percentile" val="50"/>
        <cfvo type="max"/>
        <color rgb="FFF8696B"/>
        <color rgb="FFFCFCFF"/>
        <color rgb="FF63BE7B"/>
      </colorScale>
    </cfRule>
  </conditionalFormatting>
  <conditionalFormatting sqref="L46">
    <cfRule type="expression" dxfId="76" priority="66">
      <formula>IFERROR(L46="NA",TRUE)</formula>
    </cfRule>
  </conditionalFormatting>
  <conditionalFormatting sqref="X46">
    <cfRule type="colorScale" priority="88">
      <colorScale>
        <cfvo type="min"/>
        <cfvo type="percentile" val="50"/>
        <cfvo type="max"/>
        <color rgb="FFF8696B"/>
        <color rgb="FFFFEB84"/>
        <color rgb="FF63BE7B"/>
      </colorScale>
    </cfRule>
  </conditionalFormatting>
  <conditionalFormatting sqref="AA46">
    <cfRule type="colorScale" priority="89">
      <colorScale>
        <cfvo type="min"/>
        <cfvo type="percentile" val="50"/>
        <cfvo type="max"/>
        <color rgb="FFF8696B"/>
        <color rgb="FFFFEB84"/>
        <color rgb="FF63BE7B"/>
      </colorScale>
    </cfRule>
  </conditionalFormatting>
  <conditionalFormatting sqref="X46">
    <cfRule type="colorScale" priority="90">
      <colorScale>
        <cfvo type="min"/>
        <cfvo type="percentile" val="50"/>
        <cfvo type="max"/>
        <color rgb="FFF8696B"/>
        <color rgb="FFFFEB84"/>
        <color rgb="FF63BE7B"/>
      </colorScale>
    </cfRule>
  </conditionalFormatting>
  <conditionalFormatting sqref="Q46">
    <cfRule type="colorScale" priority="91">
      <colorScale>
        <cfvo type="min"/>
        <cfvo type="percentile" val="50"/>
        <cfvo type="max"/>
        <color rgb="FFF8696B"/>
        <color rgb="FFFFEB84"/>
        <color rgb="FF63BE7B"/>
      </colorScale>
    </cfRule>
  </conditionalFormatting>
  <conditionalFormatting sqref="AB46">
    <cfRule type="colorScale" priority="92">
      <colorScale>
        <cfvo type="min"/>
        <cfvo type="percentile" val="50"/>
        <cfvo type="max"/>
        <color rgb="FFF8696B"/>
        <color rgb="FFFFEB84"/>
        <color rgb="FF63BE7B"/>
      </colorScale>
    </cfRule>
  </conditionalFormatting>
  <conditionalFormatting sqref="AC46">
    <cfRule type="colorScale" priority="93">
      <colorScale>
        <cfvo type="min"/>
        <cfvo type="percentile" val="50"/>
        <cfvo type="max"/>
        <color rgb="FFF8696B"/>
        <color rgb="FFFFEB84"/>
        <color rgb="FF63BE7B"/>
      </colorScale>
    </cfRule>
  </conditionalFormatting>
  <conditionalFormatting sqref="K46:O46">
    <cfRule type="expression" dxfId="75" priority="65">
      <formula>IFERROR(K46="NA",TRUE)</formula>
    </cfRule>
  </conditionalFormatting>
  <conditionalFormatting sqref="AD46:AE46">
    <cfRule type="expression" dxfId="74" priority="64">
      <formula>IFERROR(AD46="NA",TRUE)</formula>
    </cfRule>
  </conditionalFormatting>
  <conditionalFormatting sqref="AD46:AE46">
    <cfRule type="expression" dxfId="73" priority="63">
      <formula>IFERROR(AD46="NA",TRUE)</formula>
    </cfRule>
  </conditionalFormatting>
  <conditionalFormatting sqref="R46">
    <cfRule type="expression" dxfId="72" priority="62">
      <formula>IFERROR(R46="NA",TRUE)</formula>
    </cfRule>
  </conditionalFormatting>
  <conditionalFormatting sqref="R46">
    <cfRule type="expression" dxfId="71" priority="61">
      <formula>IFERROR(R46="NA",TRUE)</formula>
    </cfRule>
  </conditionalFormatting>
  <conditionalFormatting sqref="S46:V46">
    <cfRule type="expression" dxfId="70" priority="60">
      <formula>IFERROR(S46="NA",TRUE)</formula>
    </cfRule>
  </conditionalFormatting>
  <conditionalFormatting sqref="Q46">
    <cfRule type="colorScale" priority="59">
      <colorScale>
        <cfvo type="min"/>
        <cfvo type="percentile" val="50"/>
        <cfvo type="max"/>
        <color rgb="FFF8696B"/>
        <color rgb="FFFFEB84"/>
        <color rgb="FF63BE7B"/>
      </colorScale>
    </cfRule>
  </conditionalFormatting>
  <conditionalFormatting sqref="X46">
    <cfRule type="colorScale" priority="58">
      <colorScale>
        <cfvo type="min"/>
        <cfvo type="percentile" val="50"/>
        <cfvo type="max"/>
        <color rgb="FFF8696B"/>
        <color rgb="FFFFEB84"/>
        <color rgb="FF63BE7B"/>
      </colorScale>
    </cfRule>
  </conditionalFormatting>
  <conditionalFormatting sqref="AA46">
    <cfRule type="colorScale" priority="57">
      <colorScale>
        <cfvo type="min"/>
        <cfvo type="percentile" val="50"/>
        <cfvo type="max"/>
        <color rgb="FFF8696B"/>
        <color rgb="FFFFEB84"/>
        <color rgb="FF63BE7B"/>
      </colorScale>
    </cfRule>
  </conditionalFormatting>
  <conditionalFormatting sqref="AB46">
    <cfRule type="colorScale" priority="56">
      <colorScale>
        <cfvo type="min"/>
        <cfvo type="percentile" val="50"/>
        <cfvo type="max"/>
        <color rgb="FFF8696B"/>
        <color rgb="FFFFEB84"/>
        <color rgb="FF63BE7B"/>
      </colorScale>
    </cfRule>
  </conditionalFormatting>
  <conditionalFormatting sqref="AC46">
    <cfRule type="colorScale" priority="55">
      <colorScale>
        <cfvo type="min"/>
        <cfvo type="percentile" val="50"/>
        <cfvo type="max"/>
        <color rgb="FFF8696B"/>
        <color rgb="FFFFEB84"/>
        <color rgb="FF63BE7B"/>
      </colorScale>
    </cfRule>
  </conditionalFormatting>
  <conditionalFormatting sqref="D46">
    <cfRule type="duplicateValues" dxfId="69" priority="54"/>
  </conditionalFormatting>
  <conditionalFormatting sqref="Q46">
    <cfRule type="colorScale" priority="53">
      <colorScale>
        <cfvo type="min"/>
        <cfvo type="percentile" val="50"/>
        <cfvo type="max"/>
        <color rgb="FFF8696B"/>
        <color rgb="FFFFEB84"/>
        <color rgb="FF63BE7B"/>
      </colorScale>
    </cfRule>
  </conditionalFormatting>
  <conditionalFormatting sqref="X46">
    <cfRule type="colorScale" priority="52">
      <colorScale>
        <cfvo type="min"/>
        <cfvo type="percentile" val="50"/>
        <cfvo type="max"/>
        <color rgb="FFF8696B"/>
        <color rgb="FFFFEB84"/>
        <color rgb="FF63BE7B"/>
      </colorScale>
    </cfRule>
  </conditionalFormatting>
  <conditionalFormatting sqref="AA46">
    <cfRule type="colorScale" priority="51">
      <colorScale>
        <cfvo type="min"/>
        <cfvo type="percentile" val="50"/>
        <cfvo type="max"/>
        <color rgb="FFF8696B"/>
        <color rgb="FFFFEB84"/>
        <color rgb="FF63BE7B"/>
      </colorScale>
    </cfRule>
  </conditionalFormatting>
  <conditionalFormatting sqref="AB46">
    <cfRule type="colorScale" priority="50">
      <colorScale>
        <cfvo type="min"/>
        <cfvo type="percentile" val="50"/>
        <cfvo type="max"/>
        <color rgb="FFF8696B"/>
        <color rgb="FFFFEB84"/>
        <color rgb="FF63BE7B"/>
      </colorScale>
    </cfRule>
  </conditionalFormatting>
  <conditionalFormatting sqref="AC46">
    <cfRule type="colorScale" priority="49">
      <colorScale>
        <cfvo type="min"/>
        <cfvo type="percentile" val="50"/>
        <cfvo type="max"/>
        <color rgb="FFF8696B"/>
        <color rgb="FFFFEB84"/>
        <color rgb="FF63BE7B"/>
      </colorScale>
    </cfRule>
  </conditionalFormatting>
  <conditionalFormatting sqref="G46">
    <cfRule type="expression" dxfId="68" priority="48">
      <formula>IFERROR(G46="NA",TRUE)</formula>
    </cfRule>
  </conditionalFormatting>
  <conditionalFormatting sqref="E46">
    <cfRule type="expression" dxfId="67" priority="47">
      <formula>IFERROR(E46="NA",TRUE)</formula>
    </cfRule>
  </conditionalFormatting>
  <conditionalFormatting sqref="P48">
    <cfRule type="expression" dxfId="66" priority="40">
      <formula>IFERROR(P48="NA",TRUE)</formula>
    </cfRule>
  </conditionalFormatting>
  <conditionalFormatting sqref="B48">
    <cfRule type="duplicateValues" dxfId="65" priority="39"/>
  </conditionalFormatting>
  <conditionalFormatting sqref="M48">
    <cfRule type="expression" dxfId="64" priority="38">
      <formula>IFERROR(M48="NA",TRUE)</formula>
    </cfRule>
  </conditionalFormatting>
  <conditionalFormatting sqref="AF48:AR48 BD48:FG48 J48:K48 E48:F48 N48:Q48">
    <cfRule type="expression" dxfId="63" priority="21">
      <formula>IFERROR(E48="NA",TRUE)</formula>
    </cfRule>
  </conditionalFormatting>
  <conditionalFormatting sqref="AC48 AA48">
    <cfRule type="colorScale" priority="22">
      <colorScale>
        <cfvo type="min"/>
        <cfvo type="percentile" val="50"/>
        <cfvo type="max"/>
        <color rgb="FFF8696B"/>
        <color rgb="FFFCFCFF"/>
        <color rgb="FF63BE7B"/>
      </colorScale>
    </cfRule>
    <cfRule type="expression" dxfId="62" priority="23">
      <formula>IFERROR(AA48="NA",TRUE)</formula>
    </cfRule>
  </conditionalFormatting>
  <conditionalFormatting sqref="X48">
    <cfRule type="colorScale" priority="24">
      <colorScale>
        <cfvo type="min"/>
        <cfvo type="percentile" val="50"/>
        <cfvo type="max"/>
        <color rgb="FFF8696B"/>
        <color rgb="FFFCFCFF"/>
        <color rgb="FF63BE7B"/>
      </colorScale>
    </cfRule>
    <cfRule type="expression" dxfId="61" priority="25">
      <formula>IFERROR(X48="NA",TRUE)</formula>
    </cfRule>
  </conditionalFormatting>
  <conditionalFormatting sqref="Q48">
    <cfRule type="colorScale" priority="20">
      <colorScale>
        <cfvo type="min"/>
        <cfvo type="percentile" val="50"/>
        <cfvo type="max"/>
        <color rgb="FFF8696B"/>
        <color rgb="FFFCFCFF"/>
        <color rgb="FF63BE7B"/>
      </colorScale>
    </cfRule>
  </conditionalFormatting>
  <conditionalFormatting sqref="Q48">
    <cfRule type="colorScale" priority="26">
      <colorScale>
        <cfvo type="min"/>
        <cfvo type="percentile" val="50"/>
        <cfvo type="max"/>
        <color rgb="FFF8696B"/>
        <color rgb="FFFCFCFF"/>
        <color rgb="FF63BE7B"/>
      </colorScale>
    </cfRule>
  </conditionalFormatting>
  <conditionalFormatting sqref="AS48">
    <cfRule type="dataBar" priority="27">
      <dataBar>
        <cfvo type="min"/>
        <cfvo type="max"/>
        <color rgb="FF638EC6"/>
      </dataBar>
      <extLst>
        <ext xmlns:x14="http://schemas.microsoft.com/office/spreadsheetml/2009/9/main" uri="{B025F937-C7B1-47D3-B67F-A62EFF666E3E}">
          <x14:id>{EFDACE2B-AC57-42BE-BA11-8E1BB247CC65}</x14:id>
        </ext>
      </extLst>
    </cfRule>
  </conditionalFormatting>
  <conditionalFormatting sqref="AT48:BC48">
    <cfRule type="dataBar" priority="28">
      <dataBar>
        <cfvo type="min"/>
        <cfvo type="max"/>
        <color rgb="FF638EC6"/>
      </dataBar>
      <extLst>
        <ext xmlns:x14="http://schemas.microsoft.com/office/spreadsheetml/2009/9/main" uri="{B025F937-C7B1-47D3-B67F-A62EFF666E3E}">
          <x14:id>{A3D95BDC-F614-477E-BA10-250459AAE52F}</x14:id>
        </ext>
      </extLst>
    </cfRule>
  </conditionalFormatting>
  <conditionalFormatting sqref="X48">
    <cfRule type="colorScale" priority="29">
      <colorScale>
        <cfvo type="min"/>
        <cfvo type="percentile" val="50"/>
        <cfvo type="max"/>
        <color rgb="FFF8696B"/>
        <color rgb="FFFCFCFF"/>
        <color rgb="FF63BE7B"/>
      </colorScale>
    </cfRule>
  </conditionalFormatting>
  <conditionalFormatting sqref="AA48">
    <cfRule type="colorScale" priority="30">
      <colorScale>
        <cfvo type="min"/>
        <cfvo type="percentile" val="50"/>
        <cfvo type="max"/>
        <color rgb="FFF8696B"/>
        <color rgb="FFFCFCFF"/>
        <color rgb="FF63BE7B"/>
      </colorScale>
    </cfRule>
  </conditionalFormatting>
  <conditionalFormatting sqref="AC48">
    <cfRule type="colorScale" priority="31">
      <colorScale>
        <cfvo type="min"/>
        <cfvo type="percentile" val="50"/>
        <cfvo type="max"/>
        <color rgb="FFF8696B"/>
        <color rgb="FFFCFCFF"/>
        <color rgb="FF63BE7B"/>
      </colorScale>
    </cfRule>
  </conditionalFormatting>
  <conditionalFormatting sqref="AB48">
    <cfRule type="colorScale" priority="32">
      <colorScale>
        <cfvo type="min"/>
        <cfvo type="percentile" val="50"/>
        <cfvo type="max"/>
        <color rgb="FFF8696B"/>
        <color rgb="FFFCFCFF"/>
        <color rgb="FF63BE7B"/>
      </colorScale>
    </cfRule>
    <cfRule type="expression" dxfId="60" priority="33">
      <formula>IFERROR(AB48="NA",TRUE)</formula>
    </cfRule>
  </conditionalFormatting>
  <conditionalFormatting sqref="AB48">
    <cfRule type="colorScale" priority="34">
      <colorScale>
        <cfvo type="min"/>
        <cfvo type="percentile" val="50"/>
        <cfvo type="max"/>
        <color rgb="FFF8696B"/>
        <color rgb="FFFCFCFF"/>
        <color rgb="FF63BE7B"/>
      </colorScale>
    </cfRule>
  </conditionalFormatting>
  <conditionalFormatting sqref="AC48">
    <cfRule type="colorScale" priority="35">
      <colorScale>
        <cfvo type="min"/>
        <cfvo type="percentile" val="50"/>
        <cfvo type="max"/>
        <color rgb="FFF8696B"/>
        <color rgb="FFFCFCFF"/>
        <color rgb="FF63BE7B"/>
      </colorScale>
    </cfRule>
  </conditionalFormatting>
  <conditionalFormatting sqref="C48">
    <cfRule type="duplicateValues" dxfId="59" priority="36"/>
  </conditionalFormatting>
  <conditionalFormatting sqref="AA48:AC48">
    <cfRule type="colorScale" priority="37">
      <colorScale>
        <cfvo type="min"/>
        <cfvo type="percentile" val="50"/>
        <cfvo type="max"/>
        <color rgb="FFF8696B"/>
        <color rgb="FFFCFCFF"/>
        <color rgb="FF63BE7B"/>
      </colorScale>
    </cfRule>
  </conditionalFormatting>
  <conditionalFormatting sqref="L48">
    <cfRule type="expression" dxfId="58" priority="19">
      <formula>IFERROR(L48="NA",TRUE)</formula>
    </cfRule>
  </conditionalFormatting>
  <conditionalFormatting sqref="X48">
    <cfRule type="colorScale" priority="41">
      <colorScale>
        <cfvo type="min"/>
        <cfvo type="percentile" val="50"/>
        <cfvo type="max"/>
        <color rgb="FFF8696B"/>
        <color rgb="FFFFEB84"/>
        <color rgb="FF63BE7B"/>
      </colorScale>
    </cfRule>
  </conditionalFormatting>
  <conditionalFormatting sqref="AA48">
    <cfRule type="colorScale" priority="42">
      <colorScale>
        <cfvo type="min"/>
        <cfvo type="percentile" val="50"/>
        <cfvo type="max"/>
        <color rgb="FFF8696B"/>
        <color rgb="FFFFEB84"/>
        <color rgb="FF63BE7B"/>
      </colorScale>
    </cfRule>
  </conditionalFormatting>
  <conditionalFormatting sqref="X48">
    <cfRule type="colorScale" priority="43">
      <colorScale>
        <cfvo type="min"/>
        <cfvo type="percentile" val="50"/>
        <cfvo type="max"/>
        <color rgb="FFF8696B"/>
        <color rgb="FFFFEB84"/>
        <color rgb="FF63BE7B"/>
      </colorScale>
    </cfRule>
  </conditionalFormatting>
  <conditionalFormatting sqref="Q48">
    <cfRule type="colorScale" priority="44">
      <colorScale>
        <cfvo type="min"/>
        <cfvo type="percentile" val="50"/>
        <cfvo type="max"/>
        <color rgb="FFF8696B"/>
        <color rgb="FFFFEB84"/>
        <color rgb="FF63BE7B"/>
      </colorScale>
    </cfRule>
  </conditionalFormatting>
  <conditionalFormatting sqref="AB48">
    <cfRule type="colorScale" priority="45">
      <colorScale>
        <cfvo type="min"/>
        <cfvo type="percentile" val="50"/>
        <cfvo type="max"/>
        <color rgb="FFF8696B"/>
        <color rgb="FFFFEB84"/>
        <color rgb="FF63BE7B"/>
      </colorScale>
    </cfRule>
  </conditionalFormatting>
  <conditionalFormatting sqref="AC48">
    <cfRule type="colorScale" priority="46">
      <colorScale>
        <cfvo type="min"/>
        <cfvo type="percentile" val="50"/>
        <cfvo type="max"/>
        <color rgb="FFF8696B"/>
        <color rgb="FFFFEB84"/>
        <color rgb="FF63BE7B"/>
      </colorScale>
    </cfRule>
  </conditionalFormatting>
  <conditionalFormatting sqref="K48:O48">
    <cfRule type="expression" dxfId="57" priority="18">
      <formula>IFERROR(K48="NA",TRUE)</formula>
    </cfRule>
  </conditionalFormatting>
  <conditionalFormatting sqref="AD48:AE48">
    <cfRule type="expression" dxfId="56" priority="17">
      <formula>IFERROR(AD48="NA",TRUE)</formula>
    </cfRule>
  </conditionalFormatting>
  <conditionalFormatting sqref="AD48:AE48">
    <cfRule type="expression" dxfId="55" priority="16">
      <formula>IFERROR(AD48="NA",TRUE)</formula>
    </cfRule>
  </conditionalFormatting>
  <conditionalFormatting sqref="R48">
    <cfRule type="expression" dxfId="54" priority="15">
      <formula>IFERROR(R48="NA",TRUE)</formula>
    </cfRule>
  </conditionalFormatting>
  <conditionalFormatting sqref="R48">
    <cfRule type="expression" dxfId="53" priority="14">
      <formula>IFERROR(R48="NA",TRUE)</formula>
    </cfRule>
  </conditionalFormatting>
  <conditionalFormatting sqref="S48:V48">
    <cfRule type="expression" dxfId="52" priority="13">
      <formula>IFERROR(S48="NA",TRUE)</formula>
    </cfRule>
  </conditionalFormatting>
  <conditionalFormatting sqref="Q48">
    <cfRule type="colorScale" priority="12">
      <colorScale>
        <cfvo type="min"/>
        <cfvo type="percentile" val="50"/>
        <cfvo type="max"/>
        <color rgb="FFF8696B"/>
        <color rgb="FFFFEB84"/>
        <color rgb="FF63BE7B"/>
      </colorScale>
    </cfRule>
  </conditionalFormatting>
  <conditionalFormatting sqref="X48">
    <cfRule type="colorScale" priority="11">
      <colorScale>
        <cfvo type="min"/>
        <cfvo type="percentile" val="50"/>
        <cfvo type="max"/>
        <color rgb="FFF8696B"/>
        <color rgb="FFFFEB84"/>
        <color rgb="FF63BE7B"/>
      </colorScale>
    </cfRule>
  </conditionalFormatting>
  <conditionalFormatting sqref="AA48">
    <cfRule type="colorScale" priority="10">
      <colorScale>
        <cfvo type="min"/>
        <cfvo type="percentile" val="50"/>
        <cfvo type="max"/>
        <color rgb="FFF8696B"/>
        <color rgb="FFFFEB84"/>
        <color rgb="FF63BE7B"/>
      </colorScale>
    </cfRule>
  </conditionalFormatting>
  <conditionalFormatting sqref="AB48">
    <cfRule type="colorScale" priority="9">
      <colorScale>
        <cfvo type="min"/>
        <cfvo type="percentile" val="50"/>
        <cfvo type="max"/>
        <color rgb="FFF8696B"/>
        <color rgb="FFFFEB84"/>
        <color rgb="FF63BE7B"/>
      </colorScale>
    </cfRule>
  </conditionalFormatting>
  <conditionalFormatting sqref="AC48">
    <cfRule type="colorScale" priority="8">
      <colorScale>
        <cfvo type="min"/>
        <cfvo type="percentile" val="50"/>
        <cfvo type="max"/>
        <color rgb="FFF8696B"/>
        <color rgb="FFFFEB84"/>
        <color rgb="FF63BE7B"/>
      </colorScale>
    </cfRule>
  </conditionalFormatting>
  <conditionalFormatting sqref="D48">
    <cfRule type="duplicateValues" dxfId="51" priority="7"/>
  </conditionalFormatting>
  <conditionalFormatting sqref="Q48">
    <cfRule type="colorScale" priority="6">
      <colorScale>
        <cfvo type="min"/>
        <cfvo type="percentile" val="50"/>
        <cfvo type="max"/>
        <color rgb="FFF8696B"/>
        <color rgb="FFFFEB84"/>
        <color rgb="FF63BE7B"/>
      </colorScale>
    </cfRule>
  </conditionalFormatting>
  <conditionalFormatting sqref="X48">
    <cfRule type="colorScale" priority="5">
      <colorScale>
        <cfvo type="min"/>
        <cfvo type="percentile" val="50"/>
        <cfvo type="max"/>
        <color rgb="FFF8696B"/>
        <color rgb="FFFFEB84"/>
        <color rgb="FF63BE7B"/>
      </colorScale>
    </cfRule>
  </conditionalFormatting>
  <conditionalFormatting sqref="AA48">
    <cfRule type="colorScale" priority="4">
      <colorScale>
        <cfvo type="min"/>
        <cfvo type="percentile" val="50"/>
        <cfvo type="max"/>
        <color rgb="FFF8696B"/>
        <color rgb="FFFFEB84"/>
        <color rgb="FF63BE7B"/>
      </colorScale>
    </cfRule>
  </conditionalFormatting>
  <conditionalFormatting sqref="AB48">
    <cfRule type="colorScale" priority="3">
      <colorScale>
        <cfvo type="min"/>
        <cfvo type="percentile" val="50"/>
        <cfvo type="max"/>
        <color rgb="FFF8696B"/>
        <color rgb="FFFFEB84"/>
        <color rgb="FF63BE7B"/>
      </colorScale>
    </cfRule>
  </conditionalFormatting>
  <conditionalFormatting sqref="AC48">
    <cfRule type="colorScale" priority="2">
      <colorScale>
        <cfvo type="min"/>
        <cfvo type="percentile" val="50"/>
        <cfvo type="max"/>
        <color rgb="FFF8696B"/>
        <color rgb="FFFFEB84"/>
        <color rgb="FF63BE7B"/>
      </colorScale>
    </cfRule>
  </conditionalFormatting>
  <conditionalFormatting sqref="G48">
    <cfRule type="expression" dxfId="50" priority="1">
      <formula>IFERROR(G48="NA",TRUE)</formula>
    </cfRule>
  </conditionalFormatting>
  <dataValidations count="1">
    <dataValidation type="list" allowBlank="1" showInputMessage="1" showErrorMessage="1" sqref="H3:H16">
      <formula1>$M$1:$P$1</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34026140-D9B9-4672-8988-CABBF2B9DD6A}">
            <x14:dataBar minLength="0" maxLength="100" gradient="0">
              <x14:cfvo type="autoMin"/>
              <x14:cfvo type="autoMax"/>
              <x14:negativeFillColor rgb="FFFF0000"/>
              <x14:axisColor rgb="FF000000"/>
            </x14:dataBar>
          </x14:cfRule>
          <xm:sqref>AS33</xm:sqref>
        </x14:conditionalFormatting>
        <x14:conditionalFormatting xmlns:xm="http://schemas.microsoft.com/office/excel/2006/main">
          <x14:cfRule type="dataBar" id="{D215C17F-9C44-47BD-87E7-37C3C3FEBE1D}">
            <x14:dataBar minLength="0" maxLength="100" gradient="0">
              <x14:cfvo type="autoMin"/>
              <x14:cfvo type="autoMax"/>
              <x14:negativeFillColor rgb="FFFF0000"/>
              <x14:axisColor rgb="FF000000"/>
            </x14:dataBar>
          </x14:cfRule>
          <xm:sqref>AT33:BC33</xm:sqref>
        </x14:conditionalFormatting>
        <x14:conditionalFormatting xmlns:xm="http://schemas.microsoft.com/office/excel/2006/main">
          <x14:cfRule type="dataBar" id="{AA7F5B75-8C23-4B57-B294-C895D46B57CD}">
            <x14:dataBar minLength="0" maxLength="100" gradient="0">
              <x14:cfvo type="autoMin"/>
              <x14:cfvo type="autoMax"/>
              <x14:negativeFillColor rgb="FFFF0000"/>
              <x14:axisColor rgb="FF000000"/>
            </x14:dataBar>
          </x14:cfRule>
          <xm:sqref>AS37:AS38</xm:sqref>
        </x14:conditionalFormatting>
        <x14:conditionalFormatting xmlns:xm="http://schemas.microsoft.com/office/excel/2006/main">
          <x14:cfRule type="dataBar" id="{834DBD6C-E020-49B6-B1BE-9B9F638B94F6}">
            <x14:dataBar minLength="0" maxLength="100" gradient="0">
              <x14:cfvo type="autoMin"/>
              <x14:cfvo type="autoMax"/>
              <x14:negativeFillColor rgb="FFFF0000"/>
              <x14:axisColor rgb="FF000000"/>
            </x14:dataBar>
          </x14:cfRule>
          <xm:sqref>AT37:BC38</xm:sqref>
        </x14:conditionalFormatting>
        <x14:conditionalFormatting xmlns:xm="http://schemas.microsoft.com/office/excel/2006/main">
          <x14:cfRule type="dataBar" id="{0BDF3856-2948-49EA-B79B-50B95019CE7D}">
            <x14:dataBar minLength="0" maxLength="100" gradient="0">
              <x14:cfvo type="autoMin"/>
              <x14:cfvo type="autoMax"/>
              <x14:negativeFillColor rgb="FFFF0000"/>
              <x14:axisColor rgb="FF000000"/>
            </x14:dataBar>
          </x14:cfRule>
          <xm:sqref>AS39</xm:sqref>
        </x14:conditionalFormatting>
        <x14:conditionalFormatting xmlns:xm="http://schemas.microsoft.com/office/excel/2006/main">
          <x14:cfRule type="dataBar" id="{06D6359D-4AB8-4852-AFFE-F4EFDB868806}">
            <x14:dataBar minLength="0" maxLength="100" gradient="0">
              <x14:cfvo type="autoMin"/>
              <x14:cfvo type="autoMax"/>
              <x14:negativeFillColor rgb="FFFF0000"/>
              <x14:axisColor rgb="FF000000"/>
            </x14:dataBar>
          </x14:cfRule>
          <xm:sqref>AT39:BC39</xm:sqref>
        </x14:conditionalFormatting>
        <x14:conditionalFormatting xmlns:xm="http://schemas.microsoft.com/office/excel/2006/main">
          <x14:cfRule type="dataBar" id="{82C3F150-AC34-47E6-85BD-7DAB5D7B5A2E}">
            <x14:dataBar minLength="0" maxLength="100" gradient="0">
              <x14:cfvo type="autoMin"/>
              <x14:cfvo type="autoMax"/>
              <x14:negativeFillColor rgb="FFFF0000"/>
              <x14:axisColor rgb="FF000000"/>
            </x14:dataBar>
          </x14:cfRule>
          <xm:sqref>AS34:AS36 AS3:AS32</xm:sqref>
        </x14:conditionalFormatting>
        <x14:conditionalFormatting xmlns:xm="http://schemas.microsoft.com/office/excel/2006/main">
          <x14:cfRule type="dataBar" id="{175DA7C5-1F60-4EE3-B4F3-741CE1663D73}">
            <x14:dataBar minLength="0" maxLength="100" gradient="0">
              <x14:cfvo type="autoMin"/>
              <x14:cfvo type="autoMax"/>
              <x14:negativeFillColor rgb="FFFF0000"/>
              <x14:axisColor rgb="FF000000"/>
            </x14:dataBar>
          </x14:cfRule>
          <xm:sqref>AT34:BC36 AT3:BC32</xm:sqref>
        </x14:conditionalFormatting>
        <x14:conditionalFormatting xmlns:xm="http://schemas.microsoft.com/office/excel/2006/main">
          <x14:cfRule type="dataBar" id="{A3747F71-93BB-4E96-AB32-91E703FC4511}">
            <x14:dataBar minLength="0" maxLength="100" gradient="0">
              <x14:cfvo type="autoMin"/>
              <x14:cfvo type="autoMax"/>
              <x14:negativeFillColor rgb="FFFF0000"/>
              <x14:axisColor rgb="FF000000"/>
            </x14:dataBar>
          </x14:cfRule>
          <xm:sqref>AS42</xm:sqref>
        </x14:conditionalFormatting>
        <x14:conditionalFormatting xmlns:xm="http://schemas.microsoft.com/office/excel/2006/main">
          <x14:cfRule type="dataBar" id="{4DC0A49D-5A1D-42DC-B9B7-FD70F29F18C2}">
            <x14:dataBar minLength="0" maxLength="100" gradient="0">
              <x14:cfvo type="autoMin"/>
              <x14:cfvo type="autoMax"/>
              <x14:negativeFillColor rgb="FFFF0000"/>
              <x14:axisColor rgb="FF000000"/>
            </x14:dataBar>
          </x14:cfRule>
          <xm:sqref>AT42:BC42</xm:sqref>
        </x14:conditionalFormatting>
        <x14:conditionalFormatting xmlns:xm="http://schemas.microsoft.com/office/excel/2006/main">
          <x14:cfRule type="dataBar" id="{E33D94CE-F930-419C-867D-9B7856BB2074}">
            <x14:dataBar minLength="0" maxLength="100" gradient="0">
              <x14:cfvo type="autoMin"/>
              <x14:cfvo type="autoMax"/>
              <x14:negativeFillColor rgb="FFFF0000"/>
              <x14:axisColor rgb="FF000000"/>
            </x14:dataBar>
          </x14:cfRule>
          <xm:sqref>AS43</xm:sqref>
        </x14:conditionalFormatting>
        <x14:conditionalFormatting xmlns:xm="http://schemas.microsoft.com/office/excel/2006/main">
          <x14:cfRule type="dataBar" id="{0F542113-2E03-4FB1-B2AF-D6A969B34C2C}">
            <x14:dataBar minLength="0" maxLength="100" gradient="0">
              <x14:cfvo type="autoMin"/>
              <x14:cfvo type="autoMax"/>
              <x14:negativeFillColor rgb="FFFF0000"/>
              <x14:axisColor rgb="FF000000"/>
            </x14:dataBar>
          </x14:cfRule>
          <xm:sqref>AT43:BC43</xm:sqref>
        </x14:conditionalFormatting>
        <x14:conditionalFormatting xmlns:xm="http://schemas.microsoft.com/office/excel/2006/main">
          <x14:cfRule type="dataBar" id="{BE8B6B30-3340-420C-82DF-ADCEA4654812}">
            <x14:dataBar minLength="0" maxLength="100" gradient="0">
              <x14:cfvo type="autoMin"/>
              <x14:cfvo type="autoMax"/>
              <x14:negativeFillColor rgb="FFFF0000"/>
              <x14:axisColor rgb="FF000000"/>
            </x14:dataBar>
          </x14:cfRule>
          <xm:sqref>AS45</xm:sqref>
        </x14:conditionalFormatting>
        <x14:conditionalFormatting xmlns:xm="http://schemas.microsoft.com/office/excel/2006/main">
          <x14:cfRule type="dataBar" id="{A65E6598-7E85-4AF8-BCCC-3DB934480A12}">
            <x14:dataBar minLength="0" maxLength="100" gradient="0">
              <x14:cfvo type="autoMin"/>
              <x14:cfvo type="autoMax"/>
              <x14:negativeFillColor rgb="FFFF0000"/>
              <x14:axisColor rgb="FF000000"/>
            </x14:dataBar>
          </x14:cfRule>
          <xm:sqref>AT45:BC45</xm:sqref>
        </x14:conditionalFormatting>
        <x14:conditionalFormatting xmlns:xm="http://schemas.microsoft.com/office/excel/2006/main">
          <x14:cfRule type="dataBar" id="{CB7C57E6-8122-459F-ABA2-9A8E250D73CA}">
            <x14:dataBar minLength="0" maxLength="100" gradient="0">
              <x14:cfvo type="autoMin"/>
              <x14:cfvo type="autoMax"/>
              <x14:negativeFillColor rgb="FFFF0000"/>
              <x14:axisColor rgb="FF000000"/>
            </x14:dataBar>
          </x14:cfRule>
          <xm:sqref>AS44</xm:sqref>
        </x14:conditionalFormatting>
        <x14:conditionalFormatting xmlns:xm="http://schemas.microsoft.com/office/excel/2006/main">
          <x14:cfRule type="dataBar" id="{14594AC5-72A3-4CA9-BC07-ACAFA5C00E25}">
            <x14:dataBar minLength="0" maxLength="100" gradient="0">
              <x14:cfvo type="autoMin"/>
              <x14:cfvo type="autoMax"/>
              <x14:negativeFillColor rgb="FFFF0000"/>
              <x14:axisColor rgb="FF000000"/>
            </x14:dataBar>
          </x14:cfRule>
          <xm:sqref>AT44:BC44</xm:sqref>
        </x14:conditionalFormatting>
        <x14:conditionalFormatting xmlns:xm="http://schemas.microsoft.com/office/excel/2006/main">
          <x14:cfRule type="dataBar" id="{8C2730AB-3467-457B-B0B9-7A557E692330}">
            <x14:dataBar minLength="0" maxLength="100" gradient="0">
              <x14:cfvo type="autoMin"/>
              <x14:cfvo type="autoMax"/>
              <x14:negativeFillColor rgb="FFFF0000"/>
              <x14:axisColor rgb="FF000000"/>
            </x14:dataBar>
          </x14:cfRule>
          <xm:sqref>AS47</xm:sqref>
        </x14:conditionalFormatting>
        <x14:conditionalFormatting xmlns:xm="http://schemas.microsoft.com/office/excel/2006/main">
          <x14:cfRule type="dataBar" id="{7E4956FA-26BA-49EA-82D2-C1B31C76C552}">
            <x14:dataBar minLength="0" maxLength="100" gradient="0">
              <x14:cfvo type="autoMin"/>
              <x14:cfvo type="autoMax"/>
              <x14:negativeFillColor rgb="FFFF0000"/>
              <x14:axisColor rgb="FF000000"/>
            </x14:dataBar>
          </x14:cfRule>
          <xm:sqref>AT47:BC47</xm:sqref>
        </x14:conditionalFormatting>
        <x14:conditionalFormatting xmlns:xm="http://schemas.microsoft.com/office/excel/2006/main">
          <x14:cfRule type="dataBar" id="{8DE2A895-57CE-4A40-B9D1-52D84B50B398}">
            <x14:dataBar minLength="0" maxLength="100" gradient="0">
              <x14:cfvo type="autoMin"/>
              <x14:cfvo type="autoMax"/>
              <x14:negativeFillColor rgb="FFFF0000"/>
              <x14:axisColor rgb="FF000000"/>
            </x14:dataBar>
          </x14:cfRule>
          <xm:sqref>AS46</xm:sqref>
        </x14:conditionalFormatting>
        <x14:conditionalFormatting xmlns:xm="http://schemas.microsoft.com/office/excel/2006/main">
          <x14:cfRule type="dataBar" id="{694F0295-622C-42F2-A178-AFFB07B11005}">
            <x14:dataBar minLength="0" maxLength="100" gradient="0">
              <x14:cfvo type="autoMin"/>
              <x14:cfvo type="autoMax"/>
              <x14:negativeFillColor rgb="FFFF0000"/>
              <x14:axisColor rgb="FF000000"/>
            </x14:dataBar>
          </x14:cfRule>
          <xm:sqref>AT46:BC46</xm:sqref>
        </x14:conditionalFormatting>
        <x14:conditionalFormatting xmlns:xm="http://schemas.microsoft.com/office/excel/2006/main">
          <x14:cfRule type="dataBar" id="{EFDACE2B-AC57-42BE-BA11-8E1BB247CC65}">
            <x14:dataBar minLength="0" maxLength="100" gradient="0">
              <x14:cfvo type="autoMin"/>
              <x14:cfvo type="autoMax"/>
              <x14:negativeFillColor rgb="FFFF0000"/>
              <x14:axisColor rgb="FF000000"/>
            </x14:dataBar>
          </x14:cfRule>
          <xm:sqref>AS48</xm:sqref>
        </x14:conditionalFormatting>
        <x14:conditionalFormatting xmlns:xm="http://schemas.microsoft.com/office/excel/2006/main">
          <x14:cfRule type="dataBar" id="{A3D95BDC-F614-477E-BA10-250459AAE52F}">
            <x14:dataBar minLength="0" maxLength="100" gradient="0">
              <x14:cfvo type="autoMin"/>
              <x14:cfvo type="autoMax"/>
              <x14:negativeFillColor rgb="FFFF0000"/>
              <x14:axisColor rgb="FF000000"/>
            </x14:dataBar>
          </x14:cfRule>
          <xm:sqref>AT48:BC48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G14"/>
  <sheetViews>
    <sheetView showGridLines="0" workbookViewId="0">
      <selection activeCell="D5" sqref="D5:F5"/>
    </sheetView>
  </sheetViews>
  <sheetFormatPr defaultColWidth="9.453125" defaultRowHeight="10"/>
  <cols>
    <col min="1" max="1" width="9.453125" style="160"/>
    <col min="2" max="2" width="26.54296875" style="160" customWidth="1"/>
    <col min="3" max="4" width="9.453125" style="160"/>
    <col min="5" max="5" width="15.453125" style="160" customWidth="1"/>
    <col min="6" max="6" width="11.08984375" style="160" customWidth="1"/>
    <col min="7" max="7" width="42.54296875" style="160" customWidth="1"/>
    <col min="8" max="16384" width="9.453125" style="160"/>
  </cols>
  <sheetData>
    <row r="2" spans="2:7" ht="21">
      <c r="C2" s="192" t="s">
        <v>1009</v>
      </c>
      <c r="D2" s="192" t="s">
        <v>1010</v>
      </c>
      <c r="E2" s="193" t="s">
        <v>1691</v>
      </c>
      <c r="F2" s="194" t="s">
        <v>1012</v>
      </c>
      <c r="G2" s="194" t="s">
        <v>1692</v>
      </c>
    </row>
    <row r="3" spans="2:7" ht="10.5">
      <c r="B3" s="191" t="s">
        <v>1009</v>
      </c>
      <c r="C3" s="195" t="s">
        <v>104</v>
      </c>
      <c r="D3" s="195"/>
      <c r="E3" s="195"/>
      <c r="F3" s="195"/>
      <c r="G3" s="195"/>
    </row>
    <row r="4" spans="2:7" ht="10.5">
      <c r="B4" s="191" t="s">
        <v>1010</v>
      </c>
      <c r="C4" s="195"/>
      <c r="D4" s="195" t="s">
        <v>104</v>
      </c>
      <c r="E4" s="195"/>
      <c r="F4" s="195"/>
      <c r="G4" s="195"/>
    </row>
    <row r="5" spans="2:7" ht="10.5">
      <c r="B5" s="191" t="s">
        <v>1011</v>
      </c>
      <c r="C5" s="195"/>
      <c r="D5" s="195"/>
      <c r="E5" s="195" t="s">
        <v>104</v>
      </c>
      <c r="F5" s="195"/>
      <c r="G5" s="195"/>
    </row>
    <row r="6" spans="2:7" ht="10.5">
      <c r="B6" s="191" t="s">
        <v>1012</v>
      </c>
      <c r="C6" s="195"/>
      <c r="D6" s="195"/>
      <c r="E6" s="195"/>
      <c r="F6" s="195" t="s">
        <v>104</v>
      </c>
      <c r="G6" s="195"/>
    </row>
    <row r="7" spans="2:7" ht="10.5">
      <c r="B7" s="191" t="s">
        <v>1013</v>
      </c>
      <c r="C7" s="195"/>
      <c r="D7" s="195"/>
      <c r="E7" s="195"/>
      <c r="F7" s="195" t="s">
        <v>104</v>
      </c>
      <c r="G7" s="195"/>
    </row>
    <row r="8" spans="2:7" ht="10.5">
      <c r="B8" s="191" t="s">
        <v>1014</v>
      </c>
      <c r="C8" s="195"/>
      <c r="D8" s="195"/>
      <c r="E8" s="195"/>
      <c r="F8" s="195"/>
      <c r="G8" s="195" t="s">
        <v>104</v>
      </c>
    </row>
    <row r="9" spans="2:7" ht="10.5">
      <c r="B9" s="191" t="s">
        <v>1015</v>
      </c>
      <c r="C9" s="195"/>
      <c r="D9" s="195"/>
      <c r="E9" s="195"/>
      <c r="F9" s="195"/>
      <c r="G9" s="195" t="s">
        <v>104</v>
      </c>
    </row>
    <row r="10" spans="2:7" ht="10.5">
      <c r="B10" s="191" t="s">
        <v>1016</v>
      </c>
      <c r="C10" s="195"/>
      <c r="D10" s="195"/>
      <c r="E10" s="195"/>
      <c r="F10" s="195"/>
      <c r="G10" s="195" t="s">
        <v>104</v>
      </c>
    </row>
    <row r="11" spans="2:7" ht="10.5">
      <c r="B11" s="191" t="s">
        <v>1017</v>
      </c>
      <c r="C11" s="195"/>
      <c r="D11" s="195"/>
      <c r="E11" s="195"/>
      <c r="F11" s="195"/>
      <c r="G11" s="197"/>
    </row>
    <row r="12" spans="2:7" ht="10.5">
      <c r="B12" s="191" t="s">
        <v>1018</v>
      </c>
      <c r="C12" s="195"/>
      <c r="D12" s="195"/>
      <c r="E12" s="195"/>
      <c r="F12" s="195"/>
      <c r="G12" s="197"/>
    </row>
    <row r="14" spans="2:7" ht="10.5">
      <c r="B14" s="190" t="s">
        <v>1693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50"/>
  <sheetViews>
    <sheetView topLeftCell="A18" zoomScale="92" zoomScaleNormal="80" workbookViewId="0">
      <selection activeCell="E16" sqref="E16"/>
    </sheetView>
  </sheetViews>
  <sheetFormatPr defaultRowHeight="12.5"/>
  <cols>
    <col min="1" max="1" width="16.90625" bestFit="1" customWidth="1"/>
    <col min="2" max="2" width="16.90625" customWidth="1"/>
    <col min="3" max="3" width="58.08984375" customWidth="1"/>
    <col min="4" max="4" width="22.54296875" customWidth="1"/>
    <col min="5" max="10" width="20.08984375" customWidth="1"/>
  </cols>
  <sheetData>
    <row r="1" spans="1:13" s="203" customFormat="1" ht="45" customHeight="1">
      <c r="A1" s="161" t="s">
        <v>1694</v>
      </c>
      <c r="B1" s="161" t="s">
        <v>980</v>
      </c>
      <c r="C1" s="161" t="s">
        <v>981</v>
      </c>
      <c r="D1" s="161" t="s">
        <v>982</v>
      </c>
      <c r="E1" s="203" t="s">
        <v>1695</v>
      </c>
      <c r="F1" s="204" t="s">
        <v>1696</v>
      </c>
      <c r="G1" s="203" t="s">
        <v>18</v>
      </c>
      <c r="H1" s="205" t="s">
        <v>1697</v>
      </c>
      <c r="I1" s="203" t="s">
        <v>1698</v>
      </c>
      <c r="J1" s="205" t="s">
        <v>1699</v>
      </c>
      <c r="L1"/>
      <c r="M1"/>
    </row>
    <row r="2" spans="1:13" ht="13">
      <c r="A2" s="211" t="s">
        <v>144</v>
      </c>
      <c r="B2" t="s">
        <v>1700</v>
      </c>
      <c r="C2" s="198">
        <v>15522</v>
      </c>
      <c r="D2" s="202" t="s">
        <v>1639</v>
      </c>
      <c r="E2" s="129" t="s">
        <v>144</v>
      </c>
      <c r="F2" s="1">
        <v>95.614156561938046</v>
      </c>
      <c r="G2" s="1">
        <v>205.57043660816683</v>
      </c>
      <c r="H2" s="81">
        <f>G2</f>
        <v>205.57043660816683</v>
      </c>
      <c r="I2" s="1">
        <v>4.7200000000000006</v>
      </c>
      <c r="J2" s="81">
        <f>I2</f>
        <v>4.7200000000000006</v>
      </c>
    </row>
    <row r="3" spans="1:13" ht="13">
      <c r="A3" s="211" t="s">
        <v>1494</v>
      </c>
      <c r="B3" t="s">
        <v>1701</v>
      </c>
      <c r="C3" s="198">
        <v>16014</v>
      </c>
      <c r="D3" s="199" t="s">
        <v>502</v>
      </c>
      <c r="E3" s="129" t="s">
        <v>1494</v>
      </c>
      <c r="F3" s="1">
        <v>64.644556605897534</v>
      </c>
      <c r="G3" s="1">
        <v>287.66827689624398</v>
      </c>
      <c r="H3" s="81">
        <f t="shared" ref="H3:H40" si="0">H2+G3</f>
        <v>493.23871350441084</v>
      </c>
      <c r="I3" s="1">
        <v>4.45</v>
      </c>
      <c r="J3" s="81">
        <f>J2+I3</f>
        <v>9.1700000000000017</v>
      </c>
    </row>
    <row r="4" spans="1:13" ht="13">
      <c r="A4" s="211" t="s">
        <v>1177</v>
      </c>
      <c r="B4" t="s">
        <v>1702</v>
      </c>
      <c r="C4" s="198">
        <v>15821</v>
      </c>
      <c r="D4" s="199" t="s">
        <v>1176</v>
      </c>
      <c r="E4" s="82" t="s">
        <v>1703</v>
      </c>
      <c r="F4" s="1">
        <v>43.48754839945925</v>
      </c>
      <c r="G4" s="1">
        <v>25.222778071686367</v>
      </c>
      <c r="H4" s="81">
        <f t="shared" si="0"/>
        <v>518.46149157609716</v>
      </c>
      <c r="I4" s="1">
        <v>1.54</v>
      </c>
      <c r="J4" s="81">
        <f>J3+I4</f>
        <v>10.71</v>
      </c>
    </row>
    <row r="5" spans="1:13" ht="13">
      <c r="A5" s="211" t="s">
        <v>931</v>
      </c>
      <c r="B5" t="s">
        <v>1704</v>
      </c>
      <c r="C5" s="198">
        <v>15545</v>
      </c>
      <c r="D5" s="199" t="s">
        <v>340</v>
      </c>
      <c r="E5" s="129" t="s">
        <v>931</v>
      </c>
      <c r="F5" s="1">
        <v>32.566226818498876</v>
      </c>
      <c r="G5" s="1">
        <v>51.536053940274485</v>
      </c>
      <c r="H5" s="81">
        <f t="shared" si="0"/>
        <v>569.9975455163717</v>
      </c>
      <c r="I5" s="1">
        <v>6.3924062666666703</v>
      </c>
      <c r="J5" s="81">
        <f t="shared" ref="J5:J40" si="1">J4+I5</f>
        <v>17.102406266666669</v>
      </c>
    </row>
    <row r="6" spans="1:13" ht="13">
      <c r="A6" s="211" t="s">
        <v>1437</v>
      </c>
      <c r="B6" t="s">
        <v>1705</v>
      </c>
      <c r="C6" s="198">
        <v>12497</v>
      </c>
      <c r="D6" s="199" t="s">
        <v>422</v>
      </c>
      <c r="E6" s="82" t="s">
        <v>421</v>
      </c>
      <c r="F6" s="1">
        <v>21.143990272088718</v>
      </c>
      <c r="G6" s="1">
        <v>25.372788326506459</v>
      </c>
      <c r="H6" s="81">
        <f t="shared" si="0"/>
        <v>595.37033384287815</v>
      </c>
      <c r="I6" s="1">
        <v>1.2</v>
      </c>
      <c r="J6" s="81">
        <f t="shared" si="1"/>
        <v>18.302406266666669</v>
      </c>
    </row>
    <row r="7" spans="1:13" ht="13">
      <c r="A7" s="211" t="s">
        <v>574</v>
      </c>
      <c r="B7" t="s">
        <v>1706</v>
      </c>
      <c r="C7" s="198">
        <v>15376</v>
      </c>
      <c r="D7" s="199" t="s">
        <v>572</v>
      </c>
      <c r="E7" s="82" t="s">
        <v>574</v>
      </c>
      <c r="F7" s="1">
        <v>19.924528371018042</v>
      </c>
      <c r="G7" s="1">
        <v>300.86037840237236</v>
      </c>
      <c r="H7" s="81">
        <f t="shared" si="0"/>
        <v>896.23071224525052</v>
      </c>
      <c r="I7" s="1">
        <v>15.1</v>
      </c>
      <c r="J7" s="81">
        <f t="shared" si="1"/>
        <v>33.402406266666667</v>
      </c>
    </row>
    <row r="8" spans="1:13" ht="13">
      <c r="A8" s="211" t="s">
        <v>1205</v>
      </c>
      <c r="B8" t="s">
        <v>1707</v>
      </c>
      <c r="C8" s="198">
        <v>15821</v>
      </c>
      <c r="D8" s="199" t="s">
        <v>1204</v>
      </c>
      <c r="E8" s="82" t="s">
        <v>1708</v>
      </c>
      <c r="F8" s="1">
        <v>19.289021019089581</v>
      </c>
      <c r="G8" s="1">
        <v>5.8831514108223217</v>
      </c>
      <c r="H8" s="81">
        <f t="shared" si="0"/>
        <v>902.11386365607279</v>
      </c>
      <c r="I8" s="1">
        <v>0.77800000000000002</v>
      </c>
      <c r="J8" s="81">
        <f t="shared" si="1"/>
        <v>34.180406266666665</v>
      </c>
    </row>
    <row r="9" spans="1:13" ht="13">
      <c r="A9" s="211" t="s">
        <v>877</v>
      </c>
      <c r="B9" t="s">
        <v>1709</v>
      </c>
      <c r="C9" s="198">
        <v>12527</v>
      </c>
      <c r="D9" s="199" t="s">
        <v>879</v>
      </c>
      <c r="E9" s="82" t="s">
        <v>877</v>
      </c>
      <c r="F9" s="1">
        <v>17.354120429046041</v>
      </c>
      <c r="G9" s="1">
        <v>43.3853010726151</v>
      </c>
      <c r="H9" s="81">
        <f t="shared" si="0"/>
        <v>945.4991647286879</v>
      </c>
      <c r="I9" s="1">
        <v>2.5</v>
      </c>
      <c r="J9" s="81">
        <f t="shared" si="1"/>
        <v>36.680406266666665</v>
      </c>
    </row>
    <row r="10" spans="1:13" ht="13">
      <c r="A10" s="211" t="s">
        <v>1138</v>
      </c>
      <c r="B10" t="s">
        <v>1710</v>
      </c>
      <c r="C10" s="198">
        <v>15390</v>
      </c>
      <c r="D10" s="199" t="s">
        <v>257</v>
      </c>
      <c r="E10" s="82" t="s">
        <v>1138</v>
      </c>
      <c r="F10" s="1">
        <v>16.69969504069271</v>
      </c>
      <c r="G10" s="1">
        <v>865.21120005828936</v>
      </c>
      <c r="H10" s="81">
        <f t="shared" si="0"/>
        <v>1810.7103647869772</v>
      </c>
      <c r="I10" s="1">
        <v>105.41000000000001</v>
      </c>
      <c r="J10" s="81">
        <f t="shared" si="1"/>
        <v>142.09040626666666</v>
      </c>
    </row>
    <row r="11" spans="1:13" ht="13">
      <c r="A11" s="211" t="s">
        <v>1525</v>
      </c>
      <c r="B11" t="s">
        <v>1711</v>
      </c>
      <c r="C11" s="198">
        <v>15481</v>
      </c>
      <c r="D11" s="199" t="s">
        <v>293</v>
      </c>
      <c r="E11" s="82" t="s">
        <v>291</v>
      </c>
      <c r="F11" s="1">
        <v>15.800842093054849</v>
      </c>
      <c r="G11" s="1">
        <v>118.50631569791136</v>
      </c>
      <c r="H11" s="81">
        <f t="shared" si="0"/>
        <v>1929.2166804848885</v>
      </c>
      <c r="I11" s="1">
        <v>7.5</v>
      </c>
      <c r="J11" s="81">
        <f t="shared" si="1"/>
        <v>149.59040626666666</v>
      </c>
    </row>
    <row r="12" spans="1:13" ht="13">
      <c r="A12" s="211" t="s">
        <v>1159</v>
      </c>
      <c r="B12" t="s">
        <v>1712</v>
      </c>
      <c r="C12" s="198">
        <v>15821</v>
      </c>
      <c r="D12" s="199" t="s">
        <v>1158</v>
      </c>
      <c r="E12" s="82" t="s">
        <v>1713</v>
      </c>
      <c r="F12" s="1">
        <v>14.428845330009564</v>
      </c>
      <c r="G12" s="1">
        <v>27.789956105598417</v>
      </c>
      <c r="H12" s="81">
        <f t="shared" si="0"/>
        <v>1957.0066365904868</v>
      </c>
      <c r="I12" s="1">
        <v>2.9180000000000001</v>
      </c>
      <c r="J12" s="81">
        <f t="shared" si="1"/>
        <v>152.50840626666667</v>
      </c>
    </row>
    <row r="13" spans="1:13" ht="13">
      <c r="A13" s="211" t="s">
        <v>927</v>
      </c>
      <c r="B13" t="s">
        <v>1714</v>
      </c>
      <c r="C13" s="198">
        <v>15893</v>
      </c>
      <c r="D13" s="231" t="s">
        <v>1609</v>
      </c>
      <c r="E13" s="82" t="s">
        <v>927</v>
      </c>
      <c r="F13" s="1">
        <v>11.714201548157975</v>
      </c>
      <c r="G13" s="1">
        <v>33.502616427731809</v>
      </c>
      <c r="H13" s="81">
        <f t="shared" si="0"/>
        <v>1990.5092530182185</v>
      </c>
      <c r="I13" s="1">
        <v>2.86</v>
      </c>
      <c r="J13" s="81">
        <f t="shared" si="1"/>
        <v>155.36840626666668</v>
      </c>
    </row>
    <row r="14" spans="1:13" ht="13">
      <c r="A14" s="211" t="s">
        <v>1217</v>
      </c>
      <c r="B14" t="s">
        <v>1715</v>
      </c>
      <c r="C14" s="198">
        <v>15821</v>
      </c>
      <c r="D14" s="199" t="s">
        <v>1216</v>
      </c>
      <c r="E14" s="82" t="s">
        <v>1716</v>
      </c>
      <c r="F14" s="1">
        <v>9.6796312581924795</v>
      </c>
      <c r="G14" s="1">
        <v>6.9693345058985852</v>
      </c>
      <c r="H14" s="81">
        <f t="shared" si="0"/>
        <v>1997.4785875241171</v>
      </c>
      <c r="I14" s="1">
        <v>2.3130000000000002</v>
      </c>
      <c r="J14" s="81">
        <f t="shared" si="1"/>
        <v>157.68140626666667</v>
      </c>
    </row>
    <row r="15" spans="1:13" ht="13">
      <c r="A15" s="211" t="s">
        <v>933</v>
      </c>
      <c r="B15" t="s">
        <v>1717</v>
      </c>
      <c r="C15" s="198">
        <v>15412</v>
      </c>
      <c r="D15" s="199" t="s">
        <v>1675</v>
      </c>
      <c r="E15" s="82" t="s">
        <v>933</v>
      </c>
      <c r="F15" s="1">
        <v>9.3936749153857093</v>
      </c>
      <c r="G15" s="1">
        <v>87.361176713087104</v>
      </c>
      <c r="H15" s="81">
        <f t="shared" si="0"/>
        <v>2084.8397642372042</v>
      </c>
      <c r="I15" s="1">
        <v>9.3000000000000007</v>
      </c>
      <c r="J15" s="81">
        <f t="shared" si="1"/>
        <v>166.98140626666668</v>
      </c>
    </row>
    <row r="16" spans="1:13" ht="13">
      <c r="A16" s="211" t="s">
        <v>918</v>
      </c>
      <c r="B16" t="s">
        <v>1718</v>
      </c>
      <c r="C16" s="198">
        <v>15893</v>
      </c>
      <c r="D16" s="199" t="s">
        <v>1542</v>
      </c>
      <c r="E16" s="82" t="s">
        <v>918</v>
      </c>
      <c r="F16" s="1">
        <v>8.5232133916161139</v>
      </c>
      <c r="G16" s="1">
        <v>20.455712139878674</v>
      </c>
      <c r="H16" s="81">
        <f t="shared" si="0"/>
        <v>2105.2954763770831</v>
      </c>
      <c r="I16" s="1">
        <v>3.5000000000000004</v>
      </c>
      <c r="J16" s="81">
        <f t="shared" si="1"/>
        <v>170.48140626666668</v>
      </c>
    </row>
    <row r="17" spans="1:10" ht="13">
      <c r="A17" s="211" t="s">
        <v>1371</v>
      </c>
      <c r="B17" t="s">
        <v>1719</v>
      </c>
      <c r="C17" s="198">
        <v>15070</v>
      </c>
      <c r="D17" s="199" t="s">
        <v>1370</v>
      </c>
      <c r="E17" s="82" t="s">
        <v>1371</v>
      </c>
      <c r="F17" s="1">
        <v>8.1563434062176103</v>
      </c>
      <c r="G17" s="1">
        <v>2.3653395878031072</v>
      </c>
      <c r="H17" s="81">
        <f t="shared" si="0"/>
        <v>2107.6608159648863</v>
      </c>
      <c r="I17" s="1">
        <v>0.29000000000000004</v>
      </c>
      <c r="J17" s="81">
        <f t="shared" si="1"/>
        <v>170.77140626666667</v>
      </c>
    </row>
    <row r="18" spans="1:10" ht="13">
      <c r="A18" s="211" t="s">
        <v>609</v>
      </c>
      <c r="B18" t="s">
        <v>1720</v>
      </c>
      <c r="C18" s="198">
        <v>16027</v>
      </c>
      <c r="D18" s="199" t="s">
        <v>600</v>
      </c>
      <c r="E18" s="82" t="s">
        <v>609</v>
      </c>
      <c r="F18" s="1">
        <v>7.7605062882202969</v>
      </c>
      <c r="G18" s="1">
        <v>31.430050467292201</v>
      </c>
      <c r="H18" s="81">
        <f t="shared" si="0"/>
        <v>2139.0908664321787</v>
      </c>
      <c r="I18" s="1">
        <v>4.05</v>
      </c>
      <c r="J18" s="81">
        <f t="shared" si="1"/>
        <v>174.82140626666668</v>
      </c>
    </row>
    <row r="19" spans="1:10" ht="13">
      <c r="A19" s="211" t="s">
        <v>735</v>
      </c>
      <c r="B19" t="s">
        <v>1721</v>
      </c>
      <c r="C19" s="198">
        <v>15383</v>
      </c>
      <c r="D19" s="199" t="s">
        <v>734</v>
      </c>
      <c r="E19" s="82" t="s">
        <v>735</v>
      </c>
      <c r="F19" s="1">
        <v>7.3752586362669614</v>
      </c>
      <c r="G19" s="1">
        <v>10.148355883503339</v>
      </c>
      <c r="H19" s="81">
        <f t="shared" si="0"/>
        <v>2149.2392223156821</v>
      </c>
      <c r="I19" s="1">
        <v>1.6779999999999999</v>
      </c>
      <c r="J19" s="81">
        <f t="shared" si="1"/>
        <v>176.49940626666668</v>
      </c>
    </row>
    <row r="20" spans="1:10" ht="13">
      <c r="A20" s="211" t="s">
        <v>1385</v>
      </c>
      <c r="B20" t="s">
        <v>1722</v>
      </c>
      <c r="C20" s="198">
        <v>12528</v>
      </c>
      <c r="D20" s="199" t="s">
        <v>1384</v>
      </c>
      <c r="E20" s="82" t="s">
        <v>1723</v>
      </c>
      <c r="F20" s="1">
        <v>7.2539465749954299</v>
      </c>
      <c r="G20" s="1">
        <v>1002.62032962439</v>
      </c>
      <c r="H20" s="81">
        <f t="shared" si="0"/>
        <v>3151.8595519400724</v>
      </c>
      <c r="I20" s="1">
        <v>138.21722</v>
      </c>
      <c r="J20" s="81">
        <f t="shared" si="1"/>
        <v>314.71662626666671</v>
      </c>
    </row>
    <row r="21" spans="1:10" ht="13">
      <c r="A21" s="211"/>
      <c r="C21" s="198"/>
      <c r="D21" s="199"/>
      <c r="E21" s="133" t="s">
        <v>1724</v>
      </c>
      <c r="F21" s="134">
        <f>D42</f>
        <v>6.9346509240334946</v>
      </c>
      <c r="G21" s="232"/>
      <c r="H21" s="233">
        <f>SUM(H20,H22)/2</f>
        <v>3156.030533439744</v>
      </c>
      <c r="I21" s="248"/>
      <c r="J21" s="233">
        <f>SUM(J20,J22)/2</f>
        <v>315.34712626666669</v>
      </c>
    </row>
    <row r="22" spans="1:10" ht="13">
      <c r="A22" s="211" t="s">
        <v>1404</v>
      </c>
      <c r="B22" t="s">
        <v>1725</v>
      </c>
      <c r="C22" s="198">
        <v>15070</v>
      </c>
      <c r="D22" s="199" t="s">
        <v>1403</v>
      </c>
      <c r="E22" s="82" t="s">
        <v>1404</v>
      </c>
      <c r="F22" s="1">
        <v>6.6153552730715601</v>
      </c>
      <c r="G22" s="1">
        <v>8.341962999343238</v>
      </c>
      <c r="H22" s="81">
        <f>H20+G22</f>
        <v>3160.2015149394156</v>
      </c>
      <c r="I22" s="1">
        <v>1.2610000000000003</v>
      </c>
      <c r="J22" s="81">
        <f>J20+I22</f>
        <v>315.97762626666673</v>
      </c>
    </row>
    <row r="23" spans="1:10" ht="13">
      <c r="A23" s="211" t="s">
        <v>934</v>
      </c>
      <c r="B23" t="s">
        <v>1726</v>
      </c>
      <c r="C23" s="198">
        <v>15377</v>
      </c>
      <c r="D23" s="199" t="s">
        <v>884</v>
      </c>
      <c r="E23" s="82" t="s">
        <v>934</v>
      </c>
      <c r="F23" s="1">
        <v>5.8818595336599291</v>
      </c>
      <c r="G23" s="1">
        <v>132.3418395073484</v>
      </c>
      <c r="H23" s="81">
        <f t="shared" si="0"/>
        <v>3292.5433544467642</v>
      </c>
      <c r="I23" s="1">
        <v>22.5</v>
      </c>
      <c r="J23" s="81">
        <f t="shared" si="1"/>
        <v>338.47762626666673</v>
      </c>
    </row>
    <row r="24" spans="1:10" ht="13">
      <c r="A24" s="211" t="s">
        <v>791</v>
      </c>
      <c r="B24" t="s">
        <v>1727</v>
      </c>
      <c r="C24" s="198">
        <v>16025</v>
      </c>
      <c r="D24" s="199" t="s">
        <v>795</v>
      </c>
      <c r="E24" s="82" t="s">
        <v>791</v>
      </c>
      <c r="F24" s="1">
        <v>5.782459493297945</v>
      </c>
      <c r="G24" s="1">
        <v>44.235815123729282</v>
      </c>
      <c r="H24" s="81">
        <f t="shared" si="0"/>
        <v>3336.7791695704937</v>
      </c>
      <c r="I24" s="1">
        <v>22.25</v>
      </c>
      <c r="J24" s="81">
        <f t="shared" si="1"/>
        <v>360.72762626666673</v>
      </c>
    </row>
    <row r="25" spans="1:10" ht="13">
      <c r="A25" s="163" t="s">
        <v>1588</v>
      </c>
      <c r="B25" t="s">
        <v>1728</v>
      </c>
      <c r="C25" s="249">
        <v>12591</v>
      </c>
      <c r="D25" s="231" t="s">
        <v>1587</v>
      </c>
      <c r="E25" s="82" t="s">
        <v>1588</v>
      </c>
      <c r="F25" s="1">
        <v>5.3311167684597107</v>
      </c>
      <c r="G25" s="1">
        <v>29.854253903374385</v>
      </c>
      <c r="H25" s="81">
        <f t="shared" si="0"/>
        <v>3366.6334234738679</v>
      </c>
      <c r="I25" s="1">
        <v>6.5</v>
      </c>
      <c r="J25" s="81">
        <f t="shared" si="1"/>
        <v>367.22762626666673</v>
      </c>
    </row>
    <row r="26" spans="1:10" ht="13">
      <c r="A26" s="163" t="s">
        <v>1624</v>
      </c>
      <c r="B26" t="s">
        <v>1729</v>
      </c>
      <c r="C26" s="249">
        <v>15706</v>
      </c>
      <c r="D26" s="231" t="s">
        <v>1623</v>
      </c>
      <c r="E26" s="82" t="s">
        <v>1624</v>
      </c>
      <c r="F26" s="1">
        <v>5.0715716510435112</v>
      </c>
      <c r="G26" s="1">
        <v>7.3537788940130895</v>
      </c>
      <c r="H26" s="81">
        <f t="shared" si="0"/>
        <v>3373.9872023678809</v>
      </c>
      <c r="I26" s="1">
        <v>1.45</v>
      </c>
      <c r="J26" s="81">
        <f t="shared" si="1"/>
        <v>368.67762626666672</v>
      </c>
    </row>
    <row r="27" spans="1:10" ht="13">
      <c r="A27" s="211" t="s">
        <v>1251</v>
      </c>
      <c r="B27" t="s">
        <v>1730</v>
      </c>
      <c r="C27" s="250">
        <v>15821</v>
      </c>
      <c r="D27" s="199" t="s">
        <v>1250</v>
      </c>
      <c r="E27" s="82" t="s">
        <v>729</v>
      </c>
      <c r="F27" s="1">
        <v>4.9131625989510308</v>
      </c>
      <c r="G27" s="1">
        <v>1.881741275398245</v>
      </c>
      <c r="H27" s="81">
        <f t="shared" si="0"/>
        <v>3375.8689436432792</v>
      </c>
      <c r="I27" s="1">
        <v>1.073</v>
      </c>
      <c r="J27" s="81">
        <f t="shared" si="1"/>
        <v>369.7506262666667</v>
      </c>
    </row>
    <row r="28" spans="1:10" ht="13">
      <c r="A28" s="211" t="s">
        <v>1356</v>
      </c>
      <c r="B28" t="s">
        <v>1731</v>
      </c>
      <c r="C28" s="198">
        <v>15070</v>
      </c>
      <c r="D28" s="199" t="s">
        <v>882</v>
      </c>
      <c r="E28" s="82" t="s">
        <v>1732</v>
      </c>
      <c r="F28" s="1">
        <v>4.8298344594402085</v>
      </c>
      <c r="G28" s="1">
        <v>4.8298344594402085</v>
      </c>
      <c r="H28" s="81">
        <f t="shared" si="0"/>
        <v>3380.6987781027192</v>
      </c>
      <c r="I28" s="1">
        <v>1</v>
      </c>
      <c r="J28" s="81">
        <f t="shared" si="1"/>
        <v>370.7506262666667</v>
      </c>
    </row>
    <row r="29" spans="1:10" ht="13">
      <c r="A29" s="211" t="s">
        <v>1328</v>
      </c>
      <c r="B29" t="s">
        <v>1733</v>
      </c>
      <c r="C29" s="198">
        <v>12528</v>
      </c>
      <c r="D29" s="199" t="s">
        <v>471</v>
      </c>
      <c r="E29" s="82" t="s">
        <v>1328</v>
      </c>
      <c r="F29" s="1">
        <v>3.6570607322149593</v>
      </c>
      <c r="G29" s="1">
        <v>6.9484153912084228</v>
      </c>
      <c r="H29" s="81">
        <f t="shared" si="0"/>
        <v>3387.6471934939277</v>
      </c>
      <c r="I29" s="1">
        <v>4.5999999999999996</v>
      </c>
      <c r="J29" s="81">
        <f t="shared" si="1"/>
        <v>375.35062626666672</v>
      </c>
    </row>
    <row r="30" spans="1:10" ht="13">
      <c r="A30" s="247" t="s">
        <v>1656</v>
      </c>
      <c r="B30" t="s">
        <v>1734</v>
      </c>
      <c r="C30" s="249">
        <v>16024</v>
      </c>
      <c r="D30" s="231" t="s">
        <v>643</v>
      </c>
      <c r="E30" s="82" t="s">
        <v>1656</v>
      </c>
      <c r="F30" s="1">
        <v>3.2031031963241694</v>
      </c>
      <c r="G30" s="1">
        <v>7.6874476711780062</v>
      </c>
      <c r="H30" s="81">
        <f t="shared" si="0"/>
        <v>3395.3346411651055</v>
      </c>
      <c r="I30" s="1">
        <v>2.4</v>
      </c>
      <c r="J30" s="81">
        <f t="shared" si="1"/>
        <v>377.7506262666667</v>
      </c>
    </row>
    <row r="31" spans="1:10" ht="13">
      <c r="A31" s="211" t="s">
        <v>130</v>
      </c>
      <c r="B31" t="s">
        <v>1735</v>
      </c>
      <c r="C31" s="198">
        <v>15378</v>
      </c>
      <c r="D31" s="199" t="s">
        <v>866</v>
      </c>
      <c r="E31" s="82" t="s">
        <v>130</v>
      </c>
      <c r="F31" s="1">
        <v>2.7201493236905683</v>
      </c>
      <c r="G31" s="1">
        <v>2.4481343913215117</v>
      </c>
      <c r="H31" s="81">
        <f t="shared" si="0"/>
        <v>3397.7827755564272</v>
      </c>
      <c r="I31" s="1">
        <v>0.9</v>
      </c>
      <c r="J31" s="81">
        <f t="shared" si="1"/>
        <v>378.65062626666668</v>
      </c>
    </row>
    <row r="32" spans="1:10" ht="13">
      <c r="A32" s="211" t="s">
        <v>1226</v>
      </c>
      <c r="B32" t="s">
        <v>1736</v>
      </c>
      <c r="C32" s="198">
        <v>15821</v>
      </c>
      <c r="D32" s="199" t="s">
        <v>1225</v>
      </c>
      <c r="E32" s="82" t="s">
        <v>1737</v>
      </c>
      <c r="F32" s="1">
        <v>2.5342212907638095</v>
      </c>
      <c r="G32" s="1">
        <v>2.6634665765927643</v>
      </c>
      <c r="H32" s="81">
        <f t="shared" si="0"/>
        <v>3400.44624213302</v>
      </c>
      <c r="I32" s="1">
        <v>1.6679999999999999</v>
      </c>
      <c r="J32" s="81">
        <f t="shared" si="1"/>
        <v>380.31862626666668</v>
      </c>
    </row>
    <row r="33" spans="1:10" ht="13">
      <c r="A33" s="211" t="s">
        <v>1574</v>
      </c>
      <c r="B33" t="s">
        <v>1738</v>
      </c>
      <c r="C33" s="198">
        <v>12528</v>
      </c>
      <c r="D33" s="199" t="s">
        <v>1573</v>
      </c>
      <c r="E33" s="82" t="s">
        <v>1574</v>
      </c>
      <c r="F33" s="1">
        <v>2.281157764308519</v>
      </c>
      <c r="G33" s="1">
        <v>10.265209939388336</v>
      </c>
      <c r="H33" s="81">
        <f t="shared" si="0"/>
        <v>3410.7114520724081</v>
      </c>
      <c r="I33" s="1">
        <v>15.500000000000002</v>
      </c>
      <c r="J33" s="81">
        <f t="shared" si="1"/>
        <v>395.81862626666668</v>
      </c>
    </row>
    <row r="34" spans="1:10" ht="13">
      <c r="A34" s="211" t="s">
        <v>654</v>
      </c>
      <c r="B34" t="s">
        <v>1739</v>
      </c>
      <c r="C34" s="198">
        <v>15702</v>
      </c>
      <c r="D34" s="199" t="s">
        <v>655</v>
      </c>
      <c r="E34" s="82" t="s">
        <v>654</v>
      </c>
      <c r="F34" s="1">
        <v>1.8064116738718836</v>
      </c>
      <c r="G34" s="1">
        <v>1.972300479255785</v>
      </c>
      <c r="H34" s="81">
        <f t="shared" si="0"/>
        <v>3412.6837525516639</v>
      </c>
      <c r="I34" s="1">
        <v>1.0918333333333334</v>
      </c>
      <c r="J34" s="81">
        <f t="shared" si="1"/>
        <v>396.91045960000002</v>
      </c>
    </row>
    <row r="35" spans="1:10" ht="13">
      <c r="A35" s="211" t="s">
        <v>1557</v>
      </c>
      <c r="B35" t="s">
        <v>1555</v>
      </c>
      <c r="C35" s="198">
        <v>15364</v>
      </c>
      <c r="D35" s="199" t="s">
        <v>1556</v>
      </c>
      <c r="E35" s="82" t="s">
        <v>923</v>
      </c>
      <c r="F35" s="1">
        <v>1.7717245310660785</v>
      </c>
      <c r="G35" s="1">
        <v>52.567066836730547</v>
      </c>
      <c r="H35" s="81">
        <f t="shared" si="0"/>
        <v>3465.2508193883946</v>
      </c>
      <c r="I35" s="1">
        <v>29.67</v>
      </c>
      <c r="J35" s="81">
        <f t="shared" si="1"/>
        <v>426.58045960000004</v>
      </c>
    </row>
    <row r="36" spans="1:10" ht="13">
      <c r="A36" s="211" t="s">
        <v>1342</v>
      </c>
      <c r="B36" t="s">
        <v>1740</v>
      </c>
      <c r="C36" s="198">
        <v>15070</v>
      </c>
      <c r="D36" s="199" t="s">
        <v>1341</v>
      </c>
      <c r="E36" s="82" t="s">
        <v>1342</v>
      </c>
      <c r="F36" s="1">
        <v>1.4423171734801186</v>
      </c>
      <c r="G36" s="1">
        <v>1.5865488908281307</v>
      </c>
      <c r="H36" s="81">
        <f t="shared" si="0"/>
        <v>3466.8373682792226</v>
      </c>
      <c r="I36" s="1">
        <v>1.1000000000000001</v>
      </c>
      <c r="J36" s="81">
        <f t="shared" si="1"/>
        <v>427.68045960000006</v>
      </c>
    </row>
    <row r="37" spans="1:10" ht="13">
      <c r="A37" s="211" t="s">
        <v>401</v>
      </c>
      <c r="B37" t="s">
        <v>1741</v>
      </c>
      <c r="C37" s="198">
        <v>15586</v>
      </c>
      <c r="D37" s="199" t="s">
        <v>719</v>
      </c>
      <c r="E37" s="82" t="s">
        <v>401</v>
      </c>
      <c r="F37" s="1">
        <v>1.3136016776624606</v>
      </c>
      <c r="G37" s="1">
        <v>4.4218853753977045</v>
      </c>
      <c r="H37" s="81">
        <f t="shared" si="0"/>
        <v>3471.2592536546204</v>
      </c>
      <c r="I37" s="1">
        <v>9.0501500000000004</v>
      </c>
      <c r="J37" s="81">
        <f t="shared" si="1"/>
        <v>436.73060960000004</v>
      </c>
    </row>
    <row r="38" spans="1:10" ht="13">
      <c r="A38" s="211" t="s">
        <v>937</v>
      </c>
      <c r="B38" t="s">
        <v>1742</v>
      </c>
      <c r="C38" s="198">
        <v>15376</v>
      </c>
      <c r="D38" s="199" t="s">
        <v>195</v>
      </c>
      <c r="E38" s="82" t="s">
        <v>937</v>
      </c>
      <c r="F38" s="1">
        <v>1.0610298498214294</v>
      </c>
      <c r="G38" s="1">
        <v>8.307863724101793</v>
      </c>
      <c r="H38" s="81">
        <f t="shared" si="0"/>
        <v>3479.5671173787223</v>
      </c>
      <c r="I38" s="1">
        <v>7.83</v>
      </c>
      <c r="J38" s="81">
        <f t="shared" si="1"/>
        <v>444.56060960000002</v>
      </c>
    </row>
    <row r="39" spans="1:10" ht="13">
      <c r="A39" s="211" t="s">
        <v>935</v>
      </c>
      <c r="B39" t="s">
        <v>1743</v>
      </c>
      <c r="C39" s="198">
        <v>12539</v>
      </c>
      <c r="D39" s="199" t="s">
        <v>302</v>
      </c>
      <c r="E39" s="82" t="s">
        <v>935</v>
      </c>
      <c r="F39" s="1">
        <v>0.60558715308622624</v>
      </c>
      <c r="G39" s="1">
        <v>0.56925192390105261</v>
      </c>
      <c r="H39" s="81">
        <f t="shared" si="0"/>
        <v>3480.1363693026233</v>
      </c>
      <c r="I39" s="1">
        <v>0.94</v>
      </c>
      <c r="J39" s="81">
        <f t="shared" si="1"/>
        <v>445.50060960000002</v>
      </c>
    </row>
    <row r="40" spans="1:10" ht="13">
      <c r="A40" s="211" t="s">
        <v>1189</v>
      </c>
      <c r="B40" t="s">
        <v>1744</v>
      </c>
      <c r="C40" s="198">
        <v>15821</v>
      </c>
      <c r="D40" s="199" t="s">
        <v>1188</v>
      </c>
      <c r="E40" s="82" t="s">
        <v>1745</v>
      </c>
      <c r="F40" s="1">
        <v>0.101937658114374</v>
      </c>
      <c r="G40" s="1">
        <v>5.6881213227820693E-2</v>
      </c>
      <c r="H40" s="81">
        <f t="shared" si="0"/>
        <v>3480.1932505158511</v>
      </c>
      <c r="I40" s="1">
        <v>1.2789999999999999</v>
      </c>
      <c r="J40" s="81">
        <f t="shared" si="1"/>
        <v>446.77960960000001</v>
      </c>
    </row>
    <row r="41" spans="1:10">
      <c r="D41" s="80"/>
    </row>
    <row r="42" spans="1:10">
      <c r="C42" t="s">
        <v>1724</v>
      </c>
      <c r="D42" s="200">
        <f>MEDIAN(F2:F20,F22:F40)</f>
        <v>6.9346509240334946</v>
      </c>
      <c r="E42" s="1"/>
      <c r="F42" s="1"/>
      <c r="G42" s="1"/>
      <c r="H42" s="1"/>
    </row>
    <row r="43" spans="1:10">
      <c r="C43" t="s">
        <v>1746</v>
      </c>
      <c r="D43" s="1">
        <v>7.9</v>
      </c>
      <c r="E43" s="1"/>
      <c r="F43" s="1"/>
      <c r="G43" s="1"/>
      <c r="H43" s="1"/>
    </row>
    <row r="44" spans="1:10">
      <c r="C44" t="s">
        <v>1747</v>
      </c>
      <c r="D44" s="1">
        <f>H40/J40</f>
        <v>7.7895077925146454</v>
      </c>
      <c r="E44" s="2"/>
      <c r="F44" s="2"/>
      <c r="G44" s="2"/>
    </row>
    <row r="50" spans="6:8">
      <c r="F50">
        <f>MEDIAN(Table136[cumulative eNPV])</f>
        <v>3156.030533439744</v>
      </c>
      <c r="H50">
        <f>MEDIAN(Table136[cumulative eCost])</f>
        <v>315.34712626666669</v>
      </c>
    </row>
  </sheetData>
  <sortState ref="P2:T36">
    <sortCondition descending="1" ref="T2:T36"/>
  </sortState>
  <conditionalFormatting sqref="T29:T34 T3:T27">
    <cfRule type="expression" dxfId="49" priority="60">
      <formula>IFERROR(T3="NA",TRUE)</formula>
    </cfRule>
  </conditionalFormatting>
  <conditionalFormatting sqref="Q22">
    <cfRule type="expression" dxfId="48" priority="59">
      <formula>IFERROR(Q22="NA",TRUE)</formula>
    </cfRule>
  </conditionalFormatting>
  <conditionalFormatting sqref="T39">
    <cfRule type="expression" dxfId="47" priority="45">
      <formula>IFERROR(T39="NA",TRUE)</formula>
    </cfRule>
  </conditionalFormatting>
  <conditionalFormatting sqref="Q38">
    <cfRule type="expression" dxfId="46" priority="57">
      <formula>IFERROR(Q38="NA",TRUE)</formula>
    </cfRule>
  </conditionalFormatting>
  <conditionalFormatting sqref="T40 T35:T37">
    <cfRule type="expression" dxfId="45" priority="53">
      <formula>IFERROR(T35="NA",TRUE)</formula>
    </cfRule>
  </conditionalFormatting>
  <conditionalFormatting sqref="T28">
    <cfRule type="expression" dxfId="44" priority="52">
      <formula>IFERROR(T28="NA",TRUE)</formula>
    </cfRule>
  </conditionalFormatting>
  <conditionalFormatting sqref="T28">
    <cfRule type="colorScale" priority="51">
      <colorScale>
        <cfvo type="min"/>
        <cfvo type="percentile" val="50"/>
        <cfvo type="max"/>
        <color rgb="FFF8696B"/>
        <color rgb="FFFCFCFF"/>
        <color rgb="FF63BE7B"/>
      </colorScale>
    </cfRule>
  </conditionalFormatting>
  <conditionalFormatting sqref="T3:T27 T40 T29:T37">
    <cfRule type="colorScale" priority="54">
      <colorScale>
        <cfvo type="min"/>
        <cfvo type="percentile" val="50"/>
        <cfvo type="max"/>
        <color rgb="FFF8696B"/>
        <color rgb="FFFCFCFF"/>
        <color rgb="FF63BE7B"/>
      </colorScale>
    </cfRule>
  </conditionalFormatting>
  <conditionalFormatting sqref="T10">
    <cfRule type="colorScale" priority="49">
      <colorScale>
        <cfvo type="min"/>
        <cfvo type="percentile" val="50"/>
        <cfvo type="max"/>
        <color rgb="FFF8696B"/>
        <color rgb="FFFCFCFF"/>
        <color rgb="FF63BE7B"/>
      </colorScale>
    </cfRule>
    <cfRule type="expression" dxfId="43" priority="50">
      <formula>IFERROR(T10="NA",TRUE)</formula>
    </cfRule>
  </conditionalFormatting>
  <conditionalFormatting sqref="T28">
    <cfRule type="colorScale" priority="47">
      <colorScale>
        <cfvo type="min"/>
        <cfvo type="percentile" val="50"/>
        <cfvo type="max"/>
        <color rgb="FFF8696B"/>
        <color rgb="FFFCFCFF"/>
        <color rgb="FF63BE7B"/>
      </colorScale>
    </cfRule>
    <cfRule type="expression" dxfId="42" priority="48">
      <formula>IFERROR(T28="NA",TRUE)</formula>
    </cfRule>
  </conditionalFormatting>
  <conditionalFormatting sqref="T38">
    <cfRule type="colorScale" priority="55">
      <colorScale>
        <cfvo type="min"/>
        <cfvo type="percentile" val="50"/>
        <cfvo type="max"/>
        <color rgb="FFF8696B"/>
        <color rgb="FFFCFCFF"/>
        <color rgb="FF63BE7B"/>
      </colorScale>
    </cfRule>
    <cfRule type="expression" dxfId="41" priority="56">
      <formula>IFERROR(T38="NA",TRUE)</formula>
    </cfRule>
  </conditionalFormatting>
  <conditionalFormatting sqref="T39">
    <cfRule type="colorScale" priority="46">
      <colorScale>
        <cfvo type="min"/>
        <cfvo type="percentile" val="50"/>
        <cfvo type="max"/>
        <color rgb="FFF8696B"/>
        <color rgb="FFFCFCFF"/>
        <color rgb="FF63BE7B"/>
      </colorScale>
    </cfRule>
  </conditionalFormatting>
  <conditionalFormatting sqref="A26">
    <cfRule type="expression" dxfId="40" priority="43">
      <formula>IFERROR(A26="NA",TRUE)</formula>
    </cfRule>
  </conditionalFormatting>
  <conditionalFormatting sqref="A25">
    <cfRule type="expression" dxfId="39" priority="41">
      <formula>IFERROR(A25="NA",TRUE)</formula>
    </cfRule>
  </conditionalFormatting>
  <conditionalFormatting sqref="T2">
    <cfRule type="expression" dxfId="38" priority="6">
      <formula>IFERROR(T2="NA",TRUE)</formula>
    </cfRule>
  </conditionalFormatting>
  <conditionalFormatting sqref="T2">
    <cfRule type="colorScale" priority="5">
      <colorScale>
        <cfvo type="min"/>
        <cfvo type="percentile" val="50"/>
        <cfvo type="max"/>
        <color rgb="FFF8696B"/>
        <color rgb="FFFCFCFF"/>
        <color rgb="FF63BE7B"/>
      </colorScale>
    </cfRule>
  </conditionalFormatting>
  <conditionalFormatting sqref="T2">
    <cfRule type="colorScale" priority="7">
      <colorScale>
        <cfvo type="min"/>
        <cfvo type="percentile" val="50"/>
        <cfvo type="max"/>
        <color rgb="FFF8696B"/>
        <color rgb="FFFCFCFF"/>
        <color rgb="FF63BE7B"/>
      </colorScale>
    </cfRule>
  </conditionalFormatting>
  <conditionalFormatting sqref="T3:T40">
    <cfRule type="colorScale" priority="571">
      <colorScale>
        <cfvo type="min"/>
        <cfvo type="percentile" val="50"/>
        <cfvo type="max"/>
        <color rgb="FFF8696B"/>
        <color rgb="FFFCFCFF"/>
        <color rgb="FF63BE7B"/>
      </colorScale>
    </cfRule>
  </conditionalFormatting>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8:R18"/>
  <sheetViews>
    <sheetView workbookViewId="0">
      <selection activeCell="K20" sqref="K20"/>
    </sheetView>
  </sheetViews>
  <sheetFormatPr defaultRowHeight="12.5"/>
  <cols>
    <col min="2" max="2" width="9.54296875" customWidth="1"/>
    <col min="14" max="14" width="17.453125" customWidth="1"/>
  </cols>
  <sheetData>
    <row r="8" spans="2:18" ht="21.5" thickBot="1">
      <c r="B8" s="94" t="s">
        <v>949</v>
      </c>
      <c r="C8" s="175" t="s">
        <v>950</v>
      </c>
      <c r="D8" s="175" t="s">
        <v>951</v>
      </c>
      <c r="E8" s="175" t="s">
        <v>952</v>
      </c>
      <c r="F8" s="175" t="s">
        <v>1748</v>
      </c>
      <c r="H8" s="176" t="s">
        <v>958</v>
      </c>
      <c r="I8" s="175" t="s">
        <v>950</v>
      </c>
      <c r="J8" s="175" t="s">
        <v>951</v>
      </c>
      <c r="K8" s="175" t="s">
        <v>952</v>
      </c>
      <c r="L8" s="175" t="s">
        <v>1748</v>
      </c>
      <c r="N8" s="94" t="s">
        <v>1003</v>
      </c>
      <c r="O8" s="175" t="s">
        <v>950</v>
      </c>
      <c r="P8" s="175" t="s">
        <v>951</v>
      </c>
      <c r="Q8" s="175" t="s">
        <v>952</v>
      </c>
      <c r="R8" s="175" t="s">
        <v>1748</v>
      </c>
    </row>
    <row r="9" spans="2:18" ht="13" thickBot="1">
      <c r="B9" s="260" t="s">
        <v>953</v>
      </c>
      <c r="C9" s="177" t="s">
        <v>954</v>
      </c>
      <c r="D9" s="178">
        <v>0.6</v>
      </c>
      <c r="E9" s="177">
        <v>3</v>
      </c>
      <c r="F9" s="160">
        <f>COUNTIF('Portfolio ExtraVal'!Q5:Q34,3)</f>
        <v>8</v>
      </c>
      <c r="H9" s="260" t="s">
        <v>953</v>
      </c>
      <c r="I9" s="177" t="s">
        <v>954</v>
      </c>
      <c r="J9" s="177">
        <v>100</v>
      </c>
      <c r="K9" s="177">
        <v>3</v>
      </c>
      <c r="L9" s="160">
        <f>COUNTIF('Portfolio ExtraVal'!$X$5:$X$39,3)</f>
        <v>5</v>
      </c>
      <c r="N9" s="260" t="s">
        <v>953</v>
      </c>
      <c r="O9" s="177" t="s">
        <v>954</v>
      </c>
      <c r="P9" s="189">
        <v>10</v>
      </c>
      <c r="Q9" s="177">
        <v>3</v>
      </c>
      <c r="R9" s="160">
        <f>COUNTIF('Portfolio ExtraVal'!$AC$5:$AC$39,3)</f>
        <v>10</v>
      </c>
    </row>
    <row r="10" spans="2:18" ht="13" thickBot="1">
      <c r="B10" s="261"/>
      <c r="C10" s="177" t="s">
        <v>954</v>
      </c>
      <c r="D10" s="178">
        <v>0.25</v>
      </c>
      <c r="E10" s="177">
        <v>2</v>
      </c>
      <c r="F10" s="160">
        <f>COUNTIF('Portfolio ExtraVal'!Q5:Q34,2)</f>
        <v>14</v>
      </c>
      <c r="H10" s="261"/>
      <c r="I10" s="177" t="s">
        <v>954</v>
      </c>
      <c r="J10" s="177">
        <v>5</v>
      </c>
      <c r="K10" s="177">
        <v>2</v>
      </c>
      <c r="L10" s="160">
        <f>COUNTIF('Portfolio ExtraVal'!$X$5:$X$39,2)</f>
        <v>20</v>
      </c>
      <c r="N10" s="261"/>
      <c r="O10" s="177" t="s">
        <v>954</v>
      </c>
      <c r="P10" s="189">
        <v>5</v>
      </c>
      <c r="Q10" s="177">
        <v>2</v>
      </c>
      <c r="R10" s="160">
        <f>COUNTIF('Portfolio ExtraVal'!$AC$5:$AC$39,2)</f>
        <v>13</v>
      </c>
    </row>
    <row r="11" spans="2:18" ht="13" thickBot="1">
      <c r="B11" s="261"/>
      <c r="C11" s="177" t="s">
        <v>955</v>
      </c>
      <c r="D11" s="178">
        <v>0.25</v>
      </c>
      <c r="E11" s="177">
        <v>1</v>
      </c>
      <c r="F11" s="160">
        <f>COUNTIF('Portfolio ExtraVal'!Q5:Q34,1)</f>
        <v>8</v>
      </c>
      <c r="H11" s="261"/>
      <c r="I11" s="177" t="s">
        <v>955</v>
      </c>
      <c r="J11" s="177">
        <v>5</v>
      </c>
      <c r="K11" s="177">
        <v>1</v>
      </c>
      <c r="L11" s="160">
        <f>COUNTIF('Portfolio ExtraVal'!$X$5:$X$39,1)</f>
        <v>10</v>
      </c>
      <c r="N11" s="261"/>
      <c r="O11" s="177" t="s">
        <v>955</v>
      </c>
      <c r="P11" s="189">
        <v>5</v>
      </c>
      <c r="Q11" s="177">
        <v>1</v>
      </c>
      <c r="R11" s="160">
        <f>COUNTIF('Portfolio ExtraVal'!$AC$5:$AC$39,1)</f>
        <v>12</v>
      </c>
    </row>
    <row r="14" spans="2:18" ht="21.5" thickBot="1">
      <c r="H14" s="176" t="s">
        <v>959</v>
      </c>
      <c r="I14" s="160" t="s">
        <v>950</v>
      </c>
      <c r="J14" s="160" t="s">
        <v>951</v>
      </c>
      <c r="K14" s="160" t="s">
        <v>952</v>
      </c>
      <c r="L14" s="160" t="s">
        <v>1748</v>
      </c>
    </row>
    <row r="15" spans="2:18" ht="13" thickBot="1">
      <c r="B15" s="259" t="s">
        <v>938</v>
      </c>
      <c r="C15" s="179">
        <f>COUNTIFS('Portfolio ExtraVal'!$Q$5:$Q$39,3,'Portfolio ExtraVal'!$AC$5:$AC$39,1)</f>
        <v>4</v>
      </c>
      <c r="D15" s="180">
        <f>COUNTIFS('Portfolio ExtraVal'!$Q$5:$Q$39,3,'Portfolio ExtraVal'!$AC$5:$AC$39,2)</f>
        <v>3</v>
      </c>
      <c r="E15" s="180">
        <f>COUNTIFS('Portfolio ExtraVal'!$Q$5:$Q$39,3,'Portfolio ExtraVal'!$AC$5:$AC$39,3)</f>
        <v>4</v>
      </c>
      <c r="F15" s="160"/>
      <c r="H15" s="260" t="s">
        <v>953</v>
      </c>
      <c r="I15" s="177" t="s">
        <v>954</v>
      </c>
      <c r="J15" s="177">
        <v>10</v>
      </c>
      <c r="K15" s="177">
        <v>3</v>
      </c>
      <c r="L15" s="160">
        <f>COUNTIF('Portfolio ExtraVal'!$AA$5:$AA$39,3)</f>
        <v>10</v>
      </c>
    </row>
    <row r="16" spans="2:18" ht="13" thickBot="1">
      <c r="B16" s="259"/>
      <c r="C16" s="181">
        <f>COUNTIFS('Portfolio ExtraVal'!$Q$5:$Q$39,2,'Portfolio ExtraVal'!$AC$5:$AC$39,1)</f>
        <v>5</v>
      </c>
      <c r="D16" s="179">
        <f>COUNTIFS('Portfolio ExtraVal'!$Q$5:$Q$39,2,'Portfolio ExtraVal'!$AC$5:$AC$39,2)</f>
        <v>7</v>
      </c>
      <c r="E16" s="180">
        <f>COUNTIFS('Portfolio ExtraVal'!$Q$5:$Q$39,2,'Portfolio ExtraVal'!$AC$5:$AC$39,3)</f>
        <v>4</v>
      </c>
      <c r="F16" s="160"/>
      <c r="H16" s="261"/>
      <c r="I16" s="177" t="s">
        <v>954</v>
      </c>
      <c r="J16" s="177">
        <v>4</v>
      </c>
      <c r="K16" s="177">
        <v>2</v>
      </c>
      <c r="L16" s="160">
        <f>COUNTIF('Portfolio ExtraVal'!$AA$5:$AA$39,2)</f>
        <v>13</v>
      </c>
    </row>
    <row r="17" spans="2:12" ht="24" customHeight="1" thickBot="1">
      <c r="B17" s="259"/>
      <c r="C17" s="181">
        <f>COUNTIFS('Portfolio ExtraVal'!$Q$5:$Q$39,1,'Portfolio ExtraVal'!$AC$5:$AC$39,1)</f>
        <v>3</v>
      </c>
      <c r="D17" s="181">
        <f>COUNTIFS('Portfolio ExtraVal'!$Q$5:$Q$39,1,'Portfolio ExtraVal'!$AC$5:$AC$39,2)</f>
        <v>3</v>
      </c>
      <c r="E17" s="179">
        <f>COUNTIFS('Portfolio ExtraVal'!$Q$5:$Q$39,1,'Portfolio ExtraVal'!$AC$5:$AC$39,3)</f>
        <v>2</v>
      </c>
      <c r="F17" s="160"/>
      <c r="H17" s="261"/>
      <c r="I17" s="177" t="s">
        <v>955</v>
      </c>
      <c r="J17" s="177">
        <v>4</v>
      </c>
      <c r="K17" s="177">
        <v>1</v>
      </c>
      <c r="L17" s="160">
        <f>COUNTIF('Portfolio ExtraVal'!$AA$5:$AA$39,1)</f>
        <v>12</v>
      </c>
    </row>
    <row r="18" spans="2:12">
      <c r="B18" s="160"/>
      <c r="C18" s="262" t="s">
        <v>948</v>
      </c>
      <c r="D18" s="262"/>
      <c r="E18" s="262"/>
      <c r="F18" s="160"/>
    </row>
  </sheetData>
  <mergeCells count="6">
    <mergeCell ref="C18:E18"/>
    <mergeCell ref="B9:B11"/>
    <mergeCell ref="H9:H11"/>
    <mergeCell ref="N9:N11"/>
    <mergeCell ref="H15:H17"/>
    <mergeCell ref="B15:B17"/>
  </mergeCells>
  <pageMargins left="0.7" right="0.7" top="0.75" bottom="0.75" header="0.3" footer="0.3"/>
  <pageSetup orientation="portrait" horizontalDpi="200" verticalDpi="200" copies="0" r:id="rId1"/>
  <extLst>
    <ext xmlns:x14="http://schemas.microsoft.com/office/spreadsheetml/2009/9/main" uri="{05C60535-1F16-4fd2-B633-F4F36F0B64E0}">
      <x14:sparklineGroups xmlns:xm="http://schemas.microsoft.com/office/excel/2006/main">
        <x14:sparklineGroup manualMax="10" manualMin="1" type="column" displayEmptyCellsAs="span" displayXAxis="1" minAxisType="custom" maxAxisType="custom">
          <x14:colorSeries rgb="FF376092"/>
          <x14:colorNegative rgb="FFD00000"/>
          <x14:colorAxis rgb="FF000000"/>
          <x14:colorMarkers rgb="FFD00000"/>
          <x14:colorFirst rgb="FFD00000"/>
          <x14:colorLast rgb="FFD00000"/>
          <x14:colorHigh rgb="FFD00000"/>
          <x14:colorLow rgb="FFD00000"/>
          <x14:sparklines>
            <x14:sparkline>
              <xm:f>'3X3 Data'!C15:E15</xm:f>
              <xm:sqref>F15</xm:sqref>
            </x14:sparkline>
            <x14:sparkline>
              <xm:f>'3X3 Data'!C16:E16</xm:f>
              <xm:sqref>F16</xm:sqref>
            </x14:sparkline>
            <x14:sparkline>
              <xm:f>'3X3 Data'!C17:E17</xm:f>
              <xm:sqref>F17</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H10"/>
  <sheetViews>
    <sheetView showGridLines="0" zoomScale="64" zoomScaleNormal="40" workbookViewId="0">
      <selection activeCell="I11" sqref="I11"/>
    </sheetView>
  </sheetViews>
  <sheetFormatPr defaultColWidth="28.453125" defaultRowHeight="149.25" customHeight="1"/>
  <cols>
    <col min="1" max="1" width="67.54296875" customWidth="1"/>
    <col min="2" max="3" width="7" customWidth="1"/>
    <col min="7" max="8" width="7" customWidth="1"/>
  </cols>
  <sheetData>
    <row r="1" spans="2:8" ht="11.25" customHeight="1"/>
    <row r="2" spans="2:8" ht="42" hidden="1" customHeight="1">
      <c r="B2" s="268" t="s">
        <v>1749</v>
      </c>
      <c r="C2" s="268"/>
      <c r="D2" s="268"/>
      <c r="E2" s="268"/>
      <c r="F2" s="268"/>
      <c r="G2" s="268"/>
      <c r="H2" s="268"/>
    </row>
    <row r="3" spans="2:8" ht="22.5" customHeight="1">
      <c r="D3" s="92"/>
      <c r="E3" s="30"/>
      <c r="F3" s="30"/>
    </row>
    <row r="4" spans="2:8" ht="36" customHeight="1">
      <c r="B4" s="93"/>
      <c r="C4" s="93"/>
      <c r="D4" s="270"/>
      <c r="E4" s="270"/>
      <c r="F4" s="270"/>
      <c r="G4" s="93"/>
      <c r="H4" s="93"/>
    </row>
    <row r="5" spans="2:8" ht="36" customHeight="1">
      <c r="B5" s="93"/>
      <c r="D5" s="272"/>
      <c r="E5" s="272"/>
      <c r="F5" s="272"/>
      <c r="H5" s="93"/>
    </row>
    <row r="6" spans="2:8" ht="149.25" customHeight="1">
      <c r="B6" s="271"/>
      <c r="C6" s="269" t="s">
        <v>994</v>
      </c>
      <c r="D6" s="90">
        <f>'3X3 Data'!C15</f>
        <v>4</v>
      </c>
      <c r="E6" s="91">
        <f>'3X3 Data'!D15</f>
        <v>3</v>
      </c>
      <c r="F6" s="91">
        <f>'3X3 Data'!E15</f>
        <v>4</v>
      </c>
      <c r="G6" s="274"/>
      <c r="H6" s="271"/>
    </row>
    <row r="7" spans="2:8" ht="149.25" customHeight="1">
      <c r="B7" s="271"/>
      <c r="C7" s="269"/>
      <c r="D7" s="89">
        <f>'3X3 Data'!C16</f>
        <v>5</v>
      </c>
      <c r="E7" s="90">
        <f>'3X3 Data'!D16</f>
        <v>7</v>
      </c>
      <c r="F7" s="91">
        <f>'3X3 Data'!E16</f>
        <v>4</v>
      </c>
      <c r="G7" s="274"/>
      <c r="H7" s="271"/>
    </row>
    <row r="8" spans="2:8" ht="149.25" customHeight="1">
      <c r="B8" s="271"/>
      <c r="C8" s="269"/>
      <c r="D8" s="89">
        <f>'3X3 Data'!C17</f>
        <v>3</v>
      </c>
      <c r="E8" s="89">
        <f>'3X3 Data'!D17</f>
        <v>3</v>
      </c>
      <c r="F8" s="90">
        <f>'3X3 Data'!E17</f>
        <v>2</v>
      </c>
      <c r="G8" s="274"/>
      <c r="H8" s="271"/>
    </row>
    <row r="9" spans="2:8" ht="36" customHeight="1">
      <c r="B9" s="93"/>
      <c r="D9" s="273" t="s">
        <v>948</v>
      </c>
      <c r="E9" s="273"/>
      <c r="F9" s="273"/>
      <c r="H9" s="93"/>
    </row>
    <row r="10" spans="2:8" ht="36" customHeight="1">
      <c r="B10" s="93"/>
      <c r="C10" s="93"/>
      <c r="D10" s="270"/>
      <c r="E10" s="270"/>
      <c r="F10" s="270"/>
      <c r="G10" s="93"/>
      <c r="H10" s="93"/>
    </row>
  </sheetData>
  <mergeCells count="9">
    <mergeCell ref="B2:H2"/>
    <mergeCell ref="C6:C8"/>
    <mergeCell ref="D10:F10"/>
    <mergeCell ref="H6:H8"/>
    <mergeCell ref="D5:F5"/>
    <mergeCell ref="D4:F4"/>
    <mergeCell ref="B6:B8"/>
    <mergeCell ref="D9:F9"/>
    <mergeCell ref="G6:G8"/>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pageSetUpPr fitToPage="1"/>
  </sheetPr>
  <dimension ref="B1:AC9"/>
  <sheetViews>
    <sheetView showGridLines="0" zoomScale="60" zoomScaleNormal="60" workbookViewId="0">
      <selection activeCell="G5" sqref="G5"/>
    </sheetView>
  </sheetViews>
  <sheetFormatPr defaultRowHeight="12.5"/>
  <cols>
    <col min="1" max="1" width="4.54296875" customWidth="1"/>
    <col min="2" max="2" width="8.90625" style="117" customWidth="1"/>
    <col min="3" max="3" width="30.90625" customWidth="1"/>
    <col min="4" max="12" width="15.453125" customWidth="1"/>
    <col min="13" max="13" width="16.08984375" customWidth="1"/>
    <col min="14" max="14" width="9.453125" customWidth="1"/>
    <col min="15" max="15" width="18.08984375" customWidth="1"/>
    <col min="16" max="17" width="12.08984375" customWidth="1"/>
    <col min="18" max="18" width="30.90625" customWidth="1"/>
    <col min="19" max="27" width="17.08984375" customWidth="1"/>
    <col min="28" max="28" width="5.54296875" customWidth="1"/>
    <col min="29" max="29" width="18.453125" customWidth="1"/>
    <col min="259" max="259" width="8.90625" customWidth="1"/>
    <col min="260" max="260" width="26.54296875" customWidth="1"/>
    <col min="261" max="269" width="13.453125" customWidth="1"/>
    <col min="270" max="270" width="15.54296875" customWidth="1"/>
    <col min="271" max="271" width="12.08984375" customWidth="1"/>
    <col min="272" max="272" width="9.54296875" customWidth="1"/>
    <col min="273" max="273" width="3.90625" customWidth="1"/>
    <col min="274" max="274" width="9.54296875" customWidth="1"/>
    <col min="275" max="275" width="3.90625" customWidth="1"/>
    <col min="276" max="276" width="9.54296875" customWidth="1"/>
    <col min="277" max="277" width="3.90625" customWidth="1"/>
    <col min="278" max="278" width="9.54296875" customWidth="1"/>
    <col min="279" max="279" width="3.90625" customWidth="1"/>
    <col min="280" max="280" width="9.54296875" customWidth="1"/>
    <col min="515" max="515" width="8.90625" customWidth="1"/>
    <col min="516" max="516" width="26.54296875" customWidth="1"/>
    <col min="517" max="525" width="13.453125" customWidth="1"/>
    <col min="526" max="526" width="15.54296875" customWidth="1"/>
    <col min="527" max="527" width="12.08984375" customWidth="1"/>
    <col min="528" max="528" width="9.54296875" customWidth="1"/>
    <col min="529" max="529" width="3.90625" customWidth="1"/>
    <col min="530" max="530" width="9.54296875" customWidth="1"/>
    <col min="531" max="531" width="3.90625" customWidth="1"/>
    <col min="532" max="532" width="9.54296875" customWidth="1"/>
    <col min="533" max="533" width="3.90625" customWidth="1"/>
    <col min="534" max="534" width="9.54296875" customWidth="1"/>
    <col min="535" max="535" width="3.90625" customWidth="1"/>
    <col min="536" max="536" width="9.54296875" customWidth="1"/>
    <col min="771" max="771" width="8.90625" customWidth="1"/>
    <col min="772" max="772" width="26.54296875" customWidth="1"/>
    <col min="773" max="781" width="13.453125" customWidth="1"/>
    <col min="782" max="782" width="15.54296875" customWidth="1"/>
    <col min="783" max="783" width="12.08984375" customWidth="1"/>
    <col min="784" max="784" width="9.54296875" customWidth="1"/>
    <col min="785" max="785" width="3.90625" customWidth="1"/>
    <col min="786" max="786" width="9.54296875" customWidth="1"/>
    <col min="787" max="787" width="3.90625" customWidth="1"/>
    <col min="788" max="788" width="9.54296875" customWidth="1"/>
    <col min="789" max="789" width="3.90625" customWidth="1"/>
    <col min="790" max="790" width="9.54296875" customWidth="1"/>
    <col min="791" max="791" width="3.90625" customWidth="1"/>
    <col min="792" max="792" width="9.54296875" customWidth="1"/>
    <col min="1027" max="1027" width="8.90625" customWidth="1"/>
    <col min="1028" max="1028" width="26.54296875" customWidth="1"/>
    <col min="1029" max="1037" width="13.453125" customWidth="1"/>
    <col min="1038" max="1038" width="15.54296875" customWidth="1"/>
    <col min="1039" max="1039" width="12.08984375" customWidth="1"/>
    <col min="1040" max="1040" width="9.54296875" customWidth="1"/>
    <col min="1041" max="1041" width="3.90625" customWidth="1"/>
    <col min="1042" max="1042" width="9.54296875" customWidth="1"/>
    <col min="1043" max="1043" width="3.90625" customWidth="1"/>
    <col min="1044" max="1044" width="9.54296875" customWidth="1"/>
    <col min="1045" max="1045" width="3.90625" customWidth="1"/>
    <col min="1046" max="1046" width="9.54296875" customWidth="1"/>
    <col min="1047" max="1047" width="3.90625" customWidth="1"/>
    <col min="1048" max="1048" width="9.54296875" customWidth="1"/>
    <col min="1283" max="1283" width="8.90625" customWidth="1"/>
    <col min="1284" max="1284" width="26.54296875" customWidth="1"/>
    <col min="1285" max="1293" width="13.453125" customWidth="1"/>
    <col min="1294" max="1294" width="15.54296875" customWidth="1"/>
    <col min="1295" max="1295" width="12.08984375" customWidth="1"/>
    <col min="1296" max="1296" width="9.54296875" customWidth="1"/>
    <col min="1297" max="1297" width="3.90625" customWidth="1"/>
    <col min="1298" max="1298" width="9.54296875" customWidth="1"/>
    <col min="1299" max="1299" width="3.90625" customWidth="1"/>
    <col min="1300" max="1300" width="9.54296875" customWidth="1"/>
    <col min="1301" max="1301" width="3.90625" customWidth="1"/>
    <col min="1302" max="1302" width="9.54296875" customWidth="1"/>
    <col min="1303" max="1303" width="3.90625" customWidth="1"/>
    <col min="1304" max="1304" width="9.54296875" customWidth="1"/>
    <col min="1539" max="1539" width="8.90625" customWidth="1"/>
    <col min="1540" max="1540" width="26.54296875" customWidth="1"/>
    <col min="1541" max="1549" width="13.453125" customWidth="1"/>
    <col min="1550" max="1550" width="15.54296875" customWidth="1"/>
    <col min="1551" max="1551" width="12.08984375" customWidth="1"/>
    <col min="1552" max="1552" width="9.54296875" customWidth="1"/>
    <col min="1553" max="1553" width="3.90625" customWidth="1"/>
    <col min="1554" max="1554" width="9.54296875" customWidth="1"/>
    <col min="1555" max="1555" width="3.90625" customWidth="1"/>
    <col min="1556" max="1556" width="9.54296875" customWidth="1"/>
    <col min="1557" max="1557" width="3.90625" customWidth="1"/>
    <col min="1558" max="1558" width="9.54296875" customWidth="1"/>
    <col min="1559" max="1559" width="3.90625" customWidth="1"/>
    <col min="1560" max="1560" width="9.54296875" customWidth="1"/>
    <col min="1795" max="1795" width="8.90625" customWidth="1"/>
    <col min="1796" max="1796" width="26.54296875" customWidth="1"/>
    <col min="1797" max="1805" width="13.453125" customWidth="1"/>
    <col min="1806" max="1806" width="15.54296875" customWidth="1"/>
    <col min="1807" max="1807" width="12.08984375" customWidth="1"/>
    <col min="1808" max="1808" width="9.54296875" customWidth="1"/>
    <col min="1809" max="1809" width="3.90625" customWidth="1"/>
    <col min="1810" max="1810" width="9.54296875" customWidth="1"/>
    <col min="1811" max="1811" width="3.90625" customWidth="1"/>
    <col min="1812" max="1812" width="9.54296875" customWidth="1"/>
    <col min="1813" max="1813" width="3.90625" customWidth="1"/>
    <col min="1814" max="1814" width="9.54296875" customWidth="1"/>
    <col min="1815" max="1815" width="3.90625" customWidth="1"/>
    <col min="1816" max="1816" width="9.54296875" customWidth="1"/>
    <col min="2051" max="2051" width="8.90625" customWidth="1"/>
    <col min="2052" max="2052" width="26.54296875" customWidth="1"/>
    <col min="2053" max="2061" width="13.453125" customWidth="1"/>
    <col min="2062" max="2062" width="15.54296875" customWidth="1"/>
    <col min="2063" max="2063" width="12.08984375" customWidth="1"/>
    <col min="2064" max="2064" width="9.54296875" customWidth="1"/>
    <col min="2065" max="2065" width="3.90625" customWidth="1"/>
    <col min="2066" max="2066" width="9.54296875" customWidth="1"/>
    <col min="2067" max="2067" width="3.90625" customWidth="1"/>
    <col min="2068" max="2068" width="9.54296875" customWidth="1"/>
    <col min="2069" max="2069" width="3.90625" customWidth="1"/>
    <col min="2070" max="2070" width="9.54296875" customWidth="1"/>
    <col min="2071" max="2071" width="3.90625" customWidth="1"/>
    <col min="2072" max="2072" width="9.54296875" customWidth="1"/>
    <col min="2307" max="2307" width="8.90625" customWidth="1"/>
    <col min="2308" max="2308" width="26.54296875" customWidth="1"/>
    <col min="2309" max="2317" width="13.453125" customWidth="1"/>
    <col min="2318" max="2318" width="15.54296875" customWidth="1"/>
    <col min="2319" max="2319" width="12.08984375" customWidth="1"/>
    <col min="2320" max="2320" width="9.54296875" customWidth="1"/>
    <col min="2321" max="2321" width="3.90625" customWidth="1"/>
    <col min="2322" max="2322" width="9.54296875" customWidth="1"/>
    <col min="2323" max="2323" width="3.90625" customWidth="1"/>
    <col min="2324" max="2324" width="9.54296875" customWidth="1"/>
    <col min="2325" max="2325" width="3.90625" customWidth="1"/>
    <col min="2326" max="2326" width="9.54296875" customWidth="1"/>
    <col min="2327" max="2327" width="3.90625" customWidth="1"/>
    <col min="2328" max="2328" width="9.54296875" customWidth="1"/>
    <col min="2563" max="2563" width="8.90625" customWidth="1"/>
    <col min="2564" max="2564" width="26.54296875" customWidth="1"/>
    <col min="2565" max="2573" width="13.453125" customWidth="1"/>
    <col min="2574" max="2574" width="15.54296875" customWidth="1"/>
    <col min="2575" max="2575" width="12.08984375" customWidth="1"/>
    <col min="2576" max="2576" width="9.54296875" customWidth="1"/>
    <col min="2577" max="2577" width="3.90625" customWidth="1"/>
    <col min="2578" max="2578" width="9.54296875" customWidth="1"/>
    <col min="2579" max="2579" width="3.90625" customWidth="1"/>
    <col min="2580" max="2580" width="9.54296875" customWidth="1"/>
    <col min="2581" max="2581" width="3.90625" customWidth="1"/>
    <col min="2582" max="2582" width="9.54296875" customWidth="1"/>
    <col min="2583" max="2583" width="3.90625" customWidth="1"/>
    <col min="2584" max="2584" width="9.54296875" customWidth="1"/>
    <col min="2819" max="2819" width="8.90625" customWidth="1"/>
    <col min="2820" max="2820" width="26.54296875" customWidth="1"/>
    <col min="2821" max="2829" width="13.453125" customWidth="1"/>
    <col min="2830" max="2830" width="15.54296875" customWidth="1"/>
    <col min="2831" max="2831" width="12.08984375" customWidth="1"/>
    <col min="2832" max="2832" width="9.54296875" customWidth="1"/>
    <col min="2833" max="2833" width="3.90625" customWidth="1"/>
    <col min="2834" max="2834" width="9.54296875" customWidth="1"/>
    <col min="2835" max="2835" width="3.90625" customWidth="1"/>
    <col min="2836" max="2836" width="9.54296875" customWidth="1"/>
    <col min="2837" max="2837" width="3.90625" customWidth="1"/>
    <col min="2838" max="2838" width="9.54296875" customWidth="1"/>
    <col min="2839" max="2839" width="3.90625" customWidth="1"/>
    <col min="2840" max="2840" width="9.54296875" customWidth="1"/>
    <col min="3075" max="3075" width="8.90625" customWidth="1"/>
    <col min="3076" max="3076" width="26.54296875" customWidth="1"/>
    <col min="3077" max="3085" width="13.453125" customWidth="1"/>
    <col min="3086" max="3086" width="15.54296875" customWidth="1"/>
    <col min="3087" max="3087" width="12.08984375" customWidth="1"/>
    <col min="3088" max="3088" width="9.54296875" customWidth="1"/>
    <col min="3089" max="3089" width="3.90625" customWidth="1"/>
    <col min="3090" max="3090" width="9.54296875" customWidth="1"/>
    <col min="3091" max="3091" width="3.90625" customWidth="1"/>
    <col min="3092" max="3092" width="9.54296875" customWidth="1"/>
    <col min="3093" max="3093" width="3.90625" customWidth="1"/>
    <col min="3094" max="3094" width="9.54296875" customWidth="1"/>
    <col min="3095" max="3095" width="3.90625" customWidth="1"/>
    <col min="3096" max="3096" width="9.54296875" customWidth="1"/>
    <col min="3331" max="3331" width="8.90625" customWidth="1"/>
    <col min="3332" max="3332" width="26.54296875" customWidth="1"/>
    <col min="3333" max="3341" width="13.453125" customWidth="1"/>
    <col min="3342" max="3342" width="15.54296875" customWidth="1"/>
    <col min="3343" max="3343" width="12.08984375" customWidth="1"/>
    <col min="3344" max="3344" width="9.54296875" customWidth="1"/>
    <col min="3345" max="3345" width="3.90625" customWidth="1"/>
    <col min="3346" max="3346" width="9.54296875" customWidth="1"/>
    <col min="3347" max="3347" width="3.90625" customWidth="1"/>
    <col min="3348" max="3348" width="9.54296875" customWidth="1"/>
    <col min="3349" max="3349" width="3.90625" customWidth="1"/>
    <col min="3350" max="3350" width="9.54296875" customWidth="1"/>
    <col min="3351" max="3351" width="3.90625" customWidth="1"/>
    <col min="3352" max="3352" width="9.54296875" customWidth="1"/>
    <col min="3587" max="3587" width="8.90625" customWidth="1"/>
    <col min="3588" max="3588" width="26.54296875" customWidth="1"/>
    <col min="3589" max="3597" width="13.453125" customWidth="1"/>
    <col min="3598" max="3598" width="15.54296875" customWidth="1"/>
    <col min="3599" max="3599" width="12.08984375" customWidth="1"/>
    <col min="3600" max="3600" width="9.54296875" customWidth="1"/>
    <col min="3601" max="3601" width="3.90625" customWidth="1"/>
    <col min="3602" max="3602" width="9.54296875" customWidth="1"/>
    <col min="3603" max="3603" width="3.90625" customWidth="1"/>
    <col min="3604" max="3604" width="9.54296875" customWidth="1"/>
    <col min="3605" max="3605" width="3.90625" customWidth="1"/>
    <col min="3606" max="3606" width="9.54296875" customWidth="1"/>
    <col min="3607" max="3607" width="3.90625" customWidth="1"/>
    <col min="3608" max="3608" width="9.54296875" customWidth="1"/>
    <col min="3843" max="3843" width="8.90625" customWidth="1"/>
    <col min="3844" max="3844" width="26.54296875" customWidth="1"/>
    <col min="3845" max="3853" width="13.453125" customWidth="1"/>
    <col min="3854" max="3854" width="15.54296875" customWidth="1"/>
    <col min="3855" max="3855" width="12.08984375" customWidth="1"/>
    <col min="3856" max="3856" width="9.54296875" customWidth="1"/>
    <col min="3857" max="3857" width="3.90625" customWidth="1"/>
    <col min="3858" max="3858" width="9.54296875" customWidth="1"/>
    <col min="3859" max="3859" width="3.90625" customWidth="1"/>
    <col min="3860" max="3860" width="9.54296875" customWidth="1"/>
    <col min="3861" max="3861" width="3.90625" customWidth="1"/>
    <col min="3862" max="3862" width="9.54296875" customWidth="1"/>
    <col min="3863" max="3863" width="3.90625" customWidth="1"/>
    <col min="3864" max="3864" width="9.54296875" customWidth="1"/>
    <col min="4099" max="4099" width="8.90625" customWidth="1"/>
    <col min="4100" max="4100" width="26.54296875" customWidth="1"/>
    <col min="4101" max="4109" width="13.453125" customWidth="1"/>
    <col min="4110" max="4110" width="15.54296875" customWidth="1"/>
    <col min="4111" max="4111" width="12.08984375" customWidth="1"/>
    <col min="4112" max="4112" width="9.54296875" customWidth="1"/>
    <col min="4113" max="4113" width="3.90625" customWidth="1"/>
    <col min="4114" max="4114" width="9.54296875" customWidth="1"/>
    <col min="4115" max="4115" width="3.90625" customWidth="1"/>
    <col min="4116" max="4116" width="9.54296875" customWidth="1"/>
    <col min="4117" max="4117" width="3.90625" customWidth="1"/>
    <col min="4118" max="4118" width="9.54296875" customWidth="1"/>
    <col min="4119" max="4119" width="3.90625" customWidth="1"/>
    <col min="4120" max="4120" width="9.54296875" customWidth="1"/>
    <col min="4355" max="4355" width="8.90625" customWidth="1"/>
    <col min="4356" max="4356" width="26.54296875" customWidth="1"/>
    <col min="4357" max="4365" width="13.453125" customWidth="1"/>
    <col min="4366" max="4366" width="15.54296875" customWidth="1"/>
    <col min="4367" max="4367" width="12.08984375" customWidth="1"/>
    <col min="4368" max="4368" width="9.54296875" customWidth="1"/>
    <col min="4369" max="4369" width="3.90625" customWidth="1"/>
    <col min="4370" max="4370" width="9.54296875" customWidth="1"/>
    <col min="4371" max="4371" width="3.90625" customWidth="1"/>
    <col min="4372" max="4372" width="9.54296875" customWidth="1"/>
    <col min="4373" max="4373" width="3.90625" customWidth="1"/>
    <col min="4374" max="4374" width="9.54296875" customWidth="1"/>
    <col min="4375" max="4375" width="3.90625" customWidth="1"/>
    <col min="4376" max="4376" width="9.54296875" customWidth="1"/>
    <col min="4611" max="4611" width="8.90625" customWidth="1"/>
    <col min="4612" max="4612" width="26.54296875" customWidth="1"/>
    <col min="4613" max="4621" width="13.453125" customWidth="1"/>
    <col min="4622" max="4622" width="15.54296875" customWidth="1"/>
    <col min="4623" max="4623" width="12.08984375" customWidth="1"/>
    <col min="4624" max="4624" width="9.54296875" customWidth="1"/>
    <col min="4625" max="4625" width="3.90625" customWidth="1"/>
    <col min="4626" max="4626" width="9.54296875" customWidth="1"/>
    <col min="4627" max="4627" width="3.90625" customWidth="1"/>
    <col min="4628" max="4628" width="9.54296875" customWidth="1"/>
    <col min="4629" max="4629" width="3.90625" customWidth="1"/>
    <col min="4630" max="4630" width="9.54296875" customWidth="1"/>
    <col min="4631" max="4631" width="3.90625" customWidth="1"/>
    <col min="4632" max="4632" width="9.54296875" customWidth="1"/>
    <col min="4867" max="4867" width="8.90625" customWidth="1"/>
    <col min="4868" max="4868" width="26.54296875" customWidth="1"/>
    <col min="4869" max="4877" width="13.453125" customWidth="1"/>
    <col min="4878" max="4878" width="15.54296875" customWidth="1"/>
    <col min="4879" max="4879" width="12.08984375" customWidth="1"/>
    <col min="4880" max="4880" width="9.54296875" customWidth="1"/>
    <col min="4881" max="4881" width="3.90625" customWidth="1"/>
    <col min="4882" max="4882" width="9.54296875" customWidth="1"/>
    <col min="4883" max="4883" width="3.90625" customWidth="1"/>
    <col min="4884" max="4884" width="9.54296875" customWidth="1"/>
    <col min="4885" max="4885" width="3.90625" customWidth="1"/>
    <col min="4886" max="4886" width="9.54296875" customWidth="1"/>
    <col min="4887" max="4887" width="3.90625" customWidth="1"/>
    <col min="4888" max="4888" width="9.54296875" customWidth="1"/>
    <col min="5123" max="5123" width="8.90625" customWidth="1"/>
    <col min="5124" max="5124" width="26.54296875" customWidth="1"/>
    <col min="5125" max="5133" width="13.453125" customWidth="1"/>
    <col min="5134" max="5134" width="15.54296875" customWidth="1"/>
    <col min="5135" max="5135" width="12.08984375" customWidth="1"/>
    <col min="5136" max="5136" width="9.54296875" customWidth="1"/>
    <col min="5137" max="5137" width="3.90625" customWidth="1"/>
    <col min="5138" max="5138" width="9.54296875" customWidth="1"/>
    <col min="5139" max="5139" width="3.90625" customWidth="1"/>
    <col min="5140" max="5140" width="9.54296875" customWidth="1"/>
    <col min="5141" max="5141" width="3.90625" customWidth="1"/>
    <col min="5142" max="5142" width="9.54296875" customWidth="1"/>
    <col min="5143" max="5143" width="3.90625" customWidth="1"/>
    <col min="5144" max="5144" width="9.54296875" customWidth="1"/>
    <col min="5379" max="5379" width="8.90625" customWidth="1"/>
    <col min="5380" max="5380" width="26.54296875" customWidth="1"/>
    <col min="5381" max="5389" width="13.453125" customWidth="1"/>
    <col min="5390" max="5390" width="15.54296875" customWidth="1"/>
    <col min="5391" max="5391" width="12.08984375" customWidth="1"/>
    <col min="5392" max="5392" width="9.54296875" customWidth="1"/>
    <col min="5393" max="5393" width="3.90625" customWidth="1"/>
    <col min="5394" max="5394" width="9.54296875" customWidth="1"/>
    <col min="5395" max="5395" width="3.90625" customWidth="1"/>
    <col min="5396" max="5396" width="9.54296875" customWidth="1"/>
    <col min="5397" max="5397" width="3.90625" customWidth="1"/>
    <col min="5398" max="5398" width="9.54296875" customWidth="1"/>
    <col min="5399" max="5399" width="3.90625" customWidth="1"/>
    <col min="5400" max="5400" width="9.54296875" customWidth="1"/>
    <col min="5635" max="5635" width="8.90625" customWidth="1"/>
    <col min="5636" max="5636" width="26.54296875" customWidth="1"/>
    <col min="5637" max="5645" width="13.453125" customWidth="1"/>
    <col min="5646" max="5646" width="15.54296875" customWidth="1"/>
    <col min="5647" max="5647" width="12.08984375" customWidth="1"/>
    <col min="5648" max="5648" width="9.54296875" customWidth="1"/>
    <col min="5649" max="5649" width="3.90625" customWidth="1"/>
    <col min="5650" max="5650" width="9.54296875" customWidth="1"/>
    <col min="5651" max="5651" width="3.90625" customWidth="1"/>
    <col min="5652" max="5652" width="9.54296875" customWidth="1"/>
    <col min="5653" max="5653" width="3.90625" customWidth="1"/>
    <col min="5654" max="5654" width="9.54296875" customWidth="1"/>
    <col min="5655" max="5655" width="3.90625" customWidth="1"/>
    <col min="5656" max="5656" width="9.54296875" customWidth="1"/>
    <col min="5891" max="5891" width="8.90625" customWidth="1"/>
    <col min="5892" max="5892" width="26.54296875" customWidth="1"/>
    <col min="5893" max="5901" width="13.453125" customWidth="1"/>
    <col min="5902" max="5902" width="15.54296875" customWidth="1"/>
    <col min="5903" max="5903" width="12.08984375" customWidth="1"/>
    <col min="5904" max="5904" width="9.54296875" customWidth="1"/>
    <col min="5905" max="5905" width="3.90625" customWidth="1"/>
    <col min="5906" max="5906" width="9.54296875" customWidth="1"/>
    <col min="5907" max="5907" width="3.90625" customWidth="1"/>
    <col min="5908" max="5908" width="9.54296875" customWidth="1"/>
    <col min="5909" max="5909" width="3.90625" customWidth="1"/>
    <col min="5910" max="5910" width="9.54296875" customWidth="1"/>
    <col min="5911" max="5911" width="3.90625" customWidth="1"/>
    <col min="5912" max="5912" width="9.54296875" customWidth="1"/>
    <col min="6147" max="6147" width="8.90625" customWidth="1"/>
    <col min="6148" max="6148" width="26.54296875" customWidth="1"/>
    <col min="6149" max="6157" width="13.453125" customWidth="1"/>
    <col min="6158" max="6158" width="15.54296875" customWidth="1"/>
    <col min="6159" max="6159" width="12.08984375" customWidth="1"/>
    <col min="6160" max="6160" width="9.54296875" customWidth="1"/>
    <col min="6161" max="6161" width="3.90625" customWidth="1"/>
    <col min="6162" max="6162" width="9.54296875" customWidth="1"/>
    <col min="6163" max="6163" width="3.90625" customWidth="1"/>
    <col min="6164" max="6164" width="9.54296875" customWidth="1"/>
    <col min="6165" max="6165" width="3.90625" customWidth="1"/>
    <col min="6166" max="6166" width="9.54296875" customWidth="1"/>
    <col min="6167" max="6167" width="3.90625" customWidth="1"/>
    <col min="6168" max="6168" width="9.54296875" customWidth="1"/>
    <col min="6403" max="6403" width="8.90625" customWidth="1"/>
    <col min="6404" max="6404" width="26.54296875" customWidth="1"/>
    <col min="6405" max="6413" width="13.453125" customWidth="1"/>
    <col min="6414" max="6414" width="15.54296875" customWidth="1"/>
    <col min="6415" max="6415" width="12.08984375" customWidth="1"/>
    <col min="6416" max="6416" width="9.54296875" customWidth="1"/>
    <col min="6417" max="6417" width="3.90625" customWidth="1"/>
    <col min="6418" max="6418" width="9.54296875" customWidth="1"/>
    <col min="6419" max="6419" width="3.90625" customWidth="1"/>
    <col min="6420" max="6420" width="9.54296875" customWidth="1"/>
    <col min="6421" max="6421" width="3.90625" customWidth="1"/>
    <col min="6422" max="6422" width="9.54296875" customWidth="1"/>
    <col min="6423" max="6423" width="3.90625" customWidth="1"/>
    <col min="6424" max="6424" width="9.54296875" customWidth="1"/>
    <col min="6659" max="6659" width="8.90625" customWidth="1"/>
    <col min="6660" max="6660" width="26.54296875" customWidth="1"/>
    <col min="6661" max="6669" width="13.453125" customWidth="1"/>
    <col min="6670" max="6670" width="15.54296875" customWidth="1"/>
    <col min="6671" max="6671" width="12.08984375" customWidth="1"/>
    <col min="6672" max="6672" width="9.54296875" customWidth="1"/>
    <col min="6673" max="6673" width="3.90625" customWidth="1"/>
    <col min="6674" max="6674" width="9.54296875" customWidth="1"/>
    <col min="6675" max="6675" width="3.90625" customWidth="1"/>
    <col min="6676" max="6676" width="9.54296875" customWidth="1"/>
    <col min="6677" max="6677" width="3.90625" customWidth="1"/>
    <col min="6678" max="6678" width="9.54296875" customWidth="1"/>
    <col min="6679" max="6679" width="3.90625" customWidth="1"/>
    <col min="6680" max="6680" width="9.54296875" customWidth="1"/>
    <col min="6915" max="6915" width="8.90625" customWidth="1"/>
    <col min="6916" max="6916" width="26.54296875" customWidth="1"/>
    <col min="6917" max="6925" width="13.453125" customWidth="1"/>
    <col min="6926" max="6926" width="15.54296875" customWidth="1"/>
    <col min="6927" max="6927" width="12.08984375" customWidth="1"/>
    <col min="6928" max="6928" width="9.54296875" customWidth="1"/>
    <col min="6929" max="6929" width="3.90625" customWidth="1"/>
    <col min="6930" max="6930" width="9.54296875" customWidth="1"/>
    <col min="6931" max="6931" width="3.90625" customWidth="1"/>
    <col min="6932" max="6932" width="9.54296875" customWidth="1"/>
    <col min="6933" max="6933" width="3.90625" customWidth="1"/>
    <col min="6934" max="6934" width="9.54296875" customWidth="1"/>
    <col min="6935" max="6935" width="3.90625" customWidth="1"/>
    <col min="6936" max="6936" width="9.54296875" customWidth="1"/>
    <col min="7171" max="7171" width="8.90625" customWidth="1"/>
    <col min="7172" max="7172" width="26.54296875" customWidth="1"/>
    <col min="7173" max="7181" width="13.453125" customWidth="1"/>
    <col min="7182" max="7182" width="15.54296875" customWidth="1"/>
    <col min="7183" max="7183" width="12.08984375" customWidth="1"/>
    <col min="7184" max="7184" width="9.54296875" customWidth="1"/>
    <col min="7185" max="7185" width="3.90625" customWidth="1"/>
    <col min="7186" max="7186" width="9.54296875" customWidth="1"/>
    <col min="7187" max="7187" width="3.90625" customWidth="1"/>
    <col min="7188" max="7188" width="9.54296875" customWidth="1"/>
    <col min="7189" max="7189" width="3.90625" customWidth="1"/>
    <col min="7190" max="7190" width="9.54296875" customWidth="1"/>
    <col min="7191" max="7191" width="3.90625" customWidth="1"/>
    <col min="7192" max="7192" width="9.54296875" customWidth="1"/>
    <col min="7427" max="7427" width="8.90625" customWidth="1"/>
    <col min="7428" max="7428" width="26.54296875" customWidth="1"/>
    <col min="7429" max="7437" width="13.453125" customWidth="1"/>
    <col min="7438" max="7438" width="15.54296875" customWidth="1"/>
    <col min="7439" max="7439" width="12.08984375" customWidth="1"/>
    <col min="7440" max="7440" width="9.54296875" customWidth="1"/>
    <col min="7441" max="7441" width="3.90625" customWidth="1"/>
    <col min="7442" max="7442" width="9.54296875" customWidth="1"/>
    <col min="7443" max="7443" width="3.90625" customWidth="1"/>
    <col min="7444" max="7444" width="9.54296875" customWidth="1"/>
    <col min="7445" max="7445" width="3.90625" customWidth="1"/>
    <col min="7446" max="7446" width="9.54296875" customWidth="1"/>
    <col min="7447" max="7447" width="3.90625" customWidth="1"/>
    <col min="7448" max="7448" width="9.54296875" customWidth="1"/>
    <col min="7683" max="7683" width="8.90625" customWidth="1"/>
    <col min="7684" max="7684" width="26.54296875" customWidth="1"/>
    <col min="7685" max="7693" width="13.453125" customWidth="1"/>
    <col min="7694" max="7694" width="15.54296875" customWidth="1"/>
    <col min="7695" max="7695" width="12.08984375" customWidth="1"/>
    <col min="7696" max="7696" width="9.54296875" customWidth="1"/>
    <col min="7697" max="7697" width="3.90625" customWidth="1"/>
    <col min="7698" max="7698" width="9.54296875" customWidth="1"/>
    <col min="7699" max="7699" width="3.90625" customWidth="1"/>
    <col min="7700" max="7700" width="9.54296875" customWidth="1"/>
    <col min="7701" max="7701" width="3.90625" customWidth="1"/>
    <col min="7702" max="7702" width="9.54296875" customWidth="1"/>
    <col min="7703" max="7703" width="3.90625" customWidth="1"/>
    <col min="7704" max="7704" width="9.54296875" customWidth="1"/>
    <col min="7939" max="7939" width="8.90625" customWidth="1"/>
    <col min="7940" max="7940" width="26.54296875" customWidth="1"/>
    <col min="7941" max="7949" width="13.453125" customWidth="1"/>
    <col min="7950" max="7950" width="15.54296875" customWidth="1"/>
    <col min="7951" max="7951" width="12.08984375" customWidth="1"/>
    <col min="7952" max="7952" width="9.54296875" customWidth="1"/>
    <col min="7953" max="7953" width="3.90625" customWidth="1"/>
    <col min="7954" max="7954" width="9.54296875" customWidth="1"/>
    <col min="7955" max="7955" width="3.90625" customWidth="1"/>
    <col min="7956" max="7956" width="9.54296875" customWidth="1"/>
    <col min="7957" max="7957" width="3.90625" customWidth="1"/>
    <col min="7958" max="7958" width="9.54296875" customWidth="1"/>
    <col min="7959" max="7959" width="3.90625" customWidth="1"/>
    <col min="7960" max="7960" width="9.54296875" customWidth="1"/>
    <col min="8195" max="8195" width="8.90625" customWidth="1"/>
    <col min="8196" max="8196" width="26.54296875" customWidth="1"/>
    <col min="8197" max="8205" width="13.453125" customWidth="1"/>
    <col min="8206" max="8206" width="15.54296875" customWidth="1"/>
    <col min="8207" max="8207" width="12.08984375" customWidth="1"/>
    <col min="8208" max="8208" width="9.54296875" customWidth="1"/>
    <col min="8209" max="8209" width="3.90625" customWidth="1"/>
    <col min="8210" max="8210" width="9.54296875" customWidth="1"/>
    <col min="8211" max="8211" width="3.90625" customWidth="1"/>
    <col min="8212" max="8212" width="9.54296875" customWidth="1"/>
    <col min="8213" max="8213" width="3.90625" customWidth="1"/>
    <col min="8214" max="8214" width="9.54296875" customWidth="1"/>
    <col min="8215" max="8215" width="3.90625" customWidth="1"/>
    <col min="8216" max="8216" width="9.54296875" customWidth="1"/>
    <col min="8451" max="8451" width="8.90625" customWidth="1"/>
    <col min="8452" max="8452" width="26.54296875" customWidth="1"/>
    <col min="8453" max="8461" width="13.453125" customWidth="1"/>
    <col min="8462" max="8462" width="15.54296875" customWidth="1"/>
    <col min="8463" max="8463" width="12.08984375" customWidth="1"/>
    <col min="8464" max="8464" width="9.54296875" customWidth="1"/>
    <col min="8465" max="8465" width="3.90625" customWidth="1"/>
    <col min="8466" max="8466" width="9.54296875" customWidth="1"/>
    <col min="8467" max="8467" width="3.90625" customWidth="1"/>
    <col min="8468" max="8468" width="9.54296875" customWidth="1"/>
    <col min="8469" max="8469" width="3.90625" customWidth="1"/>
    <col min="8470" max="8470" width="9.54296875" customWidth="1"/>
    <col min="8471" max="8471" width="3.90625" customWidth="1"/>
    <col min="8472" max="8472" width="9.54296875" customWidth="1"/>
    <col min="8707" max="8707" width="8.90625" customWidth="1"/>
    <col min="8708" max="8708" width="26.54296875" customWidth="1"/>
    <col min="8709" max="8717" width="13.453125" customWidth="1"/>
    <col min="8718" max="8718" width="15.54296875" customWidth="1"/>
    <col min="8719" max="8719" width="12.08984375" customWidth="1"/>
    <col min="8720" max="8720" width="9.54296875" customWidth="1"/>
    <col min="8721" max="8721" width="3.90625" customWidth="1"/>
    <col min="8722" max="8722" width="9.54296875" customWidth="1"/>
    <col min="8723" max="8723" width="3.90625" customWidth="1"/>
    <col min="8724" max="8724" width="9.54296875" customWidth="1"/>
    <col min="8725" max="8725" width="3.90625" customWidth="1"/>
    <col min="8726" max="8726" width="9.54296875" customWidth="1"/>
    <col min="8727" max="8727" width="3.90625" customWidth="1"/>
    <col min="8728" max="8728" width="9.54296875" customWidth="1"/>
    <col min="8963" max="8963" width="8.90625" customWidth="1"/>
    <col min="8964" max="8964" width="26.54296875" customWidth="1"/>
    <col min="8965" max="8973" width="13.453125" customWidth="1"/>
    <col min="8974" max="8974" width="15.54296875" customWidth="1"/>
    <col min="8975" max="8975" width="12.08984375" customWidth="1"/>
    <col min="8976" max="8976" width="9.54296875" customWidth="1"/>
    <col min="8977" max="8977" width="3.90625" customWidth="1"/>
    <col min="8978" max="8978" width="9.54296875" customWidth="1"/>
    <col min="8979" max="8979" width="3.90625" customWidth="1"/>
    <col min="8980" max="8980" width="9.54296875" customWidth="1"/>
    <col min="8981" max="8981" width="3.90625" customWidth="1"/>
    <col min="8982" max="8982" width="9.54296875" customWidth="1"/>
    <col min="8983" max="8983" width="3.90625" customWidth="1"/>
    <col min="8984" max="8984" width="9.54296875" customWidth="1"/>
    <col min="9219" max="9219" width="8.90625" customWidth="1"/>
    <col min="9220" max="9220" width="26.54296875" customWidth="1"/>
    <col min="9221" max="9229" width="13.453125" customWidth="1"/>
    <col min="9230" max="9230" width="15.54296875" customWidth="1"/>
    <col min="9231" max="9231" width="12.08984375" customWidth="1"/>
    <col min="9232" max="9232" width="9.54296875" customWidth="1"/>
    <col min="9233" max="9233" width="3.90625" customWidth="1"/>
    <col min="9234" max="9234" width="9.54296875" customWidth="1"/>
    <col min="9235" max="9235" width="3.90625" customWidth="1"/>
    <col min="9236" max="9236" width="9.54296875" customWidth="1"/>
    <col min="9237" max="9237" width="3.90625" customWidth="1"/>
    <col min="9238" max="9238" width="9.54296875" customWidth="1"/>
    <col min="9239" max="9239" width="3.90625" customWidth="1"/>
    <col min="9240" max="9240" width="9.54296875" customWidth="1"/>
    <col min="9475" max="9475" width="8.90625" customWidth="1"/>
    <col min="9476" max="9476" width="26.54296875" customWidth="1"/>
    <col min="9477" max="9485" width="13.453125" customWidth="1"/>
    <col min="9486" max="9486" width="15.54296875" customWidth="1"/>
    <col min="9487" max="9487" width="12.08984375" customWidth="1"/>
    <col min="9488" max="9488" width="9.54296875" customWidth="1"/>
    <col min="9489" max="9489" width="3.90625" customWidth="1"/>
    <col min="9490" max="9490" width="9.54296875" customWidth="1"/>
    <col min="9491" max="9491" width="3.90625" customWidth="1"/>
    <col min="9492" max="9492" width="9.54296875" customWidth="1"/>
    <col min="9493" max="9493" width="3.90625" customWidth="1"/>
    <col min="9494" max="9494" width="9.54296875" customWidth="1"/>
    <col min="9495" max="9495" width="3.90625" customWidth="1"/>
    <col min="9496" max="9496" width="9.54296875" customWidth="1"/>
    <col min="9731" max="9731" width="8.90625" customWidth="1"/>
    <col min="9732" max="9732" width="26.54296875" customWidth="1"/>
    <col min="9733" max="9741" width="13.453125" customWidth="1"/>
    <col min="9742" max="9742" width="15.54296875" customWidth="1"/>
    <col min="9743" max="9743" width="12.08984375" customWidth="1"/>
    <col min="9744" max="9744" width="9.54296875" customWidth="1"/>
    <col min="9745" max="9745" width="3.90625" customWidth="1"/>
    <col min="9746" max="9746" width="9.54296875" customWidth="1"/>
    <col min="9747" max="9747" width="3.90625" customWidth="1"/>
    <col min="9748" max="9748" width="9.54296875" customWidth="1"/>
    <col min="9749" max="9749" width="3.90625" customWidth="1"/>
    <col min="9750" max="9750" width="9.54296875" customWidth="1"/>
    <col min="9751" max="9751" width="3.90625" customWidth="1"/>
    <col min="9752" max="9752" width="9.54296875" customWidth="1"/>
    <col min="9987" max="9987" width="8.90625" customWidth="1"/>
    <col min="9988" max="9988" width="26.54296875" customWidth="1"/>
    <col min="9989" max="9997" width="13.453125" customWidth="1"/>
    <col min="9998" max="9998" width="15.54296875" customWidth="1"/>
    <col min="9999" max="9999" width="12.08984375" customWidth="1"/>
    <col min="10000" max="10000" width="9.54296875" customWidth="1"/>
    <col min="10001" max="10001" width="3.90625" customWidth="1"/>
    <col min="10002" max="10002" width="9.54296875" customWidth="1"/>
    <col min="10003" max="10003" width="3.90625" customWidth="1"/>
    <col min="10004" max="10004" width="9.54296875" customWidth="1"/>
    <col min="10005" max="10005" width="3.90625" customWidth="1"/>
    <col min="10006" max="10006" width="9.54296875" customWidth="1"/>
    <col min="10007" max="10007" width="3.90625" customWidth="1"/>
    <col min="10008" max="10008" width="9.54296875" customWidth="1"/>
    <col min="10243" max="10243" width="8.90625" customWidth="1"/>
    <col min="10244" max="10244" width="26.54296875" customWidth="1"/>
    <col min="10245" max="10253" width="13.453125" customWidth="1"/>
    <col min="10254" max="10254" width="15.54296875" customWidth="1"/>
    <col min="10255" max="10255" width="12.08984375" customWidth="1"/>
    <col min="10256" max="10256" width="9.54296875" customWidth="1"/>
    <col min="10257" max="10257" width="3.90625" customWidth="1"/>
    <col min="10258" max="10258" width="9.54296875" customWidth="1"/>
    <col min="10259" max="10259" width="3.90625" customWidth="1"/>
    <col min="10260" max="10260" width="9.54296875" customWidth="1"/>
    <col min="10261" max="10261" width="3.90625" customWidth="1"/>
    <col min="10262" max="10262" width="9.54296875" customWidth="1"/>
    <col min="10263" max="10263" width="3.90625" customWidth="1"/>
    <col min="10264" max="10264" width="9.54296875" customWidth="1"/>
    <col min="10499" max="10499" width="8.90625" customWidth="1"/>
    <col min="10500" max="10500" width="26.54296875" customWidth="1"/>
    <col min="10501" max="10509" width="13.453125" customWidth="1"/>
    <col min="10510" max="10510" width="15.54296875" customWidth="1"/>
    <col min="10511" max="10511" width="12.08984375" customWidth="1"/>
    <col min="10512" max="10512" width="9.54296875" customWidth="1"/>
    <col min="10513" max="10513" width="3.90625" customWidth="1"/>
    <col min="10514" max="10514" width="9.54296875" customWidth="1"/>
    <col min="10515" max="10515" width="3.90625" customWidth="1"/>
    <col min="10516" max="10516" width="9.54296875" customWidth="1"/>
    <col min="10517" max="10517" width="3.90625" customWidth="1"/>
    <col min="10518" max="10518" width="9.54296875" customWidth="1"/>
    <col min="10519" max="10519" width="3.90625" customWidth="1"/>
    <col min="10520" max="10520" width="9.54296875" customWidth="1"/>
    <col min="10755" max="10755" width="8.90625" customWidth="1"/>
    <col min="10756" max="10756" width="26.54296875" customWidth="1"/>
    <col min="10757" max="10765" width="13.453125" customWidth="1"/>
    <col min="10766" max="10766" width="15.54296875" customWidth="1"/>
    <col min="10767" max="10767" width="12.08984375" customWidth="1"/>
    <col min="10768" max="10768" width="9.54296875" customWidth="1"/>
    <col min="10769" max="10769" width="3.90625" customWidth="1"/>
    <col min="10770" max="10770" width="9.54296875" customWidth="1"/>
    <col min="10771" max="10771" width="3.90625" customWidth="1"/>
    <col min="10772" max="10772" width="9.54296875" customWidth="1"/>
    <col min="10773" max="10773" width="3.90625" customWidth="1"/>
    <col min="10774" max="10774" width="9.54296875" customWidth="1"/>
    <col min="10775" max="10775" width="3.90625" customWidth="1"/>
    <col min="10776" max="10776" width="9.54296875" customWidth="1"/>
    <col min="11011" max="11011" width="8.90625" customWidth="1"/>
    <col min="11012" max="11012" width="26.54296875" customWidth="1"/>
    <col min="11013" max="11021" width="13.453125" customWidth="1"/>
    <col min="11022" max="11022" width="15.54296875" customWidth="1"/>
    <col min="11023" max="11023" width="12.08984375" customWidth="1"/>
    <col min="11024" max="11024" width="9.54296875" customWidth="1"/>
    <col min="11025" max="11025" width="3.90625" customWidth="1"/>
    <col min="11026" max="11026" width="9.54296875" customWidth="1"/>
    <col min="11027" max="11027" width="3.90625" customWidth="1"/>
    <col min="11028" max="11028" width="9.54296875" customWidth="1"/>
    <col min="11029" max="11029" width="3.90625" customWidth="1"/>
    <col min="11030" max="11030" width="9.54296875" customWidth="1"/>
    <col min="11031" max="11031" width="3.90625" customWidth="1"/>
    <col min="11032" max="11032" width="9.54296875" customWidth="1"/>
    <col min="11267" max="11267" width="8.90625" customWidth="1"/>
    <col min="11268" max="11268" width="26.54296875" customWidth="1"/>
    <col min="11269" max="11277" width="13.453125" customWidth="1"/>
    <col min="11278" max="11278" width="15.54296875" customWidth="1"/>
    <col min="11279" max="11279" width="12.08984375" customWidth="1"/>
    <col min="11280" max="11280" width="9.54296875" customWidth="1"/>
    <col min="11281" max="11281" width="3.90625" customWidth="1"/>
    <col min="11282" max="11282" width="9.54296875" customWidth="1"/>
    <col min="11283" max="11283" width="3.90625" customWidth="1"/>
    <col min="11284" max="11284" width="9.54296875" customWidth="1"/>
    <col min="11285" max="11285" width="3.90625" customWidth="1"/>
    <col min="11286" max="11286" width="9.54296875" customWidth="1"/>
    <col min="11287" max="11287" width="3.90625" customWidth="1"/>
    <col min="11288" max="11288" width="9.54296875" customWidth="1"/>
    <col min="11523" max="11523" width="8.90625" customWidth="1"/>
    <col min="11524" max="11524" width="26.54296875" customWidth="1"/>
    <col min="11525" max="11533" width="13.453125" customWidth="1"/>
    <col min="11534" max="11534" width="15.54296875" customWidth="1"/>
    <col min="11535" max="11535" width="12.08984375" customWidth="1"/>
    <col min="11536" max="11536" width="9.54296875" customWidth="1"/>
    <col min="11537" max="11537" width="3.90625" customWidth="1"/>
    <col min="11538" max="11538" width="9.54296875" customWidth="1"/>
    <col min="11539" max="11539" width="3.90625" customWidth="1"/>
    <col min="11540" max="11540" width="9.54296875" customWidth="1"/>
    <col min="11541" max="11541" width="3.90625" customWidth="1"/>
    <col min="11542" max="11542" width="9.54296875" customWidth="1"/>
    <col min="11543" max="11543" width="3.90625" customWidth="1"/>
    <col min="11544" max="11544" width="9.54296875" customWidth="1"/>
    <col min="11779" max="11779" width="8.90625" customWidth="1"/>
    <col min="11780" max="11780" width="26.54296875" customWidth="1"/>
    <col min="11781" max="11789" width="13.453125" customWidth="1"/>
    <col min="11790" max="11790" width="15.54296875" customWidth="1"/>
    <col min="11791" max="11791" width="12.08984375" customWidth="1"/>
    <col min="11792" max="11792" width="9.54296875" customWidth="1"/>
    <col min="11793" max="11793" width="3.90625" customWidth="1"/>
    <col min="11794" max="11794" width="9.54296875" customWidth="1"/>
    <col min="11795" max="11795" width="3.90625" customWidth="1"/>
    <col min="11796" max="11796" width="9.54296875" customWidth="1"/>
    <col min="11797" max="11797" width="3.90625" customWidth="1"/>
    <col min="11798" max="11798" width="9.54296875" customWidth="1"/>
    <col min="11799" max="11799" width="3.90625" customWidth="1"/>
    <col min="11800" max="11800" width="9.54296875" customWidth="1"/>
    <col min="12035" max="12035" width="8.90625" customWidth="1"/>
    <col min="12036" max="12036" width="26.54296875" customWidth="1"/>
    <col min="12037" max="12045" width="13.453125" customWidth="1"/>
    <col min="12046" max="12046" width="15.54296875" customWidth="1"/>
    <col min="12047" max="12047" width="12.08984375" customWidth="1"/>
    <col min="12048" max="12048" width="9.54296875" customWidth="1"/>
    <col min="12049" max="12049" width="3.90625" customWidth="1"/>
    <col min="12050" max="12050" width="9.54296875" customWidth="1"/>
    <col min="12051" max="12051" width="3.90625" customWidth="1"/>
    <col min="12052" max="12052" width="9.54296875" customWidth="1"/>
    <col min="12053" max="12053" width="3.90625" customWidth="1"/>
    <col min="12054" max="12054" width="9.54296875" customWidth="1"/>
    <col min="12055" max="12055" width="3.90625" customWidth="1"/>
    <col min="12056" max="12056" width="9.54296875" customWidth="1"/>
    <col min="12291" max="12291" width="8.90625" customWidth="1"/>
    <col min="12292" max="12292" width="26.54296875" customWidth="1"/>
    <col min="12293" max="12301" width="13.453125" customWidth="1"/>
    <col min="12302" max="12302" width="15.54296875" customWidth="1"/>
    <col min="12303" max="12303" width="12.08984375" customWidth="1"/>
    <col min="12304" max="12304" width="9.54296875" customWidth="1"/>
    <col min="12305" max="12305" width="3.90625" customWidth="1"/>
    <col min="12306" max="12306" width="9.54296875" customWidth="1"/>
    <col min="12307" max="12307" width="3.90625" customWidth="1"/>
    <col min="12308" max="12308" width="9.54296875" customWidth="1"/>
    <col min="12309" max="12309" width="3.90625" customWidth="1"/>
    <col min="12310" max="12310" width="9.54296875" customWidth="1"/>
    <col min="12311" max="12311" width="3.90625" customWidth="1"/>
    <col min="12312" max="12312" width="9.54296875" customWidth="1"/>
    <col min="12547" max="12547" width="8.90625" customWidth="1"/>
    <col min="12548" max="12548" width="26.54296875" customWidth="1"/>
    <col min="12549" max="12557" width="13.453125" customWidth="1"/>
    <col min="12558" max="12558" width="15.54296875" customWidth="1"/>
    <col min="12559" max="12559" width="12.08984375" customWidth="1"/>
    <col min="12560" max="12560" width="9.54296875" customWidth="1"/>
    <col min="12561" max="12561" width="3.90625" customWidth="1"/>
    <col min="12562" max="12562" width="9.54296875" customWidth="1"/>
    <col min="12563" max="12563" width="3.90625" customWidth="1"/>
    <col min="12564" max="12564" width="9.54296875" customWidth="1"/>
    <col min="12565" max="12565" width="3.90625" customWidth="1"/>
    <col min="12566" max="12566" width="9.54296875" customWidth="1"/>
    <col min="12567" max="12567" width="3.90625" customWidth="1"/>
    <col min="12568" max="12568" width="9.54296875" customWidth="1"/>
    <col min="12803" max="12803" width="8.90625" customWidth="1"/>
    <col min="12804" max="12804" width="26.54296875" customWidth="1"/>
    <col min="12805" max="12813" width="13.453125" customWidth="1"/>
    <col min="12814" max="12814" width="15.54296875" customWidth="1"/>
    <col min="12815" max="12815" width="12.08984375" customWidth="1"/>
    <col min="12816" max="12816" width="9.54296875" customWidth="1"/>
    <col min="12817" max="12817" width="3.90625" customWidth="1"/>
    <col min="12818" max="12818" width="9.54296875" customWidth="1"/>
    <col min="12819" max="12819" width="3.90625" customWidth="1"/>
    <col min="12820" max="12820" width="9.54296875" customWidth="1"/>
    <col min="12821" max="12821" width="3.90625" customWidth="1"/>
    <col min="12822" max="12822" width="9.54296875" customWidth="1"/>
    <col min="12823" max="12823" width="3.90625" customWidth="1"/>
    <col min="12824" max="12824" width="9.54296875" customWidth="1"/>
    <col min="13059" max="13059" width="8.90625" customWidth="1"/>
    <col min="13060" max="13060" width="26.54296875" customWidth="1"/>
    <col min="13061" max="13069" width="13.453125" customWidth="1"/>
    <col min="13070" max="13070" width="15.54296875" customWidth="1"/>
    <col min="13071" max="13071" width="12.08984375" customWidth="1"/>
    <col min="13072" max="13072" width="9.54296875" customWidth="1"/>
    <col min="13073" max="13073" width="3.90625" customWidth="1"/>
    <col min="13074" max="13074" width="9.54296875" customWidth="1"/>
    <col min="13075" max="13075" width="3.90625" customWidth="1"/>
    <col min="13076" max="13076" width="9.54296875" customWidth="1"/>
    <col min="13077" max="13077" width="3.90625" customWidth="1"/>
    <col min="13078" max="13078" width="9.54296875" customWidth="1"/>
    <col min="13079" max="13079" width="3.90625" customWidth="1"/>
    <col min="13080" max="13080" width="9.54296875" customWidth="1"/>
    <col min="13315" max="13315" width="8.90625" customWidth="1"/>
    <col min="13316" max="13316" width="26.54296875" customWidth="1"/>
    <col min="13317" max="13325" width="13.453125" customWidth="1"/>
    <col min="13326" max="13326" width="15.54296875" customWidth="1"/>
    <col min="13327" max="13327" width="12.08984375" customWidth="1"/>
    <col min="13328" max="13328" width="9.54296875" customWidth="1"/>
    <col min="13329" max="13329" width="3.90625" customWidth="1"/>
    <col min="13330" max="13330" width="9.54296875" customWidth="1"/>
    <col min="13331" max="13331" width="3.90625" customWidth="1"/>
    <col min="13332" max="13332" width="9.54296875" customWidth="1"/>
    <col min="13333" max="13333" width="3.90625" customWidth="1"/>
    <col min="13334" max="13334" width="9.54296875" customWidth="1"/>
    <col min="13335" max="13335" width="3.90625" customWidth="1"/>
    <col min="13336" max="13336" width="9.54296875" customWidth="1"/>
    <col min="13571" max="13571" width="8.90625" customWidth="1"/>
    <col min="13572" max="13572" width="26.54296875" customWidth="1"/>
    <col min="13573" max="13581" width="13.453125" customWidth="1"/>
    <col min="13582" max="13582" width="15.54296875" customWidth="1"/>
    <col min="13583" max="13583" width="12.08984375" customWidth="1"/>
    <col min="13584" max="13584" width="9.54296875" customWidth="1"/>
    <col min="13585" max="13585" width="3.90625" customWidth="1"/>
    <col min="13586" max="13586" width="9.54296875" customWidth="1"/>
    <col min="13587" max="13587" width="3.90625" customWidth="1"/>
    <col min="13588" max="13588" width="9.54296875" customWidth="1"/>
    <col min="13589" max="13589" width="3.90625" customWidth="1"/>
    <col min="13590" max="13590" width="9.54296875" customWidth="1"/>
    <col min="13591" max="13591" width="3.90625" customWidth="1"/>
    <col min="13592" max="13592" width="9.54296875" customWidth="1"/>
    <col min="13827" max="13827" width="8.90625" customWidth="1"/>
    <col min="13828" max="13828" width="26.54296875" customWidth="1"/>
    <col min="13829" max="13837" width="13.453125" customWidth="1"/>
    <col min="13838" max="13838" width="15.54296875" customWidth="1"/>
    <col min="13839" max="13839" width="12.08984375" customWidth="1"/>
    <col min="13840" max="13840" width="9.54296875" customWidth="1"/>
    <col min="13841" max="13841" width="3.90625" customWidth="1"/>
    <col min="13842" max="13842" width="9.54296875" customWidth="1"/>
    <col min="13843" max="13843" width="3.90625" customWidth="1"/>
    <col min="13844" max="13844" width="9.54296875" customWidth="1"/>
    <col min="13845" max="13845" width="3.90625" customWidth="1"/>
    <col min="13846" max="13846" width="9.54296875" customWidth="1"/>
    <col min="13847" max="13847" width="3.90625" customWidth="1"/>
    <col min="13848" max="13848" width="9.54296875" customWidth="1"/>
    <col min="14083" max="14083" width="8.90625" customWidth="1"/>
    <col min="14084" max="14084" width="26.54296875" customWidth="1"/>
    <col min="14085" max="14093" width="13.453125" customWidth="1"/>
    <col min="14094" max="14094" width="15.54296875" customWidth="1"/>
    <col min="14095" max="14095" width="12.08984375" customWidth="1"/>
    <col min="14096" max="14096" width="9.54296875" customWidth="1"/>
    <col min="14097" max="14097" width="3.90625" customWidth="1"/>
    <col min="14098" max="14098" width="9.54296875" customWidth="1"/>
    <col min="14099" max="14099" width="3.90625" customWidth="1"/>
    <col min="14100" max="14100" width="9.54296875" customWidth="1"/>
    <col min="14101" max="14101" width="3.90625" customWidth="1"/>
    <col min="14102" max="14102" width="9.54296875" customWidth="1"/>
    <col min="14103" max="14103" width="3.90625" customWidth="1"/>
    <col min="14104" max="14104" width="9.54296875" customWidth="1"/>
    <col min="14339" max="14339" width="8.90625" customWidth="1"/>
    <col min="14340" max="14340" width="26.54296875" customWidth="1"/>
    <col min="14341" max="14349" width="13.453125" customWidth="1"/>
    <col min="14350" max="14350" width="15.54296875" customWidth="1"/>
    <col min="14351" max="14351" width="12.08984375" customWidth="1"/>
    <col min="14352" max="14352" width="9.54296875" customWidth="1"/>
    <col min="14353" max="14353" width="3.90625" customWidth="1"/>
    <col min="14354" max="14354" width="9.54296875" customWidth="1"/>
    <col min="14355" max="14355" width="3.90625" customWidth="1"/>
    <col min="14356" max="14356" width="9.54296875" customWidth="1"/>
    <col min="14357" max="14357" width="3.90625" customWidth="1"/>
    <col min="14358" max="14358" width="9.54296875" customWidth="1"/>
    <col min="14359" max="14359" width="3.90625" customWidth="1"/>
    <col min="14360" max="14360" width="9.54296875" customWidth="1"/>
    <col min="14595" max="14595" width="8.90625" customWidth="1"/>
    <col min="14596" max="14596" width="26.54296875" customWidth="1"/>
    <col min="14597" max="14605" width="13.453125" customWidth="1"/>
    <col min="14606" max="14606" width="15.54296875" customWidth="1"/>
    <col min="14607" max="14607" width="12.08984375" customWidth="1"/>
    <col min="14608" max="14608" width="9.54296875" customWidth="1"/>
    <col min="14609" max="14609" width="3.90625" customWidth="1"/>
    <col min="14610" max="14610" width="9.54296875" customWidth="1"/>
    <col min="14611" max="14611" width="3.90625" customWidth="1"/>
    <col min="14612" max="14612" width="9.54296875" customWidth="1"/>
    <col min="14613" max="14613" width="3.90625" customWidth="1"/>
    <col min="14614" max="14614" width="9.54296875" customWidth="1"/>
    <col min="14615" max="14615" width="3.90625" customWidth="1"/>
    <col min="14616" max="14616" width="9.54296875" customWidth="1"/>
    <col min="14851" max="14851" width="8.90625" customWidth="1"/>
    <col min="14852" max="14852" width="26.54296875" customWidth="1"/>
    <col min="14853" max="14861" width="13.453125" customWidth="1"/>
    <col min="14862" max="14862" width="15.54296875" customWidth="1"/>
    <col min="14863" max="14863" width="12.08984375" customWidth="1"/>
    <col min="14864" max="14864" width="9.54296875" customWidth="1"/>
    <col min="14865" max="14865" width="3.90625" customWidth="1"/>
    <col min="14866" max="14866" width="9.54296875" customWidth="1"/>
    <col min="14867" max="14867" width="3.90625" customWidth="1"/>
    <col min="14868" max="14868" width="9.54296875" customWidth="1"/>
    <col min="14869" max="14869" width="3.90625" customWidth="1"/>
    <col min="14870" max="14870" width="9.54296875" customWidth="1"/>
    <col min="14871" max="14871" width="3.90625" customWidth="1"/>
    <col min="14872" max="14872" width="9.54296875" customWidth="1"/>
    <col min="15107" max="15107" width="8.90625" customWidth="1"/>
    <col min="15108" max="15108" width="26.54296875" customWidth="1"/>
    <col min="15109" max="15117" width="13.453125" customWidth="1"/>
    <col min="15118" max="15118" width="15.54296875" customWidth="1"/>
    <col min="15119" max="15119" width="12.08984375" customWidth="1"/>
    <col min="15120" max="15120" width="9.54296875" customWidth="1"/>
    <col min="15121" max="15121" width="3.90625" customWidth="1"/>
    <col min="15122" max="15122" width="9.54296875" customWidth="1"/>
    <col min="15123" max="15123" width="3.90625" customWidth="1"/>
    <col min="15124" max="15124" width="9.54296875" customWidth="1"/>
    <col min="15125" max="15125" width="3.90625" customWidth="1"/>
    <col min="15126" max="15126" width="9.54296875" customWidth="1"/>
    <col min="15127" max="15127" width="3.90625" customWidth="1"/>
    <col min="15128" max="15128" width="9.54296875" customWidth="1"/>
    <col min="15363" max="15363" width="8.90625" customWidth="1"/>
    <col min="15364" max="15364" width="26.54296875" customWidth="1"/>
    <col min="15365" max="15373" width="13.453125" customWidth="1"/>
    <col min="15374" max="15374" width="15.54296875" customWidth="1"/>
    <col min="15375" max="15375" width="12.08984375" customWidth="1"/>
    <col min="15376" max="15376" width="9.54296875" customWidth="1"/>
    <col min="15377" max="15377" width="3.90625" customWidth="1"/>
    <col min="15378" max="15378" width="9.54296875" customWidth="1"/>
    <col min="15379" max="15379" width="3.90625" customWidth="1"/>
    <col min="15380" max="15380" width="9.54296875" customWidth="1"/>
    <col min="15381" max="15381" width="3.90625" customWidth="1"/>
    <col min="15382" max="15382" width="9.54296875" customWidth="1"/>
    <col min="15383" max="15383" width="3.90625" customWidth="1"/>
    <col min="15384" max="15384" width="9.54296875" customWidth="1"/>
    <col min="15619" max="15619" width="8.90625" customWidth="1"/>
    <col min="15620" max="15620" width="26.54296875" customWidth="1"/>
    <col min="15621" max="15629" width="13.453125" customWidth="1"/>
    <col min="15630" max="15630" width="15.54296875" customWidth="1"/>
    <col min="15631" max="15631" width="12.08984375" customWidth="1"/>
    <col min="15632" max="15632" width="9.54296875" customWidth="1"/>
    <col min="15633" max="15633" width="3.90625" customWidth="1"/>
    <col min="15634" max="15634" width="9.54296875" customWidth="1"/>
    <col min="15635" max="15635" width="3.90625" customWidth="1"/>
    <col min="15636" max="15636" width="9.54296875" customWidth="1"/>
    <col min="15637" max="15637" width="3.90625" customWidth="1"/>
    <col min="15638" max="15638" width="9.54296875" customWidth="1"/>
    <col min="15639" max="15639" width="3.90625" customWidth="1"/>
    <col min="15640" max="15640" width="9.54296875" customWidth="1"/>
    <col min="15875" max="15875" width="8.90625" customWidth="1"/>
    <col min="15876" max="15876" width="26.54296875" customWidth="1"/>
    <col min="15877" max="15885" width="13.453125" customWidth="1"/>
    <col min="15886" max="15886" width="15.54296875" customWidth="1"/>
    <col min="15887" max="15887" width="12.08984375" customWidth="1"/>
    <col min="15888" max="15888" width="9.54296875" customWidth="1"/>
    <col min="15889" max="15889" width="3.90625" customWidth="1"/>
    <col min="15890" max="15890" width="9.54296875" customWidth="1"/>
    <col min="15891" max="15891" width="3.90625" customWidth="1"/>
    <col min="15892" max="15892" width="9.54296875" customWidth="1"/>
    <col min="15893" max="15893" width="3.90625" customWidth="1"/>
    <col min="15894" max="15894" width="9.54296875" customWidth="1"/>
    <col min="15895" max="15895" width="3.90625" customWidth="1"/>
    <col min="15896" max="15896" width="9.54296875" customWidth="1"/>
    <col min="16131" max="16131" width="8.90625" customWidth="1"/>
    <col min="16132" max="16132" width="26.54296875" customWidth="1"/>
    <col min="16133" max="16141" width="13.453125" customWidth="1"/>
    <col min="16142" max="16142" width="15.54296875" customWidth="1"/>
    <col min="16143" max="16143" width="12.08984375" customWidth="1"/>
    <col min="16144" max="16144" width="9.54296875" customWidth="1"/>
    <col min="16145" max="16145" width="3.90625" customWidth="1"/>
    <col min="16146" max="16146" width="9.54296875" customWidth="1"/>
    <col min="16147" max="16147" width="3.90625" customWidth="1"/>
    <col min="16148" max="16148" width="9.54296875" customWidth="1"/>
    <col min="16149" max="16149" width="3.90625" customWidth="1"/>
    <col min="16150" max="16150" width="9.54296875" customWidth="1"/>
    <col min="16151" max="16151" width="3.90625" customWidth="1"/>
    <col min="16152" max="16152" width="9.54296875" customWidth="1"/>
  </cols>
  <sheetData>
    <row r="1" spans="2:29" ht="13" thickBot="1">
      <c r="B1" s="105"/>
      <c r="C1" s="106"/>
      <c r="D1" s="106"/>
      <c r="E1" s="106"/>
      <c r="F1" s="106"/>
      <c r="H1" s="106"/>
      <c r="I1" s="106"/>
      <c r="J1" s="106"/>
      <c r="K1" s="106"/>
      <c r="L1" s="106"/>
      <c r="R1" s="106"/>
      <c r="S1" s="153"/>
      <c r="T1" s="153"/>
      <c r="U1" s="153"/>
      <c r="V1" s="153"/>
      <c r="W1" s="153"/>
      <c r="X1" s="153"/>
      <c r="Y1" s="153"/>
      <c r="Z1" s="153"/>
    </row>
    <row r="2" spans="2:29" s="108" customFormat="1" ht="63" customHeight="1" thickTop="1" thickBot="1">
      <c r="B2" s="277" t="s">
        <v>1750</v>
      </c>
      <c r="C2" s="277"/>
      <c r="D2" s="151" t="s">
        <v>131</v>
      </c>
      <c r="E2" s="151" t="s">
        <v>81</v>
      </c>
      <c r="F2" s="151" t="s">
        <v>1751</v>
      </c>
      <c r="G2" s="158" t="s">
        <v>1752</v>
      </c>
      <c r="H2" s="151" t="s">
        <v>1753</v>
      </c>
      <c r="I2" s="151" t="s">
        <v>101</v>
      </c>
      <c r="J2" s="151" t="s">
        <v>1754</v>
      </c>
      <c r="K2" s="151" t="s">
        <v>1509</v>
      </c>
      <c r="L2" s="151" t="s">
        <v>69</v>
      </c>
      <c r="M2" s="107" t="s">
        <v>1755</v>
      </c>
      <c r="O2" s="128" t="s">
        <v>1756</v>
      </c>
      <c r="Q2" s="278" t="s">
        <v>1757</v>
      </c>
      <c r="R2" s="278"/>
      <c r="S2" s="152" t="s">
        <v>131</v>
      </c>
      <c r="T2" s="152" t="s">
        <v>81</v>
      </c>
      <c r="U2" s="152" t="s">
        <v>1751</v>
      </c>
      <c r="V2" s="155" t="s">
        <v>1752</v>
      </c>
      <c r="W2" s="152" t="s">
        <v>1753</v>
      </c>
      <c r="X2" s="152" t="s">
        <v>101</v>
      </c>
      <c r="Y2" s="152" t="s">
        <v>1754</v>
      </c>
      <c r="Z2" s="152" t="s">
        <v>1509</v>
      </c>
      <c r="AA2" s="152" t="s">
        <v>69</v>
      </c>
      <c r="AC2" s="128" t="s">
        <v>1756</v>
      </c>
    </row>
    <row r="3" spans="2:29" ht="88.5" customHeight="1" thickTop="1" thickBot="1">
      <c r="B3" s="279" t="s">
        <v>88</v>
      </c>
      <c r="C3" s="109" t="s">
        <v>1758</v>
      </c>
      <c r="D3" s="150">
        <v>17.953150000000001</v>
      </c>
      <c r="E3" s="150">
        <v>0.77800000000000002</v>
      </c>
      <c r="F3" s="150">
        <v>22.25</v>
      </c>
      <c r="G3" s="150">
        <v>2.9</v>
      </c>
      <c r="H3" s="150">
        <v>4.5</v>
      </c>
      <c r="I3" s="150">
        <v>0.7</v>
      </c>
      <c r="J3" s="150">
        <v>5.4459999999999997</v>
      </c>
      <c r="K3" s="150"/>
      <c r="L3" s="150">
        <v>0.46800000000000003</v>
      </c>
      <c r="M3" s="157">
        <f>SUM(D3:L3)</f>
        <v>54.995150000000002</v>
      </c>
      <c r="N3" s="110"/>
      <c r="O3" s="122" t="s">
        <v>1759</v>
      </c>
      <c r="P3" s="110"/>
      <c r="Q3" s="279" t="s">
        <v>88</v>
      </c>
      <c r="R3" s="119" t="s">
        <v>1758</v>
      </c>
      <c r="S3" s="132">
        <v>17.953150000000001</v>
      </c>
      <c r="T3" s="132">
        <v>0.77800000000000002</v>
      </c>
      <c r="U3" s="132">
        <v>22.25</v>
      </c>
      <c r="V3" s="132">
        <v>2.9</v>
      </c>
      <c r="W3" s="132">
        <v>4.5</v>
      </c>
      <c r="X3" s="132">
        <v>0.7</v>
      </c>
      <c r="Y3" s="132">
        <v>5.4459999999999997</v>
      </c>
      <c r="Z3" s="132"/>
      <c r="AA3" s="154">
        <v>0.46800000000000003</v>
      </c>
      <c r="AC3" s="122" t="s">
        <v>1759</v>
      </c>
    </row>
    <row r="4" spans="2:29" ht="88.5" customHeight="1" thickTop="1" thickBot="1">
      <c r="B4" s="280"/>
      <c r="C4" s="111" t="s">
        <v>1011</v>
      </c>
      <c r="D4" s="150"/>
      <c r="E4" s="156">
        <v>108.32800000000002</v>
      </c>
      <c r="F4" s="150"/>
      <c r="G4" s="150"/>
      <c r="H4" s="150"/>
      <c r="I4" s="150">
        <v>22.5</v>
      </c>
      <c r="J4" s="150"/>
      <c r="K4" s="150"/>
      <c r="L4" s="150"/>
      <c r="M4" s="157">
        <f>SUM(D4:L4)</f>
        <v>130.82800000000003</v>
      </c>
      <c r="N4" s="110"/>
      <c r="O4" s="123" t="s">
        <v>1760</v>
      </c>
      <c r="P4" s="110"/>
      <c r="Q4" s="280"/>
      <c r="R4" s="120" t="s">
        <v>1011</v>
      </c>
      <c r="S4" s="132"/>
      <c r="T4" s="130">
        <v>108.32800000000002</v>
      </c>
      <c r="U4" s="132"/>
      <c r="V4" s="130"/>
      <c r="W4" s="132"/>
      <c r="X4" s="132">
        <v>22.5</v>
      </c>
      <c r="Y4" s="132"/>
      <c r="Z4" s="132"/>
      <c r="AA4" s="121"/>
      <c r="AC4" s="123" t="s">
        <v>1760</v>
      </c>
    </row>
    <row r="5" spans="2:29" ht="88.5" customHeight="1" thickTop="1" thickBot="1">
      <c r="B5" s="281"/>
      <c r="C5" s="109" t="s">
        <v>1761</v>
      </c>
      <c r="D5" s="156">
        <v>140.47821999999999</v>
      </c>
      <c r="E5" s="150">
        <v>20.962</v>
      </c>
      <c r="F5" s="150">
        <v>4.45</v>
      </c>
      <c r="G5" s="150">
        <v>38.97</v>
      </c>
      <c r="H5" s="150">
        <v>27.65</v>
      </c>
      <c r="I5" s="150"/>
      <c r="J5" s="150"/>
      <c r="K5" s="150">
        <v>6.3924062666666703</v>
      </c>
      <c r="L5" s="150"/>
      <c r="M5" s="157">
        <f>SUM(D5:L5)</f>
        <v>238.90262626666666</v>
      </c>
      <c r="N5" s="110"/>
      <c r="O5" s="124" t="s">
        <v>1762</v>
      </c>
      <c r="P5" s="110"/>
      <c r="Q5" s="281"/>
      <c r="R5" s="119" t="s">
        <v>1763</v>
      </c>
      <c r="S5" s="130">
        <v>140.47821999999999</v>
      </c>
      <c r="T5" s="132">
        <v>20.962</v>
      </c>
      <c r="U5" s="132">
        <v>4.45</v>
      </c>
      <c r="V5" s="131">
        <v>38.97</v>
      </c>
      <c r="W5" s="132">
        <v>27.65</v>
      </c>
      <c r="X5" s="132"/>
      <c r="Y5" s="132"/>
      <c r="Z5" s="132">
        <v>6.3924062666666703</v>
      </c>
      <c r="AA5" s="121"/>
      <c r="AC5" s="124" t="s">
        <v>1762</v>
      </c>
    </row>
    <row r="6" spans="2:29" ht="88.5" customHeight="1" thickTop="1" thickBot="1">
      <c r="B6" s="284" t="s">
        <v>1764</v>
      </c>
      <c r="C6" s="284"/>
      <c r="D6" s="150">
        <v>2.2570000000000001</v>
      </c>
      <c r="E6" s="150">
        <v>22.01</v>
      </c>
      <c r="F6" s="150">
        <v>23.931000000000001</v>
      </c>
      <c r="G6" s="150"/>
      <c r="H6" s="150"/>
      <c r="I6" s="150"/>
      <c r="J6" s="150">
        <v>17.000000000000004</v>
      </c>
      <c r="K6" s="150"/>
      <c r="L6" s="150"/>
      <c r="M6" s="157">
        <f>SUM(D6:L6)</f>
        <v>65.198000000000008</v>
      </c>
      <c r="N6" s="126"/>
      <c r="O6" s="125" t="s">
        <v>1765</v>
      </c>
      <c r="P6" s="127"/>
      <c r="Q6" s="282" t="s">
        <v>1764</v>
      </c>
      <c r="R6" s="283"/>
      <c r="S6" s="132">
        <v>2.2570000000000001</v>
      </c>
      <c r="T6" s="132">
        <v>22.01</v>
      </c>
      <c r="U6" s="132">
        <v>23.931000000000001</v>
      </c>
      <c r="V6" s="132"/>
      <c r="W6" s="132"/>
      <c r="X6" s="132"/>
      <c r="Y6" s="132">
        <v>17.000000000000004</v>
      </c>
      <c r="Z6" s="132"/>
      <c r="AA6" s="121"/>
      <c r="AC6" s="125" t="s">
        <v>1765</v>
      </c>
    </row>
    <row r="7" spans="2:29" ht="54" customHeight="1" thickTop="1" thickBot="1">
      <c r="B7" s="275" t="s">
        <v>1755</v>
      </c>
      <c r="C7" s="276"/>
      <c r="D7" s="118">
        <f t="shared" ref="D7:M7" si="0">SUM(D3:D6)</f>
        <v>160.68836999999999</v>
      </c>
      <c r="E7" s="118">
        <f t="shared" si="0"/>
        <v>152.078</v>
      </c>
      <c r="F7" s="118">
        <f>SUM(F3:F6)</f>
        <v>50.631</v>
      </c>
      <c r="G7" s="118">
        <f t="shared" si="0"/>
        <v>41.87</v>
      </c>
      <c r="H7" s="118">
        <f t="shared" si="0"/>
        <v>32.15</v>
      </c>
      <c r="I7" s="118">
        <f t="shared" si="0"/>
        <v>23.2</v>
      </c>
      <c r="J7" s="118">
        <f t="shared" si="0"/>
        <v>22.446000000000005</v>
      </c>
      <c r="K7" s="118">
        <f t="shared" si="0"/>
        <v>6.3924062666666703</v>
      </c>
      <c r="L7" s="118">
        <f t="shared" si="0"/>
        <v>0.46800000000000003</v>
      </c>
      <c r="M7" s="118">
        <f t="shared" si="0"/>
        <v>489.92377626666666</v>
      </c>
      <c r="N7" s="30"/>
      <c r="P7" s="30"/>
      <c r="Q7" s="30"/>
      <c r="R7" s="113"/>
      <c r="S7" s="113"/>
      <c r="T7" s="113"/>
      <c r="U7" s="113"/>
      <c r="V7" s="113"/>
      <c r="W7" s="113"/>
      <c r="X7" s="113"/>
      <c r="Y7" s="113"/>
      <c r="Z7" s="113"/>
      <c r="AA7" s="113"/>
    </row>
    <row r="8" spans="2:29" s="117" customFormat="1" ht="17.399999999999999" customHeight="1" thickTop="1" thickBot="1">
      <c r="B8" s="112"/>
      <c r="C8" s="113"/>
      <c r="D8" s="114"/>
      <c r="E8" s="115"/>
      <c r="F8" s="115"/>
      <c r="G8" s="116"/>
      <c r="H8" s="115"/>
      <c r="I8" s="115"/>
      <c r="J8" s="115"/>
      <c r="K8" s="115"/>
      <c r="L8" s="115"/>
      <c r="M8" s="115"/>
      <c r="N8" s="37"/>
      <c r="P8" s="37"/>
      <c r="Q8" s="37"/>
      <c r="R8" s="113"/>
      <c r="S8" s="114"/>
      <c r="T8" s="115"/>
      <c r="U8" s="115"/>
      <c r="V8" s="115"/>
      <c r="W8" s="115"/>
      <c r="X8" s="115"/>
      <c r="Y8" s="115"/>
      <c r="Z8" s="115"/>
      <c r="AA8" s="116"/>
    </row>
    <row r="9" spans="2:29" ht="85.5" customHeight="1" thickTop="1">
      <c r="C9" s="117"/>
      <c r="D9" s="117"/>
      <c r="E9" s="117"/>
      <c r="F9" s="117"/>
      <c r="G9" s="117"/>
      <c r="H9" s="117"/>
      <c r="I9" s="117"/>
      <c r="J9" s="117"/>
      <c r="K9" s="117"/>
      <c r="L9" s="117"/>
      <c r="M9" s="117"/>
      <c r="N9" s="117"/>
      <c r="O9" s="117"/>
      <c r="P9" s="117"/>
      <c r="Q9" s="117"/>
      <c r="R9" s="117"/>
      <c r="S9" s="117"/>
      <c r="T9" s="117"/>
      <c r="U9" s="117"/>
      <c r="V9" s="117"/>
      <c r="W9" s="117"/>
      <c r="X9" s="117"/>
      <c r="Y9" s="117"/>
      <c r="Z9" s="117"/>
      <c r="AA9" s="117"/>
      <c r="AB9" s="117"/>
      <c r="AC9" s="117"/>
    </row>
  </sheetData>
  <mergeCells count="7">
    <mergeCell ref="B7:C7"/>
    <mergeCell ref="B2:C2"/>
    <mergeCell ref="Q2:R2"/>
    <mergeCell ref="Q3:Q5"/>
    <mergeCell ref="B3:B5"/>
    <mergeCell ref="Q6:R6"/>
    <mergeCell ref="B6:C6"/>
  </mergeCells>
  <conditionalFormatting sqref="D3:L6">
    <cfRule type="containsBlanks" dxfId="29" priority="3">
      <formula>LEN(TRIM(D3))=0</formula>
    </cfRule>
    <cfRule type="dataBar" priority="4">
      <dataBar>
        <cfvo type="min"/>
        <cfvo type="max"/>
        <color rgb="FF638EC6"/>
      </dataBar>
      <extLst>
        <ext xmlns:x14="http://schemas.microsoft.com/office/spreadsheetml/2009/9/main" uri="{B025F937-C7B1-47D3-B67F-A62EFF666E3E}">
          <x14:id>{6BAA089E-3B07-4189-A96A-29E479A9EA94}</x14:id>
        </ext>
      </extLst>
    </cfRule>
  </conditionalFormatting>
  <conditionalFormatting sqref="S3:AA6">
    <cfRule type="containsBlanks" dxfId="28" priority="1">
      <formula>LEN(TRIM(S3))=0</formula>
    </cfRule>
    <cfRule type="dataBar" priority="2">
      <dataBar>
        <cfvo type="min"/>
        <cfvo type="max"/>
        <color rgb="FF638EC6"/>
      </dataBar>
      <extLst>
        <ext xmlns:x14="http://schemas.microsoft.com/office/spreadsheetml/2009/9/main" uri="{B025F937-C7B1-47D3-B67F-A62EFF666E3E}">
          <x14:id>{F850FF99-2CA1-400E-8230-F1D69CD43351}</x14:id>
        </ext>
      </extLst>
    </cfRule>
  </conditionalFormatting>
  <pageMargins left="0.23622047244094491" right="0.23622047244094491" top="0.74803149606299213" bottom="0.74803149606299213" header="0.31496062992125984" footer="0.31496062992125984"/>
  <pageSetup paperSize="9" scale="53" orientation="landscape" r:id="rId1"/>
  <extLst>
    <ext xmlns:x14="http://schemas.microsoft.com/office/spreadsheetml/2009/9/main" uri="{78C0D931-6437-407d-A8EE-F0AAD7539E65}">
      <x14:conditionalFormattings>
        <x14:conditionalFormatting xmlns:xm="http://schemas.microsoft.com/office/excel/2006/main">
          <x14:cfRule type="dataBar" id="{6BAA089E-3B07-4189-A96A-29E479A9EA94}">
            <x14:dataBar minLength="0" maxLength="100" gradient="0">
              <x14:cfvo type="autoMin"/>
              <x14:cfvo type="autoMax"/>
              <x14:negativeFillColor rgb="FFFF0000"/>
              <x14:axisColor rgb="FF000000"/>
            </x14:dataBar>
          </x14:cfRule>
          <xm:sqref>D3:L6</xm:sqref>
        </x14:conditionalFormatting>
        <x14:conditionalFormatting xmlns:xm="http://schemas.microsoft.com/office/excel/2006/main">
          <x14:cfRule type="dataBar" id="{F850FF99-2CA1-400E-8230-F1D69CD43351}">
            <x14:dataBar minLength="0" maxLength="100" gradient="0">
              <x14:cfvo type="autoMin"/>
              <x14:cfvo type="autoMax"/>
              <x14:negativeFillColor rgb="FFFF0000"/>
              <x14:axisColor rgb="FF000000"/>
            </x14:dataBar>
          </x14:cfRule>
          <xm:sqref>S3:AA6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72"/>
  <sheetViews>
    <sheetView topLeftCell="C1" zoomScale="60" zoomScaleNormal="60" workbookViewId="0">
      <selection activeCell="F29" sqref="F29"/>
    </sheetView>
  </sheetViews>
  <sheetFormatPr defaultRowHeight="12.5"/>
  <cols>
    <col min="1" max="1" width="24.08984375" bestFit="1" customWidth="1"/>
    <col min="2" max="2" width="98.453125" bestFit="1" customWidth="1"/>
    <col min="3" max="4" width="20.08984375" customWidth="1"/>
    <col min="5" max="10" width="14" customWidth="1"/>
    <col min="11" max="11" width="16.54296875" customWidth="1"/>
    <col min="12" max="15" width="14" customWidth="1"/>
    <col min="17" max="17" width="22.453125" customWidth="1"/>
    <col min="18" max="18" width="18.54296875" customWidth="1"/>
    <col min="19" max="19" width="20.453125" customWidth="1"/>
    <col min="20" max="20" width="40.453125" customWidth="1"/>
    <col min="21" max="21" width="25.453125" customWidth="1"/>
    <col min="22" max="26" width="6.54296875" customWidth="1"/>
    <col min="27" max="27" width="11.54296875" bestFit="1" customWidth="1"/>
  </cols>
  <sheetData>
    <row r="1" spans="1:36" ht="92">
      <c r="C1" s="84" t="s">
        <v>983</v>
      </c>
      <c r="D1" s="85" t="s">
        <v>1766</v>
      </c>
      <c r="E1" s="100" t="s">
        <v>1009</v>
      </c>
      <c r="F1" s="101" t="s">
        <v>1010</v>
      </c>
      <c r="G1" s="102" t="s">
        <v>1011</v>
      </c>
      <c r="H1" s="103" t="s">
        <v>1012</v>
      </c>
      <c r="I1" s="103" t="s">
        <v>1692</v>
      </c>
      <c r="J1" s="104" t="s">
        <v>1764</v>
      </c>
      <c r="K1" s="96" t="s">
        <v>989</v>
      </c>
      <c r="L1" s="100" t="s">
        <v>1206</v>
      </c>
      <c r="M1" s="102" t="s">
        <v>1011</v>
      </c>
      <c r="N1" s="103" t="s">
        <v>1692</v>
      </c>
      <c r="O1" s="104" t="s">
        <v>1764</v>
      </c>
    </row>
    <row r="2" spans="1:36" ht="13">
      <c r="A2" s="86" t="s">
        <v>1767</v>
      </c>
      <c r="B2" s="86" t="s">
        <v>1011</v>
      </c>
      <c r="C2" s="87" t="s">
        <v>1159</v>
      </c>
      <c r="D2" s="88" t="s">
        <v>81</v>
      </c>
      <c r="E2" s="98"/>
      <c r="F2" s="83"/>
      <c r="G2" s="83"/>
      <c r="H2" s="196" t="s">
        <v>481</v>
      </c>
      <c r="I2" s="83"/>
      <c r="J2" s="83"/>
      <c r="K2" s="83">
        <v>2.9180000000000001</v>
      </c>
      <c r="L2" s="98"/>
      <c r="M2" s="95">
        <f>$K2</f>
        <v>2.9180000000000001</v>
      </c>
      <c r="N2" s="95"/>
      <c r="O2" s="83"/>
    </row>
    <row r="3" spans="1:36" ht="13">
      <c r="A3" s="86" t="s">
        <v>1768</v>
      </c>
      <c r="B3" s="86" t="s">
        <v>1769</v>
      </c>
      <c r="C3" s="87" t="s">
        <v>1177</v>
      </c>
      <c r="D3" s="88" t="s">
        <v>81</v>
      </c>
      <c r="E3" s="98"/>
      <c r="F3" s="83"/>
      <c r="G3" s="83"/>
      <c r="H3" s="95" t="s">
        <v>481</v>
      </c>
      <c r="I3" s="83"/>
      <c r="J3" s="83"/>
      <c r="K3" s="83">
        <v>1.54</v>
      </c>
      <c r="L3" s="98"/>
      <c r="M3" s="83"/>
      <c r="N3" s="95">
        <f>$K3</f>
        <v>1.54</v>
      </c>
      <c r="O3" s="83"/>
    </row>
    <row r="4" spans="1:36" ht="13">
      <c r="A4" s="86" t="s">
        <v>1770</v>
      </c>
      <c r="B4" s="86" t="s">
        <v>1769</v>
      </c>
      <c r="C4" s="87" t="s">
        <v>1189</v>
      </c>
      <c r="D4" s="88" t="s">
        <v>81</v>
      </c>
      <c r="E4" s="98" t="s">
        <v>481</v>
      </c>
      <c r="F4" s="83"/>
      <c r="G4" s="83"/>
      <c r="H4" s="95"/>
      <c r="I4" s="83"/>
      <c r="J4" s="83"/>
      <c r="K4" s="83">
        <v>1.2789999999999999</v>
      </c>
      <c r="L4" s="98"/>
      <c r="M4" s="83"/>
      <c r="N4" s="95">
        <f>$K4</f>
        <v>1.2789999999999999</v>
      </c>
      <c r="O4" s="83"/>
    </row>
    <row r="5" spans="1:36" ht="13">
      <c r="A5" s="86" t="s">
        <v>1771</v>
      </c>
      <c r="B5" s="86" t="s">
        <v>1206</v>
      </c>
      <c r="C5" s="87" t="s">
        <v>1205</v>
      </c>
      <c r="D5" s="88" t="s">
        <v>81</v>
      </c>
      <c r="E5" s="98" t="s">
        <v>481</v>
      </c>
      <c r="F5" s="83"/>
      <c r="G5" s="83"/>
      <c r="H5" s="95"/>
      <c r="I5" s="83"/>
      <c r="J5" s="83"/>
      <c r="K5" s="83">
        <v>0.77800000000000002</v>
      </c>
      <c r="L5" s="98">
        <f>$K5</f>
        <v>0.77800000000000002</v>
      </c>
      <c r="M5" s="83"/>
      <c r="N5" s="95"/>
      <c r="O5" s="83"/>
      <c r="R5" s="99" t="s">
        <v>1772</v>
      </c>
    </row>
    <row r="6" spans="1:36" ht="13">
      <c r="A6" s="86" t="s">
        <v>1773</v>
      </c>
      <c r="B6" s="86" t="s">
        <v>1769</v>
      </c>
      <c r="C6" s="87" t="s">
        <v>1217</v>
      </c>
      <c r="D6" s="88" t="s">
        <v>81</v>
      </c>
      <c r="E6" s="98"/>
      <c r="F6" s="83"/>
      <c r="G6" s="83"/>
      <c r="H6" s="95" t="s">
        <v>481</v>
      </c>
      <c r="I6" s="83"/>
      <c r="J6" s="83"/>
      <c r="K6" s="83">
        <v>2.3130000000000002</v>
      </c>
      <c r="L6" s="98"/>
      <c r="M6" s="83"/>
      <c r="N6" s="95">
        <f>$K6</f>
        <v>2.3130000000000002</v>
      </c>
      <c r="O6" s="83"/>
      <c r="Q6" s="99" t="s">
        <v>1766</v>
      </c>
      <c r="R6" t="s">
        <v>1774</v>
      </c>
      <c r="S6" t="s">
        <v>1775</v>
      </c>
      <c r="T6" t="s">
        <v>1776</v>
      </c>
      <c r="U6" t="s">
        <v>1777</v>
      </c>
      <c r="AB6" t="s">
        <v>131</v>
      </c>
      <c r="AC6" t="s">
        <v>81</v>
      </c>
      <c r="AD6" t="s">
        <v>569</v>
      </c>
      <c r="AE6" t="s">
        <v>1558</v>
      </c>
      <c r="AF6" t="s">
        <v>292</v>
      </c>
      <c r="AG6" t="s">
        <v>101</v>
      </c>
      <c r="AH6" t="s">
        <v>1227</v>
      </c>
      <c r="AI6" t="s">
        <v>1509</v>
      </c>
      <c r="AJ6" t="s">
        <v>69</v>
      </c>
    </row>
    <row r="7" spans="1:36" ht="13">
      <c r="A7" s="86" t="s">
        <v>1710</v>
      </c>
      <c r="B7" s="86" t="s">
        <v>1011</v>
      </c>
      <c r="C7" s="87" t="s">
        <v>1138</v>
      </c>
      <c r="D7" s="88" t="s">
        <v>81</v>
      </c>
      <c r="E7" s="98"/>
      <c r="F7" s="83"/>
      <c r="G7" s="83" t="s">
        <v>481</v>
      </c>
      <c r="H7" s="95"/>
      <c r="I7" s="83"/>
      <c r="J7" s="83"/>
      <c r="K7" s="83">
        <v>105.41000000000001</v>
      </c>
      <c r="L7" s="98"/>
      <c r="M7" s="95">
        <f>$K7</f>
        <v>105.41000000000001</v>
      </c>
      <c r="N7" s="95"/>
      <c r="O7" s="83"/>
      <c r="Q7" t="s">
        <v>131</v>
      </c>
      <c r="R7" s="2">
        <v>17.953150000000001</v>
      </c>
      <c r="S7" s="2"/>
      <c r="T7" s="2">
        <v>140.47821999999999</v>
      </c>
      <c r="U7" s="2">
        <v>0.65700000000000003</v>
      </c>
      <c r="V7" s="2">
        <f>SUM(R7:U7)</f>
        <v>159.08837</v>
      </c>
      <c r="AB7" s="2">
        <v>17.953150000000001</v>
      </c>
      <c r="AC7" s="2">
        <v>0.77800000000000002</v>
      </c>
      <c r="AD7" s="2">
        <v>22.25</v>
      </c>
      <c r="AE7" s="2">
        <v>2.9</v>
      </c>
      <c r="AF7" s="2">
        <v>4.5</v>
      </c>
      <c r="AG7" s="2">
        <v>0.7</v>
      </c>
      <c r="AH7" s="2">
        <v>5.4459999999999997</v>
      </c>
      <c r="AI7" s="2"/>
      <c r="AJ7" s="2">
        <v>0.46800000000000003</v>
      </c>
    </row>
    <row r="8" spans="1:36" ht="13">
      <c r="A8" s="86" t="s">
        <v>1778</v>
      </c>
      <c r="B8" s="86" t="s">
        <v>1769</v>
      </c>
      <c r="C8" s="87" t="s">
        <v>1779</v>
      </c>
      <c r="D8" s="88" t="s">
        <v>81</v>
      </c>
      <c r="E8" s="98"/>
      <c r="F8" s="83"/>
      <c r="G8" s="83"/>
      <c r="H8" s="95" t="s">
        <v>481</v>
      </c>
      <c r="I8" s="83"/>
      <c r="J8" s="83"/>
      <c r="K8" s="83">
        <v>5.5</v>
      </c>
      <c r="L8" s="98"/>
      <c r="M8" s="83"/>
      <c r="N8" s="95">
        <f>$K8</f>
        <v>5.5</v>
      </c>
      <c r="O8" s="83"/>
      <c r="Q8" t="s">
        <v>81</v>
      </c>
      <c r="R8" s="2">
        <v>0.77800000000000002</v>
      </c>
      <c r="S8" s="2">
        <v>108.32800000000002</v>
      </c>
      <c r="T8" s="2">
        <v>20.962</v>
      </c>
      <c r="U8" s="2">
        <v>22.01</v>
      </c>
      <c r="V8" s="2">
        <f t="shared" ref="V8:V15" si="0">SUM(R8:U8)</f>
        <v>152.078</v>
      </c>
      <c r="AB8" s="2"/>
      <c r="AC8" s="2">
        <v>108.32800000000002</v>
      </c>
      <c r="AD8" s="2"/>
      <c r="AE8" s="2"/>
      <c r="AF8" s="2"/>
      <c r="AG8" s="2">
        <v>22.5</v>
      </c>
      <c r="AH8" s="2"/>
      <c r="AI8" s="2"/>
      <c r="AJ8" s="2"/>
    </row>
    <row r="9" spans="1:36" ht="13">
      <c r="A9" s="86" t="s">
        <v>1742</v>
      </c>
      <c r="B9" s="86" t="s">
        <v>1769</v>
      </c>
      <c r="C9" s="87" t="s">
        <v>937</v>
      </c>
      <c r="D9" s="88" t="s">
        <v>81</v>
      </c>
      <c r="E9" s="98"/>
      <c r="F9" s="83"/>
      <c r="G9" s="83"/>
      <c r="H9" s="95" t="s">
        <v>481</v>
      </c>
      <c r="I9" s="83"/>
      <c r="J9" s="83"/>
      <c r="K9" s="83">
        <v>7.83</v>
      </c>
      <c r="L9" s="98"/>
      <c r="M9" s="83"/>
      <c r="N9" s="95">
        <f>$K9</f>
        <v>7.83</v>
      </c>
      <c r="O9" s="83"/>
      <c r="Q9" t="s">
        <v>569</v>
      </c>
      <c r="R9" s="2">
        <v>22.25</v>
      </c>
      <c r="S9" s="2"/>
      <c r="T9" s="2">
        <v>4.45</v>
      </c>
      <c r="U9" s="2">
        <v>23.931000000000001</v>
      </c>
      <c r="V9" s="2">
        <f t="shared" si="0"/>
        <v>50.631</v>
      </c>
      <c r="AB9" s="2">
        <v>140.47821999999999</v>
      </c>
      <c r="AC9" s="2">
        <v>20.962</v>
      </c>
      <c r="AD9" s="2">
        <v>4.45</v>
      </c>
      <c r="AE9" s="2">
        <v>38.97</v>
      </c>
      <c r="AF9" s="2">
        <v>27.65</v>
      </c>
      <c r="AG9" s="2"/>
      <c r="AH9" s="2"/>
      <c r="AI9" s="2">
        <v>6.3924062666666703</v>
      </c>
      <c r="AJ9" s="2"/>
    </row>
    <row r="10" spans="1:36" ht="13">
      <c r="A10" s="86" t="s">
        <v>1709</v>
      </c>
      <c r="B10" s="86" t="s">
        <v>1769</v>
      </c>
      <c r="C10" s="87" t="s">
        <v>877</v>
      </c>
      <c r="D10" s="88" t="s">
        <v>81</v>
      </c>
      <c r="E10" s="98"/>
      <c r="F10" s="83"/>
      <c r="G10" s="83"/>
      <c r="H10" s="95" t="s">
        <v>481</v>
      </c>
      <c r="I10" s="83"/>
      <c r="J10" s="83"/>
      <c r="K10" s="83">
        <v>2.5</v>
      </c>
      <c r="L10" s="98"/>
      <c r="M10" s="83"/>
      <c r="N10" s="95">
        <f>$K10</f>
        <v>2.5</v>
      </c>
      <c r="O10" s="83"/>
      <c r="Q10" t="s">
        <v>1558</v>
      </c>
      <c r="R10" s="2"/>
      <c r="S10" s="2"/>
      <c r="T10" s="2">
        <v>38.97</v>
      </c>
      <c r="U10" s="2">
        <v>2.9</v>
      </c>
      <c r="V10" s="2">
        <f t="shared" si="0"/>
        <v>41.87</v>
      </c>
      <c r="AB10" s="2">
        <v>2.2570000000000001</v>
      </c>
      <c r="AC10" s="2">
        <v>22.01</v>
      </c>
      <c r="AD10" s="2">
        <v>23.931000000000001</v>
      </c>
      <c r="AE10" s="2"/>
      <c r="AF10" s="2"/>
      <c r="AG10" s="2"/>
      <c r="AH10" s="2">
        <v>17.000000000000004</v>
      </c>
      <c r="AI10" s="2"/>
      <c r="AJ10" s="2"/>
    </row>
    <row r="11" spans="1:36" ht="13">
      <c r="A11" s="86" t="s">
        <v>1780</v>
      </c>
      <c r="B11" s="86" t="s">
        <v>1206</v>
      </c>
      <c r="C11" s="87" t="s">
        <v>1251</v>
      </c>
      <c r="D11" s="88" t="s">
        <v>131</v>
      </c>
      <c r="E11" s="98" t="s">
        <v>481</v>
      </c>
      <c r="F11" s="83"/>
      <c r="G11" s="83"/>
      <c r="H11" s="95"/>
      <c r="I11" s="83"/>
      <c r="J11" s="83"/>
      <c r="K11" s="83">
        <v>1.073</v>
      </c>
      <c r="L11" s="98">
        <f t="shared" ref="L11:L16" si="1">$K11</f>
        <v>1.073</v>
      </c>
      <c r="M11" s="83"/>
      <c r="N11" s="95"/>
      <c r="O11" s="83"/>
      <c r="Q11" t="s">
        <v>292</v>
      </c>
      <c r="R11" s="2">
        <v>4.5</v>
      </c>
      <c r="S11" s="2"/>
      <c r="T11" s="2">
        <v>26.65</v>
      </c>
      <c r="U11" s="2"/>
      <c r="V11" s="2">
        <f t="shared" si="0"/>
        <v>31.15</v>
      </c>
    </row>
    <row r="12" spans="1:36" ht="13">
      <c r="A12" s="86" t="s">
        <v>1743</v>
      </c>
      <c r="B12" s="86" t="s">
        <v>1206</v>
      </c>
      <c r="C12" s="87" t="s">
        <v>935</v>
      </c>
      <c r="D12" s="88" t="s">
        <v>131</v>
      </c>
      <c r="E12" s="98"/>
      <c r="F12" s="83" t="s">
        <v>481</v>
      </c>
      <c r="G12" s="83"/>
      <c r="H12" s="95"/>
      <c r="I12" s="83"/>
      <c r="J12" s="83"/>
      <c r="K12" s="83">
        <v>0.94</v>
      </c>
      <c r="L12" s="98">
        <f t="shared" si="1"/>
        <v>0.94</v>
      </c>
      <c r="M12" s="83"/>
      <c r="N12" s="95"/>
      <c r="O12" s="83"/>
      <c r="Q12" t="s">
        <v>101</v>
      </c>
      <c r="R12" s="2">
        <v>0.7</v>
      </c>
      <c r="S12" s="2">
        <v>22.5</v>
      </c>
      <c r="T12" s="2"/>
      <c r="U12" s="2"/>
      <c r="V12" s="2">
        <f t="shared" si="0"/>
        <v>23.2</v>
      </c>
    </row>
    <row r="13" spans="1:36" ht="13">
      <c r="A13" s="86" t="s">
        <v>1735</v>
      </c>
      <c r="B13" s="86" t="s">
        <v>1206</v>
      </c>
      <c r="C13" s="87" t="s">
        <v>130</v>
      </c>
      <c r="D13" s="88" t="s">
        <v>131</v>
      </c>
      <c r="E13" s="98" t="s">
        <v>481</v>
      </c>
      <c r="F13" s="83"/>
      <c r="G13" s="83"/>
      <c r="H13" s="95"/>
      <c r="I13" s="83"/>
      <c r="J13" s="83"/>
      <c r="K13" s="83">
        <v>0.9</v>
      </c>
      <c r="L13" s="98">
        <f t="shared" si="1"/>
        <v>0.9</v>
      </c>
      <c r="M13" s="83"/>
      <c r="N13" s="95"/>
      <c r="O13" s="83"/>
      <c r="Q13" t="s">
        <v>1227</v>
      </c>
      <c r="R13" s="2">
        <v>5.4459999999999997</v>
      </c>
      <c r="S13" s="2"/>
      <c r="T13" s="2"/>
      <c r="U13" s="2">
        <v>17.000000000000004</v>
      </c>
      <c r="V13" s="2">
        <f t="shared" si="0"/>
        <v>22.446000000000005</v>
      </c>
    </row>
    <row r="14" spans="1:36" ht="13">
      <c r="A14" s="86" t="s">
        <v>1781</v>
      </c>
      <c r="B14" s="86" t="s">
        <v>1206</v>
      </c>
      <c r="C14" s="87" t="s">
        <v>401</v>
      </c>
      <c r="D14" s="88" t="s">
        <v>131</v>
      </c>
      <c r="E14" s="98" t="s">
        <v>481</v>
      </c>
      <c r="F14" s="83"/>
      <c r="G14" s="83"/>
      <c r="H14" s="95"/>
      <c r="I14" s="83"/>
      <c r="J14" s="83"/>
      <c r="K14" s="83">
        <v>9.0501500000000004</v>
      </c>
      <c r="L14" s="98">
        <f t="shared" si="1"/>
        <v>9.0501500000000004</v>
      </c>
      <c r="M14" s="83"/>
      <c r="N14" s="95"/>
      <c r="O14" s="83"/>
      <c r="Q14" t="s">
        <v>1509</v>
      </c>
      <c r="R14" s="2"/>
      <c r="S14" s="2"/>
      <c r="T14" s="2">
        <v>6.3924062666666703</v>
      </c>
      <c r="U14" s="2"/>
      <c r="V14" s="2">
        <f t="shared" si="0"/>
        <v>6.3924062666666703</v>
      </c>
    </row>
    <row r="15" spans="1:36" ht="13">
      <c r="A15" s="86" t="s">
        <v>1733</v>
      </c>
      <c r="B15" s="86" t="s">
        <v>1206</v>
      </c>
      <c r="C15" s="87" t="s">
        <v>1328</v>
      </c>
      <c r="D15" s="88" t="s">
        <v>131</v>
      </c>
      <c r="E15" s="98"/>
      <c r="F15" s="83" t="s">
        <v>481</v>
      </c>
      <c r="G15" s="83"/>
      <c r="H15" s="95"/>
      <c r="I15" s="83"/>
      <c r="J15" s="83"/>
      <c r="K15" s="83">
        <v>4.5999999999999996</v>
      </c>
      <c r="L15" s="98">
        <f t="shared" si="1"/>
        <v>4.5999999999999996</v>
      </c>
      <c r="M15" s="83"/>
      <c r="N15" s="95"/>
      <c r="O15" s="83"/>
      <c r="Q15" t="s">
        <v>69</v>
      </c>
      <c r="R15" s="2"/>
      <c r="S15" s="2"/>
      <c r="T15" s="2"/>
      <c r="U15" s="2">
        <v>0.46800000000000003</v>
      </c>
      <c r="V15" s="2">
        <f t="shared" si="0"/>
        <v>0.46800000000000003</v>
      </c>
    </row>
    <row r="16" spans="1:36" ht="13">
      <c r="A16" s="86" t="s">
        <v>1782</v>
      </c>
      <c r="B16" s="86" t="s">
        <v>1206</v>
      </c>
      <c r="C16" s="87" t="s">
        <v>1342</v>
      </c>
      <c r="D16" s="88" t="s">
        <v>131</v>
      </c>
      <c r="E16" s="98" t="s">
        <v>481</v>
      </c>
      <c r="F16" s="83"/>
      <c r="G16" s="83"/>
      <c r="H16" s="95"/>
      <c r="I16" s="83"/>
      <c r="J16" s="83"/>
      <c r="K16" s="83">
        <v>1.1000000000000001</v>
      </c>
      <c r="L16" s="98">
        <f t="shared" si="1"/>
        <v>1.1000000000000001</v>
      </c>
      <c r="M16" s="83"/>
      <c r="N16" s="95"/>
      <c r="O16" s="83"/>
      <c r="Q16" t="s">
        <v>1783</v>
      </c>
      <c r="R16" s="2">
        <v>15.500000000000002</v>
      </c>
      <c r="S16" s="2"/>
      <c r="T16" s="2"/>
      <c r="U16" s="2"/>
    </row>
    <row r="17" spans="1:21" ht="13">
      <c r="A17" s="86" t="s">
        <v>1784</v>
      </c>
      <c r="B17" s="86" t="s">
        <v>1769</v>
      </c>
      <c r="C17" s="87" t="s">
        <v>1356</v>
      </c>
      <c r="D17" s="88" t="s">
        <v>131</v>
      </c>
      <c r="E17" s="98"/>
      <c r="F17" s="83"/>
      <c r="G17" s="83"/>
      <c r="H17" s="95" t="s">
        <v>481</v>
      </c>
      <c r="I17" s="83"/>
      <c r="J17" s="83"/>
      <c r="K17" s="83">
        <v>1</v>
      </c>
      <c r="L17" s="98"/>
      <c r="M17" s="83"/>
      <c r="N17" s="95">
        <f>$K17</f>
        <v>1</v>
      </c>
      <c r="O17" s="83"/>
      <c r="Q17" t="s">
        <v>1785</v>
      </c>
      <c r="R17" s="2">
        <v>67.12715</v>
      </c>
      <c r="S17" s="2">
        <v>130.82800000000003</v>
      </c>
      <c r="T17" s="2">
        <v>237.90262626666666</v>
      </c>
      <c r="U17" s="2">
        <v>66.966000000000008</v>
      </c>
    </row>
    <row r="18" spans="1:21" ht="13">
      <c r="A18" s="86" t="s">
        <v>1786</v>
      </c>
      <c r="B18" s="86" t="s">
        <v>1206</v>
      </c>
      <c r="C18" s="87" t="s">
        <v>1371</v>
      </c>
      <c r="D18" s="88" t="s">
        <v>131</v>
      </c>
      <c r="E18" s="98" t="s">
        <v>481</v>
      </c>
      <c r="F18" s="83"/>
      <c r="G18" s="83"/>
      <c r="H18" s="95"/>
      <c r="I18" s="83"/>
      <c r="J18" s="83"/>
      <c r="K18" s="83">
        <v>0.29000000000000004</v>
      </c>
      <c r="L18" s="98">
        <f>$K18</f>
        <v>0.29000000000000004</v>
      </c>
      <c r="M18" s="83"/>
      <c r="N18" s="83"/>
      <c r="O18" s="83"/>
    </row>
    <row r="19" spans="1:21" ht="13">
      <c r="A19" s="86" t="s">
        <v>1722</v>
      </c>
      <c r="B19" s="86" t="s">
        <v>1769</v>
      </c>
      <c r="C19" s="87" t="s">
        <v>1385</v>
      </c>
      <c r="D19" s="88" t="s">
        <v>131</v>
      </c>
      <c r="E19" s="98"/>
      <c r="F19" s="83"/>
      <c r="G19" s="83"/>
      <c r="H19" s="95"/>
      <c r="I19" s="83" t="s">
        <v>481</v>
      </c>
      <c r="J19" s="83"/>
      <c r="K19" s="83">
        <v>138.21722</v>
      </c>
      <c r="L19" s="98"/>
      <c r="M19" s="83"/>
      <c r="N19" s="95">
        <f>$K19</f>
        <v>138.21722</v>
      </c>
      <c r="O19" s="83"/>
    </row>
    <row r="20" spans="1:21" ht="13">
      <c r="A20" s="86" t="s">
        <v>1787</v>
      </c>
      <c r="B20" s="86" t="s">
        <v>1769</v>
      </c>
      <c r="C20" s="135" t="s">
        <v>1404</v>
      </c>
      <c r="D20" s="88" t="s">
        <v>131</v>
      </c>
      <c r="E20" s="98"/>
      <c r="F20" s="83"/>
      <c r="G20" s="83"/>
      <c r="H20" s="95" t="s">
        <v>481</v>
      </c>
      <c r="I20" s="83"/>
      <c r="J20" s="83"/>
      <c r="K20" s="83">
        <v>1.2610000000000003</v>
      </c>
      <c r="L20" s="98"/>
      <c r="M20" s="83"/>
      <c r="N20" s="95">
        <f>$K20</f>
        <v>1.2610000000000003</v>
      </c>
      <c r="O20" s="83"/>
    </row>
    <row r="21" spans="1:21" ht="13">
      <c r="A21" s="86" t="s">
        <v>1788</v>
      </c>
      <c r="B21" s="86" t="s">
        <v>1206</v>
      </c>
      <c r="C21" s="87" t="s">
        <v>1789</v>
      </c>
      <c r="D21" s="88" t="s">
        <v>101</v>
      </c>
      <c r="E21" s="98" t="s">
        <v>481</v>
      </c>
      <c r="F21" s="83"/>
      <c r="G21" s="83"/>
      <c r="H21" s="95"/>
      <c r="I21" s="83"/>
      <c r="J21" s="83"/>
      <c r="K21" s="83">
        <v>0.7</v>
      </c>
      <c r="L21" s="98">
        <f>$K21</f>
        <v>0.7</v>
      </c>
      <c r="M21" s="83"/>
      <c r="N21" s="95"/>
      <c r="O21" s="83"/>
    </row>
    <row r="22" spans="1:21" ht="13">
      <c r="A22" s="86" t="s">
        <v>1726</v>
      </c>
      <c r="B22" s="86" t="s">
        <v>1011</v>
      </c>
      <c r="C22" s="87" t="s">
        <v>934</v>
      </c>
      <c r="D22" s="88" t="s">
        <v>101</v>
      </c>
      <c r="E22" s="98"/>
      <c r="F22" s="83"/>
      <c r="G22" s="83" t="s">
        <v>481</v>
      </c>
      <c r="H22" s="95"/>
      <c r="I22" s="83"/>
      <c r="J22" s="83"/>
      <c r="K22" s="83">
        <v>22.5</v>
      </c>
      <c r="L22" s="98"/>
      <c r="M22" s="95">
        <f>$K22</f>
        <v>22.5</v>
      </c>
      <c r="N22" s="95"/>
      <c r="O22" s="83"/>
    </row>
    <row r="23" spans="1:21" ht="13">
      <c r="A23" s="86" t="s">
        <v>1705</v>
      </c>
      <c r="B23" s="86" t="s">
        <v>1206</v>
      </c>
      <c r="C23" s="87" t="s">
        <v>1437</v>
      </c>
      <c r="D23" s="88" t="s">
        <v>1227</v>
      </c>
      <c r="E23" s="98" t="s">
        <v>481</v>
      </c>
      <c r="F23" s="83"/>
      <c r="G23" s="83"/>
      <c r="H23" s="95"/>
      <c r="I23" s="83"/>
      <c r="J23" s="83"/>
      <c r="K23" s="83">
        <v>1.2</v>
      </c>
      <c r="L23" s="98">
        <f>$K23</f>
        <v>1.2</v>
      </c>
      <c r="M23" s="83"/>
      <c r="N23" s="95"/>
      <c r="O23" s="83"/>
    </row>
    <row r="24" spans="1:21" ht="13">
      <c r="A24" s="86" t="s">
        <v>1739</v>
      </c>
      <c r="B24" s="86" t="s">
        <v>1206</v>
      </c>
      <c r="C24" s="87" t="s">
        <v>654</v>
      </c>
      <c r="D24" s="88" t="s">
        <v>1227</v>
      </c>
      <c r="E24" s="98" t="s">
        <v>481</v>
      </c>
      <c r="F24" s="83"/>
      <c r="G24" s="83"/>
      <c r="H24" s="95"/>
      <c r="I24" s="83"/>
      <c r="J24" s="83"/>
      <c r="K24" s="83">
        <v>0.9</v>
      </c>
      <c r="L24" s="98">
        <f>$K24</f>
        <v>0.9</v>
      </c>
      <c r="M24" s="83"/>
      <c r="N24" s="95"/>
      <c r="O24" s="83"/>
    </row>
    <row r="25" spans="1:21" ht="13">
      <c r="A25" s="86" t="s">
        <v>1790</v>
      </c>
      <c r="B25" s="86" t="s">
        <v>1206</v>
      </c>
      <c r="C25" s="87" t="s">
        <v>1226</v>
      </c>
      <c r="D25" s="88" t="s">
        <v>1227</v>
      </c>
      <c r="E25" s="98"/>
      <c r="F25" s="83" t="s">
        <v>481</v>
      </c>
      <c r="G25" s="83"/>
      <c r="H25" s="95"/>
      <c r="I25" s="83"/>
      <c r="J25" s="83"/>
      <c r="K25" s="83">
        <v>1.6679999999999999</v>
      </c>
      <c r="L25" s="98">
        <f>$K25</f>
        <v>1.6679999999999999</v>
      </c>
      <c r="M25" s="83"/>
      <c r="N25" s="95"/>
      <c r="O25" s="83"/>
    </row>
    <row r="26" spans="1:21" ht="13">
      <c r="A26" s="86" t="s">
        <v>1721</v>
      </c>
      <c r="B26" s="86" t="s">
        <v>1206</v>
      </c>
      <c r="C26" s="87" t="s">
        <v>735</v>
      </c>
      <c r="D26" s="88" t="s">
        <v>1227</v>
      </c>
      <c r="E26" s="98" t="s">
        <v>481</v>
      </c>
      <c r="F26" s="83"/>
      <c r="G26" s="83"/>
      <c r="H26" s="95"/>
      <c r="I26" s="83"/>
      <c r="J26" s="83"/>
      <c r="K26" s="83">
        <v>1.6779999999999999</v>
      </c>
      <c r="L26" s="98">
        <f>$K26</f>
        <v>1.6779999999999999</v>
      </c>
      <c r="M26" s="83"/>
      <c r="N26" s="95"/>
      <c r="O26" s="83"/>
    </row>
    <row r="27" spans="1:21" ht="13">
      <c r="A27" s="86" t="s">
        <v>1791</v>
      </c>
      <c r="B27" s="86" t="s">
        <v>1206</v>
      </c>
      <c r="C27" s="87" t="s">
        <v>791</v>
      </c>
      <c r="D27" s="88" t="s">
        <v>569</v>
      </c>
      <c r="E27" s="98"/>
      <c r="F27" s="83" t="s">
        <v>481</v>
      </c>
      <c r="G27" s="83"/>
      <c r="H27" s="95"/>
      <c r="I27" s="83"/>
      <c r="J27" s="83"/>
      <c r="K27" s="83">
        <v>22.25</v>
      </c>
      <c r="L27" s="98">
        <f>$K27</f>
        <v>22.25</v>
      </c>
      <c r="M27" s="83"/>
      <c r="N27" s="95"/>
      <c r="O27" s="83"/>
    </row>
    <row r="28" spans="1:21" ht="13">
      <c r="A28" s="86" t="s">
        <v>1701</v>
      </c>
      <c r="B28" s="86" t="s">
        <v>1769</v>
      </c>
      <c r="C28" s="87" t="s">
        <v>1494</v>
      </c>
      <c r="D28" s="88" t="s">
        <v>569</v>
      </c>
      <c r="E28" s="98"/>
      <c r="F28" s="83"/>
      <c r="G28" s="83"/>
      <c r="H28" s="95" t="s">
        <v>481</v>
      </c>
      <c r="I28" s="83"/>
      <c r="J28" s="83"/>
      <c r="K28" s="83">
        <v>4.45</v>
      </c>
      <c r="L28" s="98"/>
      <c r="M28" s="83"/>
      <c r="N28" s="95">
        <f t="shared" ref="N28:N32" si="2">$K28</f>
        <v>4.45</v>
      </c>
      <c r="O28" s="83"/>
    </row>
    <row r="29" spans="1:21" ht="13">
      <c r="A29" s="86" t="s">
        <v>1704</v>
      </c>
      <c r="B29" s="86" t="s">
        <v>1769</v>
      </c>
      <c r="C29" s="87" t="s">
        <v>931</v>
      </c>
      <c r="D29" s="88" t="s">
        <v>1509</v>
      </c>
      <c r="E29" s="98"/>
      <c r="F29" s="83"/>
      <c r="G29" s="83"/>
      <c r="H29" s="95" t="s">
        <v>481</v>
      </c>
      <c r="I29" s="83"/>
      <c r="J29" s="83"/>
      <c r="K29" s="83">
        <v>6.3924062666666703</v>
      </c>
      <c r="L29" s="98"/>
      <c r="M29" s="83"/>
      <c r="N29" s="95">
        <f t="shared" si="2"/>
        <v>6.3924062666666703</v>
      </c>
      <c r="O29" s="83"/>
    </row>
    <row r="30" spans="1:21" ht="13">
      <c r="A30" s="86" t="s">
        <v>1720</v>
      </c>
      <c r="B30" s="86" t="s">
        <v>1769</v>
      </c>
      <c r="C30" s="87" t="s">
        <v>609</v>
      </c>
      <c r="D30" s="88" t="s">
        <v>292</v>
      </c>
      <c r="E30" s="98"/>
      <c r="F30" s="83"/>
      <c r="G30" s="83"/>
      <c r="H30" s="95" t="s">
        <v>481</v>
      </c>
      <c r="I30" s="83"/>
      <c r="J30" s="83"/>
      <c r="K30" s="83">
        <v>4.05</v>
      </c>
      <c r="L30" s="98"/>
      <c r="M30" s="83"/>
      <c r="N30" s="95">
        <f t="shared" si="2"/>
        <v>4.05</v>
      </c>
      <c r="O30" s="83"/>
    </row>
    <row r="31" spans="1:21" ht="13">
      <c r="A31" s="86" t="s">
        <v>1706</v>
      </c>
      <c r="B31" s="86" t="s">
        <v>1769</v>
      </c>
      <c r="C31" s="87" t="s">
        <v>574</v>
      </c>
      <c r="D31" s="88" t="s">
        <v>292</v>
      </c>
      <c r="E31" s="98"/>
      <c r="F31" s="83"/>
      <c r="G31" s="83"/>
      <c r="H31" s="95" t="s">
        <v>481</v>
      </c>
      <c r="I31" s="83"/>
      <c r="J31" s="83"/>
      <c r="K31" s="83">
        <v>15.1</v>
      </c>
      <c r="L31" s="98"/>
      <c r="M31" s="83"/>
      <c r="N31" s="95">
        <f t="shared" si="2"/>
        <v>15.1</v>
      </c>
      <c r="O31" s="83"/>
    </row>
    <row r="32" spans="1:21" ht="13">
      <c r="A32" s="86" t="s">
        <v>1711</v>
      </c>
      <c r="B32" s="86" t="s">
        <v>1769</v>
      </c>
      <c r="C32" s="87" t="s">
        <v>1525</v>
      </c>
      <c r="D32" s="88" t="s">
        <v>292</v>
      </c>
      <c r="E32" s="98"/>
      <c r="F32" s="83"/>
      <c r="G32" s="83"/>
      <c r="H32" s="95"/>
      <c r="I32" s="83" t="s">
        <v>481</v>
      </c>
      <c r="J32" s="83"/>
      <c r="K32" s="83">
        <v>7.5</v>
      </c>
      <c r="L32" s="98"/>
      <c r="M32" s="83"/>
      <c r="N32" s="95">
        <f t="shared" si="2"/>
        <v>7.5</v>
      </c>
      <c r="O32" s="83"/>
    </row>
    <row r="33" spans="1:15" ht="13">
      <c r="A33" s="86" t="s">
        <v>1792</v>
      </c>
      <c r="B33" s="86" t="s">
        <v>1206</v>
      </c>
      <c r="C33" s="87" t="s">
        <v>1793</v>
      </c>
      <c r="D33" s="88" t="s">
        <v>292</v>
      </c>
      <c r="E33" s="98"/>
      <c r="F33" s="83" t="s">
        <v>481</v>
      </c>
      <c r="G33" s="83"/>
      <c r="H33" s="95"/>
      <c r="I33" s="83"/>
      <c r="J33" s="83"/>
      <c r="K33" s="83">
        <v>1</v>
      </c>
      <c r="L33" s="98">
        <f>$K33</f>
        <v>1</v>
      </c>
      <c r="M33" s="83"/>
      <c r="N33" s="95"/>
      <c r="O33" s="83"/>
    </row>
    <row r="34" spans="1:15" ht="13">
      <c r="A34" s="86" t="s">
        <v>1794</v>
      </c>
      <c r="B34" s="86" t="s">
        <v>1206</v>
      </c>
      <c r="C34" s="135" t="s">
        <v>918</v>
      </c>
      <c r="D34" s="88" t="s">
        <v>292</v>
      </c>
      <c r="E34" s="98"/>
      <c r="F34" s="83" t="s">
        <v>481</v>
      </c>
      <c r="G34" s="83"/>
      <c r="H34" s="95"/>
      <c r="I34" s="83"/>
      <c r="J34" s="83"/>
      <c r="K34" s="83">
        <v>3.5000000000000004</v>
      </c>
      <c r="L34" s="98">
        <f>$K34</f>
        <v>3.5000000000000004</v>
      </c>
      <c r="M34" s="83"/>
      <c r="N34" s="95"/>
      <c r="O34" s="83"/>
    </row>
    <row r="35" spans="1:15" ht="13">
      <c r="A35" s="86" t="s">
        <v>1795</v>
      </c>
      <c r="B35" s="86" t="s">
        <v>1769</v>
      </c>
      <c r="C35" s="87" t="s">
        <v>933</v>
      </c>
      <c r="D35" s="88" t="s">
        <v>1558</v>
      </c>
      <c r="E35" s="98"/>
      <c r="F35" s="83"/>
      <c r="G35" s="83"/>
      <c r="H35" s="95"/>
      <c r="I35" s="83" t="s">
        <v>481</v>
      </c>
      <c r="J35" s="83"/>
      <c r="K35" s="83">
        <v>9.3000000000000007</v>
      </c>
      <c r="L35" s="98"/>
      <c r="M35" s="83"/>
      <c r="N35" s="95">
        <f>$K35</f>
        <v>9.3000000000000007</v>
      </c>
      <c r="O35" s="83"/>
    </row>
    <row r="36" spans="1:15" ht="13.5" thickBot="1">
      <c r="A36" s="86" t="s">
        <v>1796</v>
      </c>
      <c r="B36" s="86" t="s">
        <v>1769</v>
      </c>
      <c r="C36" s="145" t="s">
        <v>1557</v>
      </c>
      <c r="D36" s="146" t="s">
        <v>1558</v>
      </c>
      <c r="E36" s="147"/>
      <c r="F36" s="148"/>
      <c r="G36" s="148"/>
      <c r="H36" s="149"/>
      <c r="I36" s="148" t="s">
        <v>481</v>
      </c>
      <c r="J36" s="148"/>
      <c r="K36" s="148">
        <v>29.67</v>
      </c>
      <c r="L36" s="147"/>
      <c r="M36" s="148"/>
      <c r="N36" s="149">
        <f>$K36</f>
        <v>29.67</v>
      </c>
      <c r="O36" s="148"/>
    </row>
    <row r="37" spans="1:15" ht="13">
      <c r="A37" s="159" t="s">
        <v>1797</v>
      </c>
      <c r="B37" s="86" t="s">
        <v>1206</v>
      </c>
      <c r="C37" s="207" t="s">
        <v>1574</v>
      </c>
      <c r="D37" s="136"/>
      <c r="E37" s="208"/>
      <c r="F37" s="209" t="s">
        <v>481</v>
      </c>
      <c r="G37" s="209"/>
      <c r="H37" s="138"/>
      <c r="I37" s="209"/>
      <c r="J37" s="209"/>
      <c r="K37" s="137">
        <v>15.500000000000002</v>
      </c>
      <c r="L37" s="208">
        <v>15.500000000000002</v>
      </c>
      <c r="M37" s="209"/>
      <c r="N37" s="138"/>
      <c r="O37" s="209"/>
    </row>
    <row r="38" spans="1:15" ht="13">
      <c r="A38" s="159" t="s">
        <v>1798</v>
      </c>
      <c r="B38" s="86" t="s">
        <v>1764</v>
      </c>
      <c r="C38" s="139" t="s">
        <v>929</v>
      </c>
      <c r="D38" s="140" t="s">
        <v>1558</v>
      </c>
      <c r="E38" s="141"/>
      <c r="F38" s="142"/>
      <c r="G38" s="142"/>
      <c r="H38" s="143"/>
      <c r="I38" s="142"/>
      <c r="J38" s="142" t="s">
        <v>481</v>
      </c>
      <c r="K38" s="144">
        <v>2.9</v>
      </c>
      <c r="L38" s="141"/>
      <c r="M38" s="142"/>
      <c r="N38" s="142"/>
      <c r="O38" s="142">
        <v>2.9</v>
      </c>
    </row>
    <row r="39" spans="1:15" ht="13">
      <c r="A39" s="86" t="s">
        <v>1799</v>
      </c>
      <c r="B39" s="86" t="s">
        <v>1764</v>
      </c>
      <c r="C39" s="87" t="s">
        <v>554</v>
      </c>
      <c r="D39" s="88" t="s">
        <v>69</v>
      </c>
      <c r="E39" s="83"/>
      <c r="F39" s="83"/>
      <c r="G39" s="83"/>
      <c r="H39" s="95"/>
      <c r="I39" s="83"/>
      <c r="J39" s="83" t="s">
        <v>481</v>
      </c>
      <c r="K39" s="97">
        <v>0.46800000000000003</v>
      </c>
      <c r="L39" s="98"/>
      <c r="M39" s="83"/>
      <c r="N39" s="83"/>
      <c r="O39" s="83">
        <v>0.46800000000000003</v>
      </c>
    </row>
    <row r="40" spans="1:15" ht="13">
      <c r="A40" s="159" t="s">
        <v>1800</v>
      </c>
      <c r="B40" s="86" t="s">
        <v>1764</v>
      </c>
      <c r="C40" s="87" t="s">
        <v>68</v>
      </c>
      <c r="D40" s="88" t="s">
        <v>1227</v>
      </c>
      <c r="E40" s="98"/>
      <c r="F40" s="83"/>
      <c r="G40" s="83"/>
      <c r="H40" s="95"/>
      <c r="I40" s="83"/>
      <c r="J40" s="83" t="s">
        <v>481</v>
      </c>
      <c r="K40" s="97">
        <v>0.67400000000000004</v>
      </c>
      <c r="L40" s="98"/>
      <c r="M40" s="83"/>
      <c r="N40" s="83"/>
      <c r="O40" s="95">
        <f>$K40</f>
        <v>0.67400000000000004</v>
      </c>
    </row>
    <row r="41" spans="1:15" ht="13">
      <c r="A41" s="86" t="s">
        <v>1801</v>
      </c>
      <c r="B41" s="86" t="s">
        <v>1764</v>
      </c>
      <c r="C41" s="87" t="s">
        <v>135</v>
      </c>
      <c r="D41" s="88" t="s">
        <v>81</v>
      </c>
      <c r="E41" s="98"/>
      <c r="F41" s="83"/>
      <c r="G41" s="83"/>
      <c r="H41" s="95"/>
      <c r="I41" s="83"/>
      <c r="J41" s="83" t="s">
        <v>481</v>
      </c>
      <c r="K41" s="97">
        <v>0.28000000000000003</v>
      </c>
      <c r="L41" s="98"/>
      <c r="M41" s="83"/>
      <c r="N41" s="83"/>
      <c r="O41" s="95">
        <f>$K41</f>
        <v>0.28000000000000003</v>
      </c>
    </row>
    <row r="42" spans="1:15" ht="13">
      <c r="A42" s="159" t="s">
        <v>1802</v>
      </c>
      <c r="B42" s="86" t="s">
        <v>1764</v>
      </c>
      <c r="C42" s="87" t="s">
        <v>211</v>
      </c>
      <c r="D42" s="88" t="s">
        <v>1227</v>
      </c>
      <c r="E42" s="98"/>
      <c r="F42" s="83"/>
      <c r="G42" s="83"/>
      <c r="H42" s="95"/>
      <c r="I42" s="83"/>
      <c r="J42" s="83" t="s">
        <v>481</v>
      </c>
      <c r="K42" s="97">
        <v>0.95</v>
      </c>
      <c r="L42" s="98"/>
      <c r="M42" s="83"/>
      <c r="N42" s="83"/>
      <c r="O42" s="95">
        <f>$K42</f>
        <v>0.95</v>
      </c>
    </row>
    <row r="43" spans="1:15" ht="13">
      <c r="A43" s="86" t="s">
        <v>1803</v>
      </c>
      <c r="B43" s="86" t="s">
        <v>1764</v>
      </c>
      <c r="C43" s="87" t="s">
        <v>226</v>
      </c>
      <c r="D43" s="88" t="s">
        <v>81</v>
      </c>
      <c r="E43" s="98"/>
      <c r="F43" s="83"/>
      <c r="G43" s="83"/>
      <c r="H43" s="95"/>
      <c r="I43" s="83"/>
      <c r="J43" s="83" t="s">
        <v>481</v>
      </c>
      <c r="K43" s="97">
        <v>0.34799999999999998</v>
      </c>
      <c r="L43" s="98"/>
      <c r="M43" s="83"/>
      <c r="N43" s="83"/>
      <c r="O43" s="95">
        <f t="shared" ref="O43:O72" si="3">$K43</f>
        <v>0.34799999999999998</v>
      </c>
    </row>
    <row r="44" spans="1:15" ht="13">
      <c r="A44" s="159" t="s">
        <v>1804</v>
      </c>
      <c r="B44" s="86" t="s">
        <v>1764</v>
      </c>
      <c r="C44" s="87" t="s">
        <v>231</v>
      </c>
      <c r="D44" s="88" t="s">
        <v>81</v>
      </c>
      <c r="E44" s="98"/>
      <c r="F44" s="83"/>
      <c r="G44" s="83"/>
      <c r="H44" s="95"/>
      <c r="I44" s="83"/>
      <c r="J44" s="83" t="s">
        <v>481</v>
      </c>
      <c r="K44" s="97">
        <v>0.3</v>
      </c>
      <c r="L44" s="98"/>
      <c r="M44" s="83"/>
      <c r="N44" s="83"/>
      <c r="O44" s="95">
        <f t="shared" si="3"/>
        <v>0.3</v>
      </c>
    </row>
    <row r="45" spans="1:15" ht="13">
      <c r="A45" s="86" t="s">
        <v>1805</v>
      </c>
      <c r="B45" s="86" t="s">
        <v>1764</v>
      </c>
      <c r="C45" s="87" t="s">
        <v>239</v>
      </c>
      <c r="D45" s="88" t="s">
        <v>81</v>
      </c>
      <c r="E45" s="98"/>
      <c r="F45" s="83"/>
      <c r="G45" s="83"/>
      <c r="H45" s="95"/>
      <c r="I45" s="83"/>
      <c r="J45" s="83" t="s">
        <v>481</v>
      </c>
      <c r="K45" s="97">
        <v>3.9809999999999999</v>
      </c>
      <c r="L45" s="98"/>
      <c r="M45" s="83"/>
      <c r="N45" s="83"/>
      <c r="O45" s="95">
        <f t="shared" si="3"/>
        <v>3.9809999999999999</v>
      </c>
    </row>
    <row r="46" spans="1:15" ht="13">
      <c r="A46" s="159" t="s">
        <v>1806</v>
      </c>
      <c r="B46" s="86" t="s">
        <v>1764</v>
      </c>
      <c r="C46" s="87" t="s">
        <v>267</v>
      </c>
      <c r="D46" s="88" t="s">
        <v>81</v>
      </c>
      <c r="E46" s="98"/>
      <c r="F46" s="83"/>
      <c r="G46" s="83"/>
      <c r="H46" s="95"/>
      <c r="I46" s="83"/>
      <c r="J46" s="83" t="s">
        <v>481</v>
      </c>
      <c r="K46" s="97">
        <v>0.16</v>
      </c>
      <c r="L46" s="98"/>
      <c r="M46" s="83"/>
      <c r="N46" s="83"/>
      <c r="O46" s="95">
        <f t="shared" si="3"/>
        <v>0.16</v>
      </c>
    </row>
    <row r="47" spans="1:15" ht="13">
      <c r="A47" s="86" t="s">
        <v>1807</v>
      </c>
      <c r="B47" s="86" t="s">
        <v>1764</v>
      </c>
      <c r="C47" s="87" t="s">
        <v>321</v>
      </c>
      <c r="D47" s="88" t="s">
        <v>81</v>
      </c>
      <c r="E47" s="98"/>
      <c r="F47" s="83"/>
      <c r="G47" s="83"/>
      <c r="H47" s="95"/>
      <c r="I47" s="83"/>
      <c r="J47" s="83" t="s">
        <v>481</v>
      </c>
      <c r="K47" s="97">
        <v>0.33</v>
      </c>
      <c r="L47" s="98"/>
      <c r="M47" s="83"/>
      <c r="N47" s="83"/>
      <c r="O47" s="95">
        <f t="shared" si="3"/>
        <v>0.33</v>
      </c>
    </row>
    <row r="48" spans="1:15" ht="13">
      <c r="A48" s="159" t="s">
        <v>1808</v>
      </c>
      <c r="B48" s="86" t="s">
        <v>1764</v>
      </c>
      <c r="C48" s="87" t="s">
        <v>406</v>
      </c>
      <c r="D48" s="88" t="s">
        <v>1227</v>
      </c>
      <c r="E48" s="98"/>
      <c r="F48" s="83"/>
      <c r="G48" s="83"/>
      <c r="H48" s="95"/>
      <c r="I48" s="83"/>
      <c r="J48" s="83" t="s">
        <v>481</v>
      </c>
      <c r="K48" s="97">
        <v>1.25</v>
      </c>
      <c r="L48" s="98"/>
      <c r="M48" s="83"/>
      <c r="N48" s="83"/>
      <c r="O48" s="95">
        <f t="shared" si="3"/>
        <v>1.25</v>
      </c>
    </row>
    <row r="49" spans="1:15" ht="13">
      <c r="A49" s="86" t="s">
        <v>1809</v>
      </c>
      <c r="B49" s="86" t="s">
        <v>1764</v>
      </c>
      <c r="C49" s="87" t="s">
        <v>425</v>
      </c>
      <c r="D49" s="88" t="s">
        <v>81</v>
      </c>
      <c r="E49" s="98"/>
      <c r="F49" s="83"/>
      <c r="G49" s="83"/>
      <c r="H49" s="95"/>
      <c r="I49" s="83"/>
      <c r="J49" s="83" t="s">
        <v>481</v>
      </c>
      <c r="K49" s="97">
        <v>0.4</v>
      </c>
      <c r="L49" s="98"/>
      <c r="M49" s="83"/>
      <c r="N49" s="83"/>
      <c r="O49" s="95">
        <f t="shared" si="3"/>
        <v>0.4</v>
      </c>
    </row>
    <row r="50" spans="1:15" ht="13">
      <c r="A50" s="159" t="s">
        <v>1810</v>
      </c>
      <c r="B50" s="86" t="s">
        <v>1764</v>
      </c>
      <c r="C50" s="87" t="s">
        <v>459</v>
      </c>
      <c r="D50" s="88" t="s">
        <v>1227</v>
      </c>
      <c r="E50" s="98"/>
      <c r="F50" s="83"/>
      <c r="G50" s="83"/>
      <c r="H50" s="95"/>
      <c r="I50" s="83"/>
      <c r="J50" s="83" t="s">
        <v>481</v>
      </c>
      <c r="K50" s="97">
        <v>0.13600000000000001</v>
      </c>
      <c r="L50" s="98"/>
      <c r="M50" s="83"/>
      <c r="N50" s="83"/>
      <c r="O50" s="95">
        <f t="shared" si="3"/>
        <v>0.13600000000000001</v>
      </c>
    </row>
    <row r="51" spans="1:15" ht="13">
      <c r="A51" s="86" t="s">
        <v>1811</v>
      </c>
      <c r="B51" s="86" t="s">
        <v>1764</v>
      </c>
      <c r="C51" s="87" t="s">
        <v>490</v>
      </c>
      <c r="D51" s="88" t="s">
        <v>1227</v>
      </c>
      <c r="E51" s="98"/>
      <c r="F51" s="83"/>
      <c r="G51" s="83"/>
      <c r="H51" s="95"/>
      <c r="I51" s="83"/>
      <c r="J51" s="83" t="s">
        <v>481</v>
      </c>
      <c r="K51" s="97">
        <v>3.5000000000000003E-2</v>
      </c>
      <c r="L51" s="98"/>
      <c r="M51" s="83"/>
      <c r="N51" s="83"/>
      <c r="O51" s="95">
        <f t="shared" si="3"/>
        <v>3.5000000000000003E-2</v>
      </c>
    </row>
    <row r="52" spans="1:15" ht="13">
      <c r="A52" s="159" t="s">
        <v>1812</v>
      </c>
      <c r="B52" s="86" t="s">
        <v>1764</v>
      </c>
      <c r="C52" s="87" t="s">
        <v>546</v>
      </c>
      <c r="D52" s="88" t="s">
        <v>81</v>
      </c>
      <c r="E52" s="98"/>
      <c r="F52" s="83"/>
      <c r="G52" s="83"/>
      <c r="H52" s="95"/>
      <c r="I52" s="83"/>
      <c r="J52" s="83" t="s">
        <v>481</v>
      </c>
      <c r="K52" s="97">
        <v>6.5890000000000004</v>
      </c>
      <c r="L52" s="98"/>
      <c r="M52" s="83"/>
      <c r="N52" s="83"/>
      <c r="O52" s="95">
        <f t="shared" si="3"/>
        <v>6.5890000000000004</v>
      </c>
    </row>
    <row r="53" spans="1:15" ht="13">
      <c r="A53" s="86" t="s">
        <v>1813</v>
      </c>
      <c r="B53" s="86" t="s">
        <v>1764</v>
      </c>
      <c r="C53" s="87" t="s">
        <v>578</v>
      </c>
      <c r="D53" s="88" t="s">
        <v>81</v>
      </c>
      <c r="E53" s="98"/>
      <c r="F53" s="83"/>
      <c r="G53" s="83"/>
      <c r="H53" s="95"/>
      <c r="I53" s="83"/>
      <c r="J53" s="83" t="s">
        <v>481</v>
      </c>
      <c r="K53" s="97">
        <v>0.107</v>
      </c>
      <c r="L53" s="98"/>
      <c r="M53" s="83"/>
      <c r="N53" s="83"/>
      <c r="O53" s="95">
        <f t="shared" si="3"/>
        <v>0.107</v>
      </c>
    </row>
    <row r="54" spans="1:15" ht="13">
      <c r="A54" s="159" t="s">
        <v>1814</v>
      </c>
      <c r="B54" s="86" t="s">
        <v>1764</v>
      </c>
      <c r="C54" s="87" t="s">
        <v>583</v>
      </c>
      <c r="D54" s="88" t="s">
        <v>81</v>
      </c>
      <c r="E54" s="98"/>
      <c r="F54" s="83"/>
      <c r="G54" s="83"/>
      <c r="H54" s="95"/>
      <c r="I54" s="83"/>
      <c r="J54" s="83" t="s">
        <v>481</v>
      </c>
      <c r="K54" s="97">
        <v>1</v>
      </c>
      <c r="L54" s="98"/>
      <c r="M54" s="83"/>
      <c r="N54" s="83"/>
      <c r="O54" s="95">
        <f t="shared" si="3"/>
        <v>1</v>
      </c>
    </row>
    <row r="55" spans="1:15" ht="13">
      <c r="A55" s="86" t="s">
        <v>1815</v>
      </c>
      <c r="B55" s="86" t="s">
        <v>1764</v>
      </c>
      <c r="C55" s="87" t="s">
        <v>622</v>
      </c>
      <c r="D55" s="88" t="s">
        <v>1227</v>
      </c>
      <c r="E55" s="98"/>
      <c r="F55" s="83"/>
      <c r="G55" s="83"/>
      <c r="H55" s="95"/>
      <c r="I55" s="83"/>
      <c r="J55" s="83" t="s">
        <v>481</v>
      </c>
      <c r="K55" s="97">
        <v>0.58099999999999996</v>
      </c>
      <c r="L55" s="98"/>
      <c r="M55" s="83"/>
      <c r="N55" s="83"/>
      <c r="O55" s="95">
        <f t="shared" si="3"/>
        <v>0.58099999999999996</v>
      </c>
    </row>
    <row r="56" spans="1:15" ht="13">
      <c r="A56" s="159" t="s">
        <v>1816</v>
      </c>
      <c r="B56" s="86" t="s">
        <v>1764</v>
      </c>
      <c r="C56" s="87" t="s">
        <v>636</v>
      </c>
      <c r="D56" s="88" t="s">
        <v>1227</v>
      </c>
      <c r="E56" s="98"/>
      <c r="F56" s="83"/>
      <c r="G56" s="83"/>
      <c r="H56" s="95"/>
      <c r="I56" s="83"/>
      <c r="J56" s="83" t="s">
        <v>481</v>
      </c>
      <c r="K56" s="97">
        <v>12.8</v>
      </c>
      <c r="L56" s="98"/>
      <c r="M56" s="83"/>
      <c r="N56" s="83"/>
      <c r="O56" s="95">
        <f t="shared" si="3"/>
        <v>12.8</v>
      </c>
    </row>
    <row r="57" spans="1:15" ht="13">
      <c r="A57" s="86" t="s">
        <v>1817</v>
      </c>
      <c r="B57" s="86" t="s">
        <v>1764</v>
      </c>
      <c r="C57" s="87" t="s">
        <v>1818</v>
      </c>
      <c r="D57" s="88" t="s">
        <v>569</v>
      </c>
      <c r="E57" s="98"/>
      <c r="F57" s="83"/>
      <c r="G57" s="83"/>
      <c r="H57" s="95"/>
      <c r="I57" s="83"/>
      <c r="J57" s="83" t="s">
        <v>481</v>
      </c>
      <c r="K57" s="97">
        <v>0.124</v>
      </c>
      <c r="L57" s="98"/>
      <c r="M57" s="83"/>
      <c r="N57" s="83"/>
      <c r="O57" s="95">
        <f t="shared" si="3"/>
        <v>0.124</v>
      </c>
    </row>
    <row r="58" spans="1:15" ht="13">
      <c r="A58" s="159" t="s">
        <v>1819</v>
      </c>
      <c r="B58" s="86" t="s">
        <v>1764</v>
      </c>
      <c r="C58" s="87" t="s">
        <v>672</v>
      </c>
      <c r="D58" s="88" t="s">
        <v>569</v>
      </c>
      <c r="E58" s="98"/>
      <c r="F58" s="83"/>
      <c r="G58" s="83"/>
      <c r="H58" s="95"/>
      <c r="I58" s="83"/>
      <c r="J58" s="83" t="s">
        <v>481</v>
      </c>
      <c r="K58" s="97">
        <v>1.1579999999999999</v>
      </c>
      <c r="L58" s="98"/>
      <c r="M58" s="83"/>
      <c r="N58" s="83"/>
      <c r="O58" s="95">
        <f t="shared" si="3"/>
        <v>1.1579999999999999</v>
      </c>
    </row>
    <row r="59" spans="1:15" ht="13">
      <c r="A59" s="86" t="s">
        <v>1820</v>
      </c>
      <c r="B59" s="86" t="s">
        <v>1764</v>
      </c>
      <c r="C59" s="87" t="s">
        <v>682</v>
      </c>
      <c r="D59" s="88" t="s">
        <v>569</v>
      </c>
      <c r="E59" s="98"/>
      <c r="F59" s="83"/>
      <c r="G59" s="83"/>
      <c r="H59" s="95"/>
      <c r="I59" s="83"/>
      <c r="J59" s="83" t="s">
        <v>481</v>
      </c>
      <c r="K59" s="97">
        <v>3.4769999999999999</v>
      </c>
      <c r="L59" s="98"/>
      <c r="M59" s="83"/>
      <c r="N59" s="83"/>
      <c r="O59" s="95">
        <f t="shared" si="3"/>
        <v>3.4769999999999999</v>
      </c>
    </row>
    <row r="60" spans="1:15" ht="13">
      <c r="A60" s="159" t="s">
        <v>1821</v>
      </c>
      <c r="B60" s="86" t="s">
        <v>1764</v>
      </c>
      <c r="C60" s="87" t="s">
        <v>694</v>
      </c>
      <c r="D60" s="88" t="s">
        <v>569</v>
      </c>
      <c r="E60" s="98"/>
      <c r="F60" s="83"/>
      <c r="G60" s="83"/>
      <c r="H60" s="95"/>
      <c r="I60" s="83"/>
      <c r="J60" s="83" t="s">
        <v>481</v>
      </c>
      <c r="K60" s="97">
        <v>0.14000000000000001</v>
      </c>
      <c r="L60" s="98"/>
      <c r="M60" s="83"/>
      <c r="N60" s="83"/>
      <c r="O60" s="95">
        <f t="shared" si="3"/>
        <v>0.14000000000000001</v>
      </c>
    </row>
    <row r="61" spans="1:15" ht="13">
      <c r="A61" s="86" t="s">
        <v>1822</v>
      </c>
      <c r="B61" s="86" t="s">
        <v>1764</v>
      </c>
      <c r="C61" s="87" t="s">
        <v>703</v>
      </c>
      <c r="D61" s="88" t="s">
        <v>569</v>
      </c>
      <c r="E61" s="98"/>
      <c r="F61" s="83"/>
      <c r="G61" s="83"/>
      <c r="H61" s="95"/>
      <c r="I61" s="83"/>
      <c r="J61" s="83" t="s">
        <v>481</v>
      </c>
      <c r="K61" s="97">
        <v>0.10199999999999999</v>
      </c>
      <c r="L61" s="98"/>
      <c r="M61" s="83"/>
      <c r="N61" s="83"/>
      <c r="O61" s="95">
        <f t="shared" si="3"/>
        <v>0.10199999999999999</v>
      </c>
    </row>
    <row r="62" spans="1:15" ht="13">
      <c r="A62" s="159" t="s">
        <v>1823</v>
      </c>
      <c r="B62" s="86" t="s">
        <v>1764</v>
      </c>
      <c r="C62" s="87" t="s">
        <v>709</v>
      </c>
      <c r="D62" s="88" t="s">
        <v>569</v>
      </c>
      <c r="E62" s="98"/>
      <c r="F62" s="83"/>
      <c r="G62" s="83"/>
      <c r="H62" s="95"/>
      <c r="I62" s="83"/>
      <c r="J62" s="83" t="s">
        <v>481</v>
      </c>
      <c r="K62" s="97">
        <v>8.3000000000000004E-2</v>
      </c>
      <c r="L62" s="98"/>
      <c r="M62" s="83"/>
      <c r="N62" s="83"/>
      <c r="O62" s="95">
        <f t="shared" si="3"/>
        <v>8.3000000000000004E-2</v>
      </c>
    </row>
    <row r="63" spans="1:15" ht="13">
      <c r="A63" s="86" t="s">
        <v>1824</v>
      </c>
      <c r="B63" s="86" t="s">
        <v>1764</v>
      </c>
      <c r="C63" s="87" t="s">
        <v>716</v>
      </c>
      <c r="D63" s="88" t="s">
        <v>569</v>
      </c>
      <c r="E63" s="98"/>
      <c r="F63" s="83"/>
      <c r="G63" s="83"/>
      <c r="H63" s="95"/>
      <c r="I63" s="83"/>
      <c r="J63" s="83" t="s">
        <v>481</v>
      </c>
      <c r="K63" s="97">
        <v>0.29599999999999999</v>
      </c>
      <c r="L63" s="98"/>
      <c r="M63" s="83"/>
      <c r="N63" s="83"/>
      <c r="O63" s="95">
        <f t="shared" si="3"/>
        <v>0.29599999999999999</v>
      </c>
    </row>
    <row r="64" spans="1:15" ht="13">
      <c r="A64" s="159" t="s">
        <v>1741</v>
      </c>
      <c r="B64" s="86" t="s">
        <v>1764</v>
      </c>
      <c r="C64" s="87" t="s">
        <v>718</v>
      </c>
      <c r="D64" s="88" t="s">
        <v>569</v>
      </c>
      <c r="E64" s="98"/>
      <c r="F64" s="83"/>
      <c r="G64" s="83"/>
      <c r="H64" s="95"/>
      <c r="I64" s="83"/>
      <c r="J64" s="83" t="s">
        <v>481</v>
      </c>
      <c r="K64" s="97">
        <v>17.449000000000002</v>
      </c>
      <c r="L64" s="98"/>
      <c r="M64" s="83"/>
      <c r="N64" s="83"/>
      <c r="O64" s="95">
        <f t="shared" si="3"/>
        <v>17.449000000000002</v>
      </c>
    </row>
    <row r="65" spans="1:15" ht="13">
      <c r="A65" s="86" t="s">
        <v>1825</v>
      </c>
      <c r="B65" s="86" t="s">
        <v>1764</v>
      </c>
      <c r="C65" s="87" t="s">
        <v>762</v>
      </c>
      <c r="D65" s="88" t="s">
        <v>81</v>
      </c>
      <c r="E65" s="98"/>
      <c r="F65" s="83"/>
      <c r="G65" s="83"/>
      <c r="H65" s="95"/>
      <c r="I65" s="83"/>
      <c r="J65" s="83" t="s">
        <v>481</v>
      </c>
      <c r="K65" s="97">
        <v>0.65</v>
      </c>
      <c r="L65" s="98"/>
      <c r="M65" s="83"/>
      <c r="N65" s="83"/>
      <c r="O65" s="95">
        <f t="shared" si="3"/>
        <v>0.65</v>
      </c>
    </row>
    <row r="66" spans="1:15" ht="13">
      <c r="A66" s="159" t="s">
        <v>1826</v>
      </c>
      <c r="B66" s="86" t="s">
        <v>1764</v>
      </c>
      <c r="C66" s="87" t="s">
        <v>770</v>
      </c>
      <c r="D66" s="88" t="s">
        <v>81</v>
      </c>
      <c r="E66" s="98"/>
      <c r="F66" s="83"/>
      <c r="G66" s="83"/>
      <c r="H66" s="95"/>
      <c r="I66" s="83"/>
      <c r="J66" s="83" t="s">
        <v>481</v>
      </c>
      <c r="K66" s="97">
        <v>1.194</v>
      </c>
      <c r="L66" s="98"/>
      <c r="M66" s="83"/>
      <c r="N66" s="83"/>
      <c r="O66" s="95">
        <f t="shared" si="3"/>
        <v>1.194</v>
      </c>
    </row>
    <row r="67" spans="1:15" ht="13">
      <c r="A67" s="86" t="s">
        <v>1827</v>
      </c>
      <c r="B67" s="86" t="s">
        <v>1764</v>
      </c>
      <c r="C67" s="87" t="s">
        <v>778</v>
      </c>
      <c r="D67" s="88" t="s">
        <v>569</v>
      </c>
      <c r="E67" s="98"/>
      <c r="F67" s="83"/>
      <c r="G67" s="83"/>
      <c r="H67" s="95"/>
      <c r="I67" s="83"/>
      <c r="J67" s="83" t="s">
        <v>481</v>
      </c>
      <c r="K67" s="97">
        <v>1.1020000000000001</v>
      </c>
      <c r="L67" s="98"/>
      <c r="M67" s="83"/>
      <c r="N67" s="83"/>
      <c r="O67" s="95">
        <f t="shared" si="3"/>
        <v>1.1020000000000001</v>
      </c>
    </row>
    <row r="68" spans="1:15" ht="13">
      <c r="A68" s="159" t="s">
        <v>1727</v>
      </c>
      <c r="B68" s="86" t="s">
        <v>1764</v>
      </c>
      <c r="C68" s="87" t="s">
        <v>794</v>
      </c>
      <c r="D68" s="88" t="s">
        <v>81</v>
      </c>
      <c r="E68" s="98"/>
      <c r="F68" s="83"/>
      <c r="G68" s="83"/>
      <c r="H68" s="95"/>
      <c r="I68" s="83"/>
      <c r="J68" s="83" t="s">
        <v>481</v>
      </c>
      <c r="K68" s="97">
        <v>2.6709999999999998</v>
      </c>
      <c r="L68" s="98"/>
      <c r="M68" s="83"/>
      <c r="N68" s="83"/>
      <c r="O68" s="95">
        <f t="shared" si="3"/>
        <v>2.6709999999999998</v>
      </c>
    </row>
    <row r="69" spans="1:15" ht="13">
      <c r="A69" s="86" t="s">
        <v>1828</v>
      </c>
      <c r="B69" s="86" t="s">
        <v>1764</v>
      </c>
      <c r="C69" s="87" t="s">
        <v>796</v>
      </c>
      <c r="D69" s="88" t="s">
        <v>81</v>
      </c>
      <c r="E69" s="98"/>
      <c r="F69" s="83"/>
      <c r="G69" s="83"/>
      <c r="H69" s="95"/>
      <c r="I69" s="83"/>
      <c r="J69" s="83" t="s">
        <v>481</v>
      </c>
      <c r="K69" s="97">
        <v>4</v>
      </c>
      <c r="L69" s="98"/>
      <c r="M69" s="83"/>
      <c r="N69" s="83"/>
      <c r="O69" s="95">
        <f t="shared" si="3"/>
        <v>4</v>
      </c>
    </row>
    <row r="70" spans="1:15" ht="13">
      <c r="A70" s="86" t="s">
        <v>1829</v>
      </c>
      <c r="B70" s="86" t="s">
        <v>1764</v>
      </c>
      <c r="C70" s="87" t="s">
        <v>859</v>
      </c>
      <c r="D70" s="88" t="s">
        <v>131</v>
      </c>
      <c r="E70" s="98"/>
      <c r="F70" s="83"/>
      <c r="G70" s="83"/>
      <c r="H70" s="95"/>
      <c r="I70" s="83"/>
      <c r="J70" s="83" t="s">
        <v>481</v>
      </c>
      <c r="K70" s="97">
        <v>0.25700000000000001</v>
      </c>
      <c r="L70" s="98"/>
      <c r="M70" s="83"/>
      <c r="N70" s="83"/>
      <c r="O70" s="95">
        <f t="shared" si="3"/>
        <v>0.25700000000000001</v>
      </c>
    </row>
    <row r="71" spans="1:15" ht="13">
      <c r="A71" s="159" t="s">
        <v>1830</v>
      </c>
      <c r="B71" s="86" t="s">
        <v>1764</v>
      </c>
      <c r="C71" s="135" t="s">
        <v>1831</v>
      </c>
      <c r="D71" s="136" t="s">
        <v>131</v>
      </c>
      <c r="E71" s="98"/>
      <c r="F71" s="83"/>
      <c r="G71" s="83"/>
      <c r="H71" s="95"/>
      <c r="I71" s="83"/>
      <c r="J71" s="83" t="s">
        <v>481</v>
      </c>
      <c r="K71" s="137">
        <v>0.4</v>
      </c>
      <c r="L71" s="98"/>
      <c r="M71" s="83"/>
      <c r="N71" s="83"/>
      <c r="O71" s="138">
        <f t="shared" si="3"/>
        <v>0.4</v>
      </c>
    </row>
    <row r="72" spans="1:15" ht="13">
      <c r="A72" s="86" t="s">
        <v>1832</v>
      </c>
      <c r="B72" s="86" t="s">
        <v>1764</v>
      </c>
      <c r="C72" s="135" t="s">
        <v>874</v>
      </c>
      <c r="D72" s="136" t="s">
        <v>1227</v>
      </c>
      <c r="E72" s="98"/>
      <c r="F72" s="83"/>
      <c r="G72" s="83"/>
      <c r="H72" s="95"/>
      <c r="I72" s="83"/>
      <c r="J72" s="83" t="s">
        <v>481</v>
      </c>
      <c r="K72" s="137">
        <v>0.57399999999999995</v>
      </c>
      <c r="L72" s="98"/>
      <c r="M72" s="83"/>
      <c r="N72" s="83"/>
      <c r="O72" s="138">
        <f t="shared" si="3"/>
        <v>0.57399999999999995</v>
      </c>
    </row>
  </sheetData>
  <conditionalFormatting sqref="E2:J38 K39 E39:I39 D56:K70 C57:C70">
    <cfRule type="expression" dxfId="27" priority="147">
      <formula>IFERROR(C2="NA",TRUE)</formula>
    </cfRule>
  </conditionalFormatting>
  <conditionalFormatting sqref="D38">
    <cfRule type="expression" dxfId="26" priority="119">
      <formula>IFERROR(D38="NA",TRUE)</formula>
    </cfRule>
  </conditionalFormatting>
  <conditionalFormatting sqref="K38">
    <cfRule type="expression" dxfId="25" priority="120">
      <formula>IFERROR(K38="NA",TRUE)</formula>
    </cfRule>
  </conditionalFormatting>
  <conditionalFormatting sqref="E31:J31">
    <cfRule type="colorScale" priority="182">
      <colorScale>
        <cfvo type="min"/>
        <cfvo type="percentile" val="50"/>
        <cfvo type="max"/>
        <color rgb="FFF8696B"/>
        <color rgb="FFFCFCFF"/>
        <color rgb="FF63BE7B"/>
      </colorScale>
    </cfRule>
  </conditionalFormatting>
  <conditionalFormatting sqref="E31:J31">
    <cfRule type="dataBar" priority="183">
      <dataBar>
        <cfvo type="min"/>
        <cfvo type="max"/>
        <color rgb="FF638EC6"/>
      </dataBar>
      <extLst>
        <ext xmlns:x14="http://schemas.microsoft.com/office/spreadsheetml/2009/9/main" uri="{B025F937-C7B1-47D3-B67F-A62EFF666E3E}">
          <x14:id>{DFAD9227-585B-498B-9AC2-B4253E34D294}</x14:id>
        </ext>
      </extLst>
    </cfRule>
  </conditionalFormatting>
  <conditionalFormatting sqref="E2:J30">
    <cfRule type="colorScale" priority="184">
      <colorScale>
        <cfvo type="min"/>
        <cfvo type="percentile" val="50"/>
        <cfvo type="max"/>
        <color rgb="FFF8696B"/>
        <color rgb="FFFCFCFF"/>
        <color rgb="FF63BE7B"/>
      </colorScale>
    </cfRule>
  </conditionalFormatting>
  <conditionalFormatting sqref="E2:J30">
    <cfRule type="dataBar" priority="185">
      <dataBar>
        <cfvo type="min"/>
        <cfvo type="max"/>
        <color rgb="FF638EC6"/>
      </dataBar>
      <extLst>
        <ext xmlns:x14="http://schemas.microsoft.com/office/spreadsheetml/2009/9/main" uri="{B025F937-C7B1-47D3-B67F-A62EFF666E3E}">
          <x14:id>{6FB5A27B-BAF1-4ED6-A76D-FBD4E31F04CC}</x14:id>
        </ext>
      </extLst>
    </cfRule>
  </conditionalFormatting>
  <conditionalFormatting sqref="E36:J38">
    <cfRule type="colorScale" priority="188">
      <colorScale>
        <cfvo type="min"/>
        <cfvo type="percentile" val="50"/>
        <cfvo type="max"/>
        <color rgb="FFF8696B"/>
        <color rgb="FFFCFCFF"/>
        <color rgb="FF63BE7B"/>
      </colorScale>
    </cfRule>
  </conditionalFormatting>
  <conditionalFormatting sqref="E36:J38">
    <cfRule type="dataBar" priority="189">
      <dataBar>
        <cfvo type="min"/>
        <cfvo type="max"/>
        <color rgb="FF638EC6"/>
      </dataBar>
      <extLst>
        <ext xmlns:x14="http://schemas.microsoft.com/office/spreadsheetml/2009/9/main" uri="{B025F937-C7B1-47D3-B67F-A62EFF666E3E}">
          <x14:id>{85EA2D02-D9B1-400D-9871-6CF4D2CEF35F}</x14:id>
        </ext>
      </extLst>
    </cfRule>
  </conditionalFormatting>
  <conditionalFormatting sqref="E40:K54 E72:K72">
    <cfRule type="expression" dxfId="24" priority="115">
      <formula>IFERROR(E40="NA",TRUE)</formula>
    </cfRule>
  </conditionalFormatting>
  <conditionalFormatting sqref="C40:C55 C72">
    <cfRule type="expression" dxfId="23" priority="116">
      <formula>IFERROR(C40="NA",TRUE)</formula>
    </cfRule>
  </conditionalFormatting>
  <conditionalFormatting sqref="D39:D54 D72">
    <cfRule type="expression" dxfId="22" priority="114">
      <formula>IFERROR(D39="NA",TRUE)</formula>
    </cfRule>
  </conditionalFormatting>
  <conditionalFormatting sqref="E72:J72 E40:J54 E56:J70 E39:I39">
    <cfRule type="colorScale" priority="117">
      <colorScale>
        <cfvo type="min"/>
        <cfvo type="percentile" val="50"/>
        <cfvo type="max"/>
        <color rgb="FFF8696B"/>
        <color rgb="FFFCFCFF"/>
        <color rgb="FF63BE7B"/>
      </colorScale>
    </cfRule>
  </conditionalFormatting>
  <conditionalFormatting sqref="E72:J72 E40:J54 E56:J70 E39:I39">
    <cfRule type="dataBar" priority="118">
      <dataBar>
        <cfvo type="min"/>
        <cfvo type="max"/>
        <color rgb="FF638EC6"/>
      </dataBar>
      <extLst>
        <ext xmlns:x14="http://schemas.microsoft.com/office/spreadsheetml/2009/9/main" uri="{B025F937-C7B1-47D3-B67F-A62EFF666E3E}">
          <x14:id>{0AB0A601-B131-4B7F-94BC-1C3D6EF8AD4E}</x14:id>
        </ext>
      </extLst>
    </cfRule>
  </conditionalFormatting>
  <conditionalFormatting sqref="L72:O72 L56:O70 O18 L2:O9 M10:O10 L19:O21 M22:O22 L11:O17 L23:O54 L2:L70">
    <cfRule type="dataBar" priority="192">
      <dataBar>
        <cfvo type="min"/>
        <cfvo type="max"/>
        <color rgb="FF638EC6"/>
      </dataBar>
      <extLst>
        <ext xmlns:x14="http://schemas.microsoft.com/office/spreadsheetml/2009/9/main" uri="{B025F937-C7B1-47D3-B67F-A62EFF666E3E}">
          <x14:id>{AD205D25-AE57-434E-87E3-2809652D86FC}</x14:id>
        </ext>
      </extLst>
    </cfRule>
  </conditionalFormatting>
  <conditionalFormatting sqref="M18">
    <cfRule type="dataBar" priority="68">
      <dataBar>
        <cfvo type="min"/>
        <cfvo type="max"/>
        <color rgb="FF638EC6"/>
      </dataBar>
      <extLst>
        <ext xmlns:x14="http://schemas.microsoft.com/office/spreadsheetml/2009/9/main" uri="{B025F937-C7B1-47D3-B67F-A62EFF666E3E}">
          <x14:id>{C5C78BA1-5E11-44BC-AE01-34EFD1C02999}</x14:id>
        </ext>
      </extLst>
    </cfRule>
  </conditionalFormatting>
  <conditionalFormatting sqref="E55:K55">
    <cfRule type="expression" dxfId="21" priority="53">
      <formula>IFERROR(E55="NA",TRUE)</formula>
    </cfRule>
  </conditionalFormatting>
  <conditionalFormatting sqref="C38:C42">
    <cfRule type="expression" dxfId="20" priority="58">
      <formula>IFERROR(C38="NA",TRUE)</formula>
    </cfRule>
  </conditionalFormatting>
  <conditionalFormatting sqref="C56">
    <cfRule type="expression" dxfId="19" priority="54">
      <formula>IFERROR(C56="NA",TRUE)</formula>
    </cfRule>
  </conditionalFormatting>
  <conditionalFormatting sqref="D55">
    <cfRule type="expression" dxfId="18" priority="52">
      <formula>IFERROR(D55="NA",TRUE)</formula>
    </cfRule>
  </conditionalFormatting>
  <conditionalFormatting sqref="E55:J55">
    <cfRule type="colorScale" priority="55">
      <colorScale>
        <cfvo type="min"/>
        <cfvo type="percentile" val="50"/>
        <cfvo type="max"/>
        <color rgb="FFF8696B"/>
        <color rgb="FFFCFCFF"/>
        <color rgb="FF63BE7B"/>
      </colorScale>
    </cfRule>
  </conditionalFormatting>
  <conditionalFormatting sqref="E55:J55">
    <cfRule type="dataBar" priority="56">
      <dataBar>
        <cfvo type="min"/>
        <cfvo type="max"/>
        <color rgb="FF638EC6"/>
      </dataBar>
      <extLst>
        <ext xmlns:x14="http://schemas.microsoft.com/office/spreadsheetml/2009/9/main" uri="{B025F937-C7B1-47D3-B67F-A62EFF666E3E}">
          <x14:id>{FB47725C-3AF3-4C0D-84D2-27A472C3C410}</x14:id>
        </ext>
      </extLst>
    </cfRule>
  </conditionalFormatting>
  <conditionalFormatting sqref="L55:O55">
    <cfRule type="dataBar" priority="57">
      <dataBar>
        <cfvo type="min"/>
        <cfvo type="max"/>
        <color rgb="FF638EC6"/>
      </dataBar>
      <extLst>
        <ext xmlns:x14="http://schemas.microsoft.com/office/spreadsheetml/2009/9/main" uri="{B025F937-C7B1-47D3-B67F-A62EFF666E3E}">
          <x14:id>{CD44E650-3979-402F-AF60-B1FBFA9773A1}</x14:id>
        </ext>
      </extLst>
    </cfRule>
  </conditionalFormatting>
  <conditionalFormatting sqref="C25">
    <cfRule type="expression" dxfId="17" priority="41">
      <formula>IFERROR(C25="NA",TRUE)</formula>
    </cfRule>
  </conditionalFormatting>
  <conditionalFormatting sqref="C26:C33 C2:C24 C36:C37">
    <cfRule type="expression" dxfId="16" priority="42">
      <formula>IFERROR(C2="NA",TRUE)</formula>
    </cfRule>
  </conditionalFormatting>
  <conditionalFormatting sqref="C34">
    <cfRule type="expression" dxfId="15" priority="40">
      <formula>IFERROR(C34="NA",TRUE)</formula>
    </cfRule>
  </conditionalFormatting>
  <conditionalFormatting sqref="C35">
    <cfRule type="expression" dxfId="14" priority="39">
      <formula>IFERROR(C35="NA",TRUE)</formula>
    </cfRule>
  </conditionalFormatting>
  <conditionalFormatting sqref="K26:K33 K2:K24 K36:K37">
    <cfRule type="expression" dxfId="13" priority="34">
      <formula>IFERROR(K2="NA",TRUE)</formula>
    </cfRule>
  </conditionalFormatting>
  <conditionalFormatting sqref="K25">
    <cfRule type="expression" dxfId="12" priority="33">
      <formula>IFERROR(K25="NA",TRUE)</formula>
    </cfRule>
  </conditionalFormatting>
  <conditionalFormatting sqref="K34">
    <cfRule type="expression" dxfId="11" priority="32">
      <formula>IFERROR(K34="NA",TRUE)</formula>
    </cfRule>
  </conditionalFormatting>
  <conditionalFormatting sqref="K35">
    <cfRule type="expression" dxfId="10" priority="31">
      <formula>IFERROR(K35="NA",TRUE)</formula>
    </cfRule>
  </conditionalFormatting>
  <conditionalFormatting sqref="L10">
    <cfRule type="dataBar" priority="30">
      <dataBar>
        <cfvo type="min"/>
        <cfvo type="max"/>
        <color rgb="FF638EC6"/>
      </dataBar>
      <extLst>
        <ext xmlns:x14="http://schemas.microsoft.com/office/spreadsheetml/2009/9/main" uri="{B025F937-C7B1-47D3-B67F-A62EFF666E3E}">
          <x14:id>{1353B573-4B73-4271-8394-CE17E813AC45}</x14:id>
        </ext>
      </extLst>
    </cfRule>
  </conditionalFormatting>
  <conditionalFormatting sqref="N18">
    <cfRule type="dataBar" priority="29">
      <dataBar>
        <cfvo type="min"/>
        <cfvo type="max"/>
        <color rgb="FF638EC6"/>
      </dataBar>
      <extLst>
        <ext xmlns:x14="http://schemas.microsoft.com/office/spreadsheetml/2009/9/main" uri="{B025F937-C7B1-47D3-B67F-A62EFF666E3E}">
          <x14:id>{243F0A98-26AF-431A-B14D-AA22AC2D8E4A}</x14:id>
        </ext>
      </extLst>
    </cfRule>
  </conditionalFormatting>
  <conditionalFormatting sqref="L22">
    <cfRule type="dataBar" priority="28">
      <dataBar>
        <cfvo type="min"/>
        <cfvo type="max"/>
        <color rgb="FF638EC6"/>
      </dataBar>
      <extLst>
        <ext xmlns:x14="http://schemas.microsoft.com/office/spreadsheetml/2009/9/main" uri="{B025F937-C7B1-47D3-B67F-A62EFF666E3E}">
          <x14:id>{EB50E40A-84FD-47C6-8214-B517645FD472}</x14:id>
        </ext>
      </extLst>
    </cfRule>
  </conditionalFormatting>
  <conditionalFormatting sqref="D26:D33 D2:D24 D36:D37">
    <cfRule type="expression" dxfId="9" priority="27">
      <formula>IFERROR(D2="NA",TRUE)</formula>
    </cfRule>
  </conditionalFormatting>
  <conditionalFormatting sqref="D25">
    <cfRule type="expression" dxfId="8" priority="26">
      <formula>IFERROR(D25="NA",TRUE)</formula>
    </cfRule>
  </conditionalFormatting>
  <conditionalFormatting sqref="D34">
    <cfRule type="expression" dxfId="7" priority="25">
      <formula>IFERROR(D34="NA",TRUE)</formula>
    </cfRule>
  </conditionalFormatting>
  <conditionalFormatting sqref="D35">
    <cfRule type="expression" dxfId="6" priority="24">
      <formula>IFERROR(D35="NA",TRUE)</formula>
    </cfRule>
  </conditionalFormatting>
  <conditionalFormatting sqref="E32:J35">
    <cfRule type="colorScale" priority="291">
      <colorScale>
        <cfvo type="min"/>
        <cfvo type="percentile" val="50"/>
        <cfvo type="max"/>
        <color rgb="FFF8696B"/>
        <color rgb="FFFCFCFF"/>
        <color rgb="FF63BE7B"/>
      </colorScale>
    </cfRule>
  </conditionalFormatting>
  <conditionalFormatting sqref="E32:J35">
    <cfRule type="dataBar" priority="292">
      <dataBar>
        <cfvo type="min"/>
        <cfvo type="max"/>
        <color rgb="FF638EC6"/>
      </dataBar>
      <extLst>
        <ext xmlns:x14="http://schemas.microsoft.com/office/spreadsheetml/2009/9/main" uri="{B025F937-C7B1-47D3-B67F-A62EFF666E3E}">
          <x14:id>{04FA8DC6-71CF-4858-BE12-19E76EB29BA6}</x14:id>
        </ext>
      </extLst>
    </cfRule>
  </conditionalFormatting>
  <conditionalFormatting sqref="J39">
    <cfRule type="expression" dxfId="5" priority="21">
      <formula>IFERROR(J39="NA",TRUE)</formula>
    </cfRule>
  </conditionalFormatting>
  <conditionalFormatting sqref="J39">
    <cfRule type="colorScale" priority="22">
      <colorScale>
        <cfvo type="min"/>
        <cfvo type="percentile" val="50"/>
        <cfvo type="max"/>
        <color rgb="FFF8696B"/>
        <color rgb="FFFCFCFF"/>
        <color rgb="FF63BE7B"/>
      </colorScale>
    </cfRule>
  </conditionalFormatting>
  <conditionalFormatting sqref="J39">
    <cfRule type="dataBar" priority="23">
      <dataBar>
        <cfvo type="min"/>
        <cfvo type="max"/>
        <color rgb="FF638EC6"/>
      </dataBar>
      <extLst>
        <ext xmlns:x14="http://schemas.microsoft.com/office/spreadsheetml/2009/9/main" uri="{B025F937-C7B1-47D3-B67F-A62EFF666E3E}">
          <x14:id>{B6FFBCBC-2A68-4158-A95B-53EC8ADC77B3}</x14:id>
        </ext>
      </extLst>
    </cfRule>
  </conditionalFormatting>
  <conditionalFormatting sqref="E71:K71">
    <cfRule type="expression" dxfId="4" priority="16">
      <formula>IFERROR(E71="NA",TRUE)</formula>
    </cfRule>
  </conditionalFormatting>
  <conditionalFormatting sqref="C71">
    <cfRule type="expression" dxfId="3" priority="17">
      <formula>IFERROR(C71="NA",TRUE)</formula>
    </cfRule>
  </conditionalFormatting>
  <conditionalFormatting sqref="D71">
    <cfRule type="expression" dxfId="2" priority="15">
      <formula>IFERROR(D71="NA",TRUE)</formula>
    </cfRule>
  </conditionalFormatting>
  <conditionalFormatting sqref="E71:J71">
    <cfRule type="colorScale" priority="18">
      <colorScale>
        <cfvo type="min"/>
        <cfvo type="percentile" val="50"/>
        <cfvo type="max"/>
        <color rgb="FFF8696B"/>
        <color rgb="FFFCFCFF"/>
        <color rgb="FF63BE7B"/>
      </colorScale>
    </cfRule>
  </conditionalFormatting>
  <conditionalFormatting sqref="E71:J71">
    <cfRule type="dataBar" priority="19">
      <dataBar>
        <cfvo type="min"/>
        <cfvo type="max"/>
        <color rgb="FF638EC6"/>
      </dataBar>
      <extLst>
        <ext xmlns:x14="http://schemas.microsoft.com/office/spreadsheetml/2009/9/main" uri="{B025F937-C7B1-47D3-B67F-A62EFF666E3E}">
          <x14:id>{3636E1DF-4D88-4F0A-A144-F2306899241E}</x14:id>
        </ext>
      </extLst>
    </cfRule>
  </conditionalFormatting>
  <conditionalFormatting sqref="L71:O71">
    <cfRule type="dataBar" priority="20">
      <dataBar>
        <cfvo type="min"/>
        <cfvo type="max"/>
        <color rgb="FF638EC6"/>
      </dataBar>
      <extLst>
        <ext xmlns:x14="http://schemas.microsoft.com/office/spreadsheetml/2009/9/main" uri="{B025F937-C7B1-47D3-B67F-A62EFF666E3E}">
          <x14:id>{6857AD50-85AA-4DC6-99F5-A2446F4179DD}</x14:id>
        </ext>
      </extLst>
    </cfRule>
  </conditionalFormatting>
  <conditionalFormatting sqref="L2:O72">
    <cfRule type="dataBar" priority="318">
      <dataBar>
        <cfvo type="min"/>
        <cfvo type="max"/>
        <color rgb="FF638EC6"/>
      </dataBar>
      <extLst>
        <ext xmlns:x14="http://schemas.microsoft.com/office/spreadsheetml/2009/9/main" uri="{B025F937-C7B1-47D3-B67F-A62EFF666E3E}">
          <x14:id>{AEA8EDAD-14A5-49ED-B406-DDB87EC84AA3}</x14:id>
        </ext>
      </extLst>
    </cfRule>
  </conditionalFormatting>
  <dataValidations count="1">
    <dataValidation type="list" allowBlank="1" showInputMessage="1" showErrorMessage="1" sqref="B2:B72">
      <formula1>$L$1:$O$1</formula1>
    </dataValidation>
  </dataValidation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dataBar" id="{DFAD9227-585B-498B-9AC2-B4253E34D294}">
            <x14:dataBar minLength="0" maxLength="100" gradient="0">
              <x14:cfvo type="autoMin"/>
              <x14:cfvo type="autoMax"/>
              <x14:negativeFillColor rgb="FFFF0000"/>
              <x14:axisColor rgb="FF000000"/>
            </x14:dataBar>
          </x14:cfRule>
          <xm:sqref>E31:J31</xm:sqref>
        </x14:conditionalFormatting>
        <x14:conditionalFormatting xmlns:xm="http://schemas.microsoft.com/office/excel/2006/main">
          <x14:cfRule type="dataBar" id="{6FB5A27B-BAF1-4ED6-A76D-FBD4E31F04CC}">
            <x14:dataBar minLength="0" maxLength="100" gradient="0">
              <x14:cfvo type="autoMin"/>
              <x14:cfvo type="autoMax"/>
              <x14:negativeFillColor rgb="FFFF0000"/>
              <x14:axisColor rgb="FF000000"/>
            </x14:dataBar>
          </x14:cfRule>
          <xm:sqref>E2:J30</xm:sqref>
        </x14:conditionalFormatting>
        <x14:conditionalFormatting xmlns:xm="http://schemas.microsoft.com/office/excel/2006/main">
          <x14:cfRule type="dataBar" id="{85EA2D02-D9B1-400D-9871-6CF4D2CEF35F}">
            <x14:dataBar minLength="0" maxLength="100" gradient="0">
              <x14:cfvo type="autoMin"/>
              <x14:cfvo type="autoMax"/>
              <x14:negativeFillColor rgb="FFFF0000"/>
              <x14:axisColor rgb="FF000000"/>
            </x14:dataBar>
          </x14:cfRule>
          <xm:sqref>E36:J38</xm:sqref>
        </x14:conditionalFormatting>
        <x14:conditionalFormatting xmlns:xm="http://schemas.microsoft.com/office/excel/2006/main">
          <x14:cfRule type="dataBar" id="{0AB0A601-B131-4B7F-94BC-1C3D6EF8AD4E}">
            <x14:dataBar minLength="0" maxLength="100" gradient="0">
              <x14:cfvo type="autoMin"/>
              <x14:cfvo type="autoMax"/>
              <x14:negativeFillColor rgb="FFFF0000"/>
              <x14:axisColor rgb="FF000000"/>
            </x14:dataBar>
          </x14:cfRule>
          <xm:sqref>E72:J72 E40:J54 E56:J70 E39:I39</xm:sqref>
        </x14:conditionalFormatting>
        <x14:conditionalFormatting xmlns:xm="http://schemas.microsoft.com/office/excel/2006/main">
          <x14:cfRule type="dataBar" id="{AD205D25-AE57-434E-87E3-2809652D86FC}">
            <x14:dataBar minLength="0" maxLength="100" gradient="0">
              <x14:cfvo type="autoMin"/>
              <x14:cfvo type="autoMax"/>
              <x14:negativeFillColor rgb="FFFF0000"/>
              <x14:axisColor rgb="FF000000"/>
            </x14:dataBar>
          </x14:cfRule>
          <xm:sqref>L72:O72 L56:O70 O18 L2:O9 M10:O10 L19:O21 M22:O22 L11:O17 L23:O54 L2:L70</xm:sqref>
        </x14:conditionalFormatting>
        <x14:conditionalFormatting xmlns:xm="http://schemas.microsoft.com/office/excel/2006/main">
          <x14:cfRule type="dataBar" id="{C5C78BA1-5E11-44BC-AE01-34EFD1C02999}">
            <x14:dataBar minLength="0" maxLength="100" gradient="0">
              <x14:cfvo type="autoMin"/>
              <x14:cfvo type="autoMax"/>
              <x14:negativeFillColor rgb="FFFF0000"/>
              <x14:axisColor rgb="FF000000"/>
            </x14:dataBar>
          </x14:cfRule>
          <xm:sqref>M18</xm:sqref>
        </x14:conditionalFormatting>
        <x14:conditionalFormatting xmlns:xm="http://schemas.microsoft.com/office/excel/2006/main">
          <x14:cfRule type="dataBar" id="{FB47725C-3AF3-4C0D-84D2-27A472C3C410}">
            <x14:dataBar minLength="0" maxLength="100" gradient="0">
              <x14:cfvo type="autoMin"/>
              <x14:cfvo type="autoMax"/>
              <x14:negativeFillColor rgb="FFFF0000"/>
              <x14:axisColor rgb="FF000000"/>
            </x14:dataBar>
          </x14:cfRule>
          <xm:sqref>E55:J55</xm:sqref>
        </x14:conditionalFormatting>
        <x14:conditionalFormatting xmlns:xm="http://schemas.microsoft.com/office/excel/2006/main">
          <x14:cfRule type="dataBar" id="{CD44E650-3979-402F-AF60-B1FBFA9773A1}">
            <x14:dataBar minLength="0" maxLength="100" gradient="0">
              <x14:cfvo type="autoMin"/>
              <x14:cfvo type="autoMax"/>
              <x14:negativeFillColor rgb="FFFF0000"/>
              <x14:axisColor rgb="FF000000"/>
            </x14:dataBar>
          </x14:cfRule>
          <xm:sqref>L55:O55</xm:sqref>
        </x14:conditionalFormatting>
        <x14:conditionalFormatting xmlns:xm="http://schemas.microsoft.com/office/excel/2006/main">
          <x14:cfRule type="dataBar" id="{1353B573-4B73-4271-8394-CE17E813AC45}">
            <x14:dataBar minLength="0" maxLength="100" gradient="0">
              <x14:cfvo type="autoMin"/>
              <x14:cfvo type="autoMax"/>
              <x14:negativeFillColor rgb="FFFF0000"/>
              <x14:axisColor rgb="FF000000"/>
            </x14:dataBar>
          </x14:cfRule>
          <xm:sqref>L10</xm:sqref>
        </x14:conditionalFormatting>
        <x14:conditionalFormatting xmlns:xm="http://schemas.microsoft.com/office/excel/2006/main">
          <x14:cfRule type="dataBar" id="{243F0A98-26AF-431A-B14D-AA22AC2D8E4A}">
            <x14:dataBar minLength="0" maxLength="100" gradient="0">
              <x14:cfvo type="autoMin"/>
              <x14:cfvo type="autoMax"/>
              <x14:negativeFillColor rgb="FFFF0000"/>
              <x14:axisColor rgb="FF000000"/>
            </x14:dataBar>
          </x14:cfRule>
          <xm:sqref>N18</xm:sqref>
        </x14:conditionalFormatting>
        <x14:conditionalFormatting xmlns:xm="http://schemas.microsoft.com/office/excel/2006/main">
          <x14:cfRule type="dataBar" id="{EB50E40A-84FD-47C6-8214-B517645FD472}">
            <x14:dataBar minLength="0" maxLength="100" gradient="0">
              <x14:cfvo type="autoMin"/>
              <x14:cfvo type="autoMax"/>
              <x14:negativeFillColor rgb="FFFF0000"/>
              <x14:axisColor rgb="FF000000"/>
            </x14:dataBar>
          </x14:cfRule>
          <xm:sqref>L22</xm:sqref>
        </x14:conditionalFormatting>
        <x14:conditionalFormatting xmlns:xm="http://schemas.microsoft.com/office/excel/2006/main">
          <x14:cfRule type="dataBar" id="{04FA8DC6-71CF-4858-BE12-19E76EB29BA6}">
            <x14:dataBar minLength="0" maxLength="100" gradient="0">
              <x14:cfvo type="autoMin"/>
              <x14:cfvo type="autoMax"/>
              <x14:negativeFillColor rgb="FFFF0000"/>
              <x14:axisColor rgb="FF000000"/>
            </x14:dataBar>
          </x14:cfRule>
          <xm:sqref>E32:J35</xm:sqref>
        </x14:conditionalFormatting>
        <x14:conditionalFormatting xmlns:xm="http://schemas.microsoft.com/office/excel/2006/main">
          <x14:cfRule type="dataBar" id="{B6FFBCBC-2A68-4158-A95B-53EC8ADC77B3}">
            <x14:dataBar minLength="0" maxLength="100" gradient="0">
              <x14:cfvo type="autoMin"/>
              <x14:cfvo type="autoMax"/>
              <x14:negativeFillColor rgb="FFFF0000"/>
              <x14:axisColor rgb="FF000000"/>
            </x14:dataBar>
          </x14:cfRule>
          <xm:sqref>J39</xm:sqref>
        </x14:conditionalFormatting>
        <x14:conditionalFormatting xmlns:xm="http://schemas.microsoft.com/office/excel/2006/main">
          <x14:cfRule type="dataBar" id="{3636E1DF-4D88-4F0A-A144-F2306899241E}">
            <x14:dataBar minLength="0" maxLength="100" gradient="0">
              <x14:cfvo type="autoMin"/>
              <x14:cfvo type="autoMax"/>
              <x14:negativeFillColor rgb="FFFF0000"/>
              <x14:axisColor rgb="FF000000"/>
            </x14:dataBar>
          </x14:cfRule>
          <xm:sqref>E71:J71</xm:sqref>
        </x14:conditionalFormatting>
        <x14:conditionalFormatting xmlns:xm="http://schemas.microsoft.com/office/excel/2006/main">
          <x14:cfRule type="dataBar" id="{6857AD50-85AA-4DC6-99F5-A2446F4179DD}">
            <x14:dataBar minLength="0" maxLength="100" gradient="0">
              <x14:cfvo type="autoMin"/>
              <x14:cfvo type="autoMax"/>
              <x14:negativeFillColor rgb="FFFF0000"/>
              <x14:axisColor rgb="FF000000"/>
            </x14:dataBar>
          </x14:cfRule>
          <xm:sqref>L71:O71</xm:sqref>
        </x14:conditionalFormatting>
        <x14:conditionalFormatting xmlns:xm="http://schemas.microsoft.com/office/excel/2006/main">
          <x14:cfRule type="dataBar" id="{AEA8EDAD-14A5-49ED-B406-DDB87EC84AA3}">
            <x14:dataBar minLength="0" maxLength="100" gradient="0">
              <x14:cfvo type="autoMin"/>
              <x14:cfvo type="autoMax"/>
              <x14:negativeFillColor rgb="FFFF0000"/>
              <x14:axisColor rgb="FF000000"/>
            </x14:dataBar>
          </x14:cfRule>
          <xm:sqref>L2:O72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489FC3EA4BFB54F8C901881DAEC373F" ma:contentTypeVersion="11" ma:contentTypeDescription="Create a new document." ma:contentTypeScope="" ma:versionID="95003343a713e974069a6c158a79dde2">
  <xsd:schema xmlns:xsd="http://www.w3.org/2001/XMLSchema" xmlns:xs="http://www.w3.org/2001/XMLSchema" xmlns:p="http://schemas.microsoft.com/office/2006/metadata/properties" xmlns:ns2="3ae2339e-1284-4ca7-933d-963cb8355e51" xmlns:ns3="a9b05ffc-2d1e-437f-8b4f-93365248c2a0" targetNamespace="http://schemas.microsoft.com/office/2006/metadata/properties" ma:root="true" ma:fieldsID="0c41498c84f15476c665acf784b0896d" ns2:_="" ns3:_="">
    <xsd:import namespace="3ae2339e-1284-4ca7-933d-963cb8355e51"/>
    <xsd:import namespace="a9b05ffc-2d1e-437f-8b4f-93365248c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ae2339e-1284-4ca7-933d-963cb8355e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9b05ffc-2d1e-437f-8b4f-93365248c2a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994C773-F8C9-4452-BC84-0268063611F9}">
  <ds:schemaRefs>
    <ds:schemaRef ds:uri="http://schemas.microsoft.com/sharepoint/v3/contenttype/forms"/>
  </ds:schemaRefs>
</ds:datastoreItem>
</file>

<file path=customXml/itemProps2.xml><?xml version="1.0" encoding="utf-8"?>
<ds:datastoreItem xmlns:ds="http://schemas.openxmlformats.org/officeDocument/2006/customXml" ds:itemID="{16059D18-1E00-44D5-985A-95A909A0D276}"/>
</file>

<file path=customXml/itemProps3.xml><?xml version="1.0" encoding="utf-8"?>
<ds:datastoreItem xmlns:ds="http://schemas.openxmlformats.org/officeDocument/2006/customXml" ds:itemID="{24F74093-5288-4BC4-990F-B6BD4E21811D}">
  <ds:schemaRefs>
    <ds:schemaRef ds:uri="http://schemas.microsoft.com/office/infopath/2007/PartnerControls"/>
    <ds:schemaRef ds:uri="http://purl.org/dc/elements/1.1/"/>
    <ds:schemaRef ds:uri="http://schemas.microsoft.com/office/2006/metadata/properties"/>
    <ds:schemaRef ds:uri="f2957372-c28f-4ee9-8674-ce805e31ef16"/>
    <ds:schemaRef ds:uri="http://purl.org/dc/terms/"/>
    <ds:schemaRef ds:uri="http://schemas.openxmlformats.org/package/2006/metadata/core-properties"/>
    <ds:schemaRef ds:uri="http://schemas.microsoft.com/office/2006/documentManagement/types"/>
    <ds:schemaRef ds:uri="22e79e55-488e-4af1-97ee-1df2eb62d56f"/>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Master List April 30</vt:lpstr>
      <vt:lpstr>ExtraVal vetted only</vt:lpstr>
      <vt:lpstr>Input for Visualization</vt:lpstr>
      <vt:lpstr>Portfolio ExtraVal</vt:lpstr>
      <vt:lpstr>Project Spend Category</vt:lpstr>
      <vt:lpstr>Frontier data VMT</vt:lpstr>
      <vt:lpstr>3X3 Data</vt:lpstr>
      <vt:lpstr>Non-drug Project Portfolio 3x3</vt:lpstr>
      <vt:lpstr>GLF-DU Digital Project Map (2)</vt:lpstr>
      <vt:lpstr>Value by GLF-DU</vt:lpstr>
    </vt:vector>
  </TitlesOfParts>
  <Manager/>
  <Company>Novartis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Keller, Matthias</dc:creator>
  <cp:keywords/>
  <dc:description/>
  <cp:lastModifiedBy>Sai Prathyusha, Pabba</cp:lastModifiedBy>
  <cp:revision/>
  <dcterms:created xsi:type="dcterms:W3CDTF">2020-05-06T13:09:20Z</dcterms:created>
  <dcterms:modified xsi:type="dcterms:W3CDTF">2021-02-17T18:35:16Z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929bff8-5b33-42aa-95d2-28f72e792cb0_Enabled">
    <vt:lpwstr>True</vt:lpwstr>
  </property>
  <property fmtid="{D5CDD505-2E9C-101B-9397-08002B2CF9AE}" pid="3" name="MSIP_Label_4929bff8-5b33-42aa-95d2-28f72e792cb0_SiteId">
    <vt:lpwstr>f35a6974-607f-47d4-82d7-ff31d7dc53a5</vt:lpwstr>
  </property>
  <property fmtid="{D5CDD505-2E9C-101B-9397-08002B2CF9AE}" pid="4" name="MSIP_Label_4929bff8-5b33-42aa-95d2-28f72e792cb0_SetDate">
    <vt:lpwstr>2020-05-06T13:10:37.7620872Z</vt:lpwstr>
  </property>
  <property fmtid="{D5CDD505-2E9C-101B-9397-08002B2CF9AE}" pid="5" name="MSIP_Label_4929bff8-5b33-42aa-95d2-28f72e792cb0_Name">
    <vt:lpwstr>Business Use Only</vt:lpwstr>
  </property>
  <property fmtid="{D5CDD505-2E9C-101B-9397-08002B2CF9AE}" pid="6" name="MSIP_Label_4929bff8-5b33-42aa-95d2-28f72e792cb0_ActionId">
    <vt:lpwstr>e6f3ffe5-70a8-40cc-9de2-a26ad8e18601</vt:lpwstr>
  </property>
  <property fmtid="{D5CDD505-2E9C-101B-9397-08002B2CF9AE}" pid="7" name="MSIP_Label_4929bff8-5b33-42aa-95d2-28f72e792cb0_Extended_MSFT_Method">
    <vt:lpwstr>Automatic</vt:lpwstr>
  </property>
  <property fmtid="{D5CDD505-2E9C-101B-9397-08002B2CF9AE}" pid="8" name="Confidentiality">
    <vt:lpwstr>Business Use Only</vt:lpwstr>
  </property>
  <property fmtid="{D5CDD505-2E9C-101B-9397-08002B2CF9AE}" pid="9" name="ContentTypeId">
    <vt:lpwstr>0x010100A489FC3EA4BFB54F8C901881DAEC373F</vt:lpwstr>
  </property>
</Properties>
</file>